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exandre.fagundes\Documents\"/>
    </mc:Choice>
  </mc:AlternateContent>
  <xr:revisionPtr revIDLastSave="0" documentId="8_{E37E0179-C76E-4E52-A169-F6690571CB52}" xr6:coauthVersionLast="47" xr6:coauthVersionMax="47" xr10:uidLastSave="{00000000-0000-0000-0000-000000000000}"/>
  <bookViews>
    <workbookView xWindow="-108" yWindow="-108" windowWidth="23256" windowHeight="12456" tabRatio="854" activeTab="1" xr2:uid="{00000000-000D-0000-FFFF-FFFF00000000}"/>
  </bookViews>
  <sheets>
    <sheet name="00_Painel" sheetId="1" r:id="rId1"/>
    <sheet name="01_Projetos" sheetId="2" r:id="rId2"/>
    <sheet name="Cadastro" sheetId="3" r:id="rId3"/>
    <sheet name="02_Escopo_Itens" sheetId="4" r:id="rId4"/>
    <sheet name="03_Compras_SC" sheetId="5" r:id="rId5"/>
    <sheet name="05_OC_Fornecedor" sheetId="6" r:id="rId6"/>
    <sheet name="07_Entregas" sheetId="7" r:id="rId7"/>
    <sheet name="08_Historico_Etapas" sheetId="8" r:id="rId8"/>
    <sheet name="09_Cadastros" sheetId="9" r:id="rId9"/>
    <sheet name="10_Verificacoes" sheetId="10" r:id="rId10"/>
    <sheet name="11_Base_Graficos" sheetId="11" r:id="rId11"/>
    <sheet name="12_Leia_me" sheetId="12" r:id="rId12"/>
  </sheets>
  <definedNames>
    <definedName name="Cad_Cham">Cadastro!$B$5:$B$600</definedName>
    <definedName name="Cad_Forn">Cadastro!$N$5:$N$600</definedName>
    <definedName name="Cad_ID">Cadastro!$A$5:$A$600</definedName>
    <definedName name="Cad_OC">Cadastro!$M$5:$M$600</definedName>
    <definedName name="Cad_Prod">Cadastro!$C$5:$C$600</definedName>
    <definedName name="Cad_QtdComp">Cadastro!$Q$5:$Q$600</definedName>
    <definedName name="Cad_Rotulo">Cadastro!$X$5:$X$600</definedName>
    <definedName name="Cad_SC">Cadastro!$H$5:$H$600</definedName>
    <definedName name="DataRef">'09_Cadastros'!$T$8</definedName>
    <definedName name="Ent_Cham">'07_Entregas'!$F$5:$F$600</definedName>
    <definedName name="Ent_Conf">'07_Entregas'!$P$5:$P$600</definedName>
    <definedName name="Ent_Data">'07_Entregas'!$I$5:$I$600</definedName>
    <definedName name="Ent_Item">'07_Entregas'!$C$5:$C$600</definedName>
    <definedName name="Ent_OC">'07_Entregas'!$D$5:$D$600</definedName>
    <definedName name="Ent_Prod">'07_Entregas'!$G$5:$G$600</definedName>
    <definedName name="Ent_Qtd">'07_Entregas'!$J$5:$J$600</definedName>
    <definedName name="Esc_Cham">'02_Escopo_Itens'!$A$5:$A$600</definedName>
    <definedName name="Esc_Comp">'02_Escopo_Itens'!$G$5:$G$600</definedName>
    <definedName name="Esc_Desvio">'02_Escopo_Itens'!$Y$5:$Y$600</definedName>
    <definedName name="Esc_Inst">'02_Escopo_Itens'!$J$5:$J$600</definedName>
    <definedName name="Esc_IP">'02_Escopo_Itens'!$K$5:$K$600</definedName>
    <definedName name="Esc_Lib">'02_Escopo_Itens'!$I$5:$I$600</definedName>
    <definedName name="Esc_Prev">'02_Escopo_Itens'!$E$5:$E$600</definedName>
    <definedName name="Esc_Prod">'02_Escopo_Itens'!$B$5:$B$600</definedName>
    <definedName name="Esc_Receb">'02_Escopo_Itens'!$H$5:$H$600</definedName>
    <definedName name="Esc_Rotulo">'02_Escopo_Itens'!$W$5:$W$600</definedName>
    <definedName name="Esc_Solic">'02_Escopo_Itens'!$F$5:$F$600</definedName>
    <definedName name="Esc_Status">'02_Escopo_Itens'!$T$5:$T$600</definedName>
    <definedName name="Esc_Tipo">'02_Escopo_Itens'!$D$5:$D$600</definedName>
    <definedName name="Esc_Unid">'02_Escopo_Itens'!$V$5:$V$600</definedName>
    <definedName name="Esc_VMS">'02_Escopo_Itens'!$L$5:$L$600</definedName>
    <definedName name="Etapa_Resp">'09_Cadastros'!$P$5:$P$15</definedName>
    <definedName name="Etapa_SLA">'09_Cadastros'!$Q$5:$Q$15</definedName>
    <definedName name="Filtro_Proj">'00_Painel'!$I$6</definedName>
    <definedName name="Filtro_Unid">'00_Painel'!$D$6</definedName>
    <definedName name="His_Atend">'08_Historico_Etapas'!$H$5:$H$600</definedName>
    <definedName name="His_Atraso">'08_Historico_Etapas'!$I$5:$I$600</definedName>
    <definedName name="His_Cham">'08_Historico_Etapas'!$A$5:$A$600</definedName>
    <definedName name="His_Dias">'08_Historico_Etapas'!$G$5:$G$600</definedName>
    <definedName name="His_Etapa">'08_Historico_Etapas'!$B$5:$B$600</definedName>
    <definedName name="His_Fim">'08_Historico_Etapas'!$E$5:$E$600</definedName>
    <definedName name="His_Resp">'08_Historico_Etapas'!$C$5:$C$600</definedName>
    <definedName name="His_Situacao">'08_Historico_Etapas'!$J$5:$J$600</definedName>
    <definedName name="Lim_Atencao">'09_Cadastros'!$T$6</definedName>
    <definedName name="Lim_Risco">'09_Cadastros'!$T$7</definedName>
    <definedName name="Lista_Areas">'09_Cadastros'!$E$5:$E$32</definedName>
    <definedName name="Lista_Custodia">'09_Cadastros'!$M$5:$M$10</definedName>
    <definedName name="Lista_Etapas">'09_Cadastros'!$O$5:$O$15</definedName>
    <definedName name="Lista_FiltroProj">OFFSET('11_Base_Graficos'!$V$4,0,0,COUNTIF('11_Base_Graficos'!$V$4:$V$154,"?*"),1)</definedName>
    <definedName name="Lista_FiltroUnid">OFFSET('11_Base_Graficos'!$U$4,0,0,COUNTIF('11_Base_Graficos'!$U$4:$U$12,"?*"),1)</definedName>
    <definedName name="Lista_Motivos">'09_Cadastros'!$I$5:$I$18</definedName>
    <definedName name="Lista_Responsaveis">'09_Cadastros'!$G$5:$G$11</definedName>
    <definedName name="Lista_SitFisica">'09_Cadastros'!$K$5:$K$9</definedName>
    <definedName name="Lista_Status">'09_Cadastros'!$A$5:$A$9</definedName>
    <definedName name="Lista_Unidades">'09_Cadastros'!$C$5:$C$12</definedName>
    <definedName name="Obj_Cod">'09_Cadastros'!$Z$5:$Z$600</definedName>
    <definedName name="Obj_Desc">'09_Cadastros'!$AA$5:$AA$600</definedName>
    <definedName name="OC_Cham">'05_OC_Fornecedor'!$C$5:$C$600</definedName>
    <definedName name="OC_Data">'05_OC_Fornecedor'!$G$5:$G$600</definedName>
    <definedName name="OC_Forn">'05_OC_Fornecedor'!$F$5:$F$600</definedName>
    <definedName name="OC_Num">'05_OC_Fornecedor'!$A$5:$A$600</definedName>
    <definedName name="OC_Prod">'05_OC_Fornecedor'!$D$5:$D$600</definedName>
    <definedName name="OC_Qtd">'05_OC_Fornecedor'!$I$5:$I$600</definedName>
    <definedName name="OC_Saldo">'05_OC_Fornecedor'!$K$5:$K$600</definedName>
    <definedName name="OC_SC">'05_OC_Fornecedor'!$B$5:$B$600</definedName>
    <definedName name="OC_Situacao">'05_OC_Fornecedor'!$O$5:$O$600</definedName>
    <definedName name="Prod_Cod">'09_Cadastros'!$V$5:$V$600</definedName>
    <definedName name="Prod_Desc">'09_Cadastros'!$W$5:$W$600</definedName>
    <definedName name="Prod_Tipo">'09_Cadastros'!$X$5:$X$600</definedName>
    <definedName name="Proj_Area">'01_Projetos'!$D$5:$D$598</definedName>
    <definedName name="Proj_Atraso">'01_Projetos'!$T$5:$T$598</definedName>
    <definedName name="Proj_Bloq">'01_Projetos'!$M$5:$M$598</definedName>
    <definedName name="Proj_Cham">'01_Projetos'!$A$5:$A$598</definedName>
    <definedName name="Proj_Consumo">'01_Projetos'!$R$5:$R$598</definedName>
    <definedName name="Proj_Desvio">'01_Projetos'!$AB$5:$AB$598</definedName>
    <definedName name="Proj_Etapa">'01_Projetos'!$I$5:$I$598</definedName>
    <definedName name="Proj_Motivo">'01_Projetos'!$N$5:$N$598</definedName>
    <definedName name="Proj_Nome">'01_Projetos'!$B$5:$B$598</definedName>
    <definedName name="Proj_Ordem">'01_Projetos'!$AD$5:$AD$598</definedName>
    <definedName name="Proj_OrdEtapa">'01_Projetos'!$AF$5:$AF$598</definedName>
    <definedName name="Proj_Resp">'01_Projetos'!$J$5:$J$598</definedName>
    <definedName name="Proj_Rotulo">'01_Projetos'!$AE$5:$AE$598</definedName>
    <definedName name="Proj_Situacao">'01_Projetos'!$U$5:$U$598</definedName>
    <definedName name="Proj_Status">'01_Projetos'!$L$5:$L$598</definedName>
    <definedName name="Proj_Unid">'01_Projetos'!$C$5:$C$598</definedName>
    <definedName name="SC_Cham">'03_Compras_SC'!$C$5:$C$600</definedName>
    <definedName name="SC_Envio">'03_Compras_SC'!$H$5:$H$600</definedName>
    <definedName name="SC_Num">'03_Compras_SC'!$B$5:$B$600</definedName>
    <definedName name="SC_Prod">'03_Compras_SC'!$D$5:$D$600</definedName>
    <definedName name="SC_Qtd">'03_Compras_SC'!$F$5:$F$600</definedName>
    <definedName name="SC_Situacao">'03_Compras_SC'!$O$5:$O$600</definedName>
    <definedName name="SLA_Total">'09_Cadastros'!$T$5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P25" i="3" l="1"/>
  <c r="P24" i="3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B5" i="10" a="1"/>
  <c r="B5" i="10" s="1"/>
  <c r="P23" i="3"/>
  <c r="P22" i="3"/>
  <c r="P21" i="3"/>
  <c r="P20" i="3"/>
  <c r="P19" i="3"/>
  <c r="P18" i="3"/>
  <c r="J82" i="2"/>
  <c r="F82" i="2"/>
  <c r="J81" i="2"/>
  <c r="F81" i="2"/>
  <c r="J80" i="2"/>
  <c r="F80" i="2"/>
  <c r="J79" i="2"/>
  <c r="F79" i="2"/>
  <c r="J78" i="2"/>
  <c r="F78" i="2"/>
  <c r="J77" i="2"/>
  <c r="F77" i="2"/>
  <c r="J76" i="2"/>
  <c r="F76" i="2"/>
  <c r="P17" i="3" l="1"/>
  <c r="P16" i="3"/>
  <c r="AD5" i="2"/>
  <c r="U5" i="2"/>
  <c r="V5" i="2" s="1"/>
  <c r="P5" i="2"/>
  <c r="J5" i="2"/>
  <c r="F5" i="2"/>
  <c r="F10" i="2"/>
  <c r="O15" i="11" l="1"/>
  <c r="O14" i="11"/>
  <c r="O13" i="11"/>
  <c r="O12" i="11"/>
  <c r="O11" i="11"/>
  <c r="O10" i="11"/>
  <c r="O9" i="11"/>
  <c r="O8" i="11"/>
  <c r="O7" i="11"/>
  <c r="O6" i="11"/>
  <c r="O5" i="11"/>
  <c r="B12" i="10"/>
  <c r="B11" i="10"/>
  <c r="B10" i="10"/>
  <c r="B8" i="10"/>
  <c r="Q18" i="9"/>
  <c r="T8" i="9"/>
  <c r="Q71" i="2" s="1"/>
  <c r="L154" i="8"/>
  <c r="K154" i="8"/>
  <c r="J154" i="8"/>
  <c r="G154" i="8"/>
  <c r="I154" i="8" s="1"/>
  <c r="F154" i="8"/>
  <c r="C154" i="8"/>
  <c r="L153" i="8"/>
  <c r="K153" i="8"/>
  <c r="J153" i="8"/>
  <c r="G153" i="8"/>
  <c r="F153" i="8"/>
  <c r="C153" i="8"/>
  <c r="L152" i="8"/>
  <c r="K152" i="8"/>
  <c r="J152" i="8"/>
  <c r="H152" i="8"/>
  <c r="G152" i="8"/>
  <c r="I152" i="8" s="1"/>
  <c r="F152" i="8"/>
  <c r="C152" i="8"/>
  <c r="L151" i="8"/>
  <c r="K151" i="8"/>
  <c r="J151" i="8"/>
  <c r="G151" i="8"/>
  <c r="F151" i="8"/>
  <c r="C151" i="8"/>
  <c r="L150" i="8"/>
  <c r="K150" i="8"/>
  <c r="J150" i="8"/>
  <c r="G150" i="8"/>
  <c r="I150" i="8" s="1"/>
  <c r="F150" i="8"/>
  <c r="C150" i="8"/>
  <c r="L149" i="8"/>
  <c r="K149" i="8"/>
  <c r="J149" i="8"/>
  <c r="G149" i="8"/>
  <c r="F149" i="8"/>
  <c r="C149" i="8"/>
  <c r="L148" i="8"/>
  <c r="K148" i="8"/>
  <c r="J148" i="8"/>
  <c r="G148" i="8"/>
  <c r="F148" i="8"/>
  <c r="C148" i="8"/>
  <c r="L147" i="8"/>
  <c r="K147" i="8"/>
  <c r="J147" i="8"/>
  <c r="H147" i="8"/>
  <c r="G147" i="8"/>
  <c r="I147" i="8" s="1"/>
  <c r="F147" i="8"/>
  <c r="C147" i="8"/>
  <c r="L146" i="8"/>
  <c r="K146" i="8"/>
  <c r="J146" i="8"/>
  <c r="G146" i="8"/>
  <c r="F146" i="8"/>
  <c r="C146" i="8"/>
  <c r="L145" i="8"/>
  <c r="K145" i="8"/>
  <c r="J145" i="8"/>
  <c r="G145" i="8"/>
  <c r="F145" i="8"/>
  <c r="C145" i="8"/>
  <c r="L144" i="8"/>
  <c r="K144" i="8"/>
  <c r="J144" i="8"/>
  <c r="G144" i="8"/>
  <c r="I144" i="8" s="1"/>
  <c r="F144" i="8"/>
  <c r="C144" i="8"/>
  <c r="L143" i="8"/>
  <c r="K143" i="8"/>
  <c r="J143" i="8"/>
  <c r="G143" i="8"/>
  <c r="F143" i="8"/>
  <c r="C143" i="8"/>
  <c r="L142" i="8"/>
  <c r="K142" i="8"/>
  <c r="J142" i="8"/>
  <c r="G142" i="8"/>
  <c r="I142" i="8" s="1"/>
  <c r="F142" i="8"/>
  <c r="C142" i="8"/>
  <c r="L141" i="8"/>
  <c r="K141" i="8"/>
  <c r="J141" i="8"/>
  <c r="G141" i="8"/>
  <c r="I141" i="8" s="1"/>
  <c r="F141" i="8"/>
  <c r="C141" i="8"/>
  <c r="L140" i="8"/>
  <c r="K140" i="8"/>
  <c r="J140" i="8"/>
  <c r="G140" i="8"/>
  <c r="F140" i="8"/>
  <c r="C140" i="8"/>
  <c r="L139" i="8"/>
  <c r="K139" i="8"/>
  <c r="J139" i="8"/>
  <c r="H139" i="8"/>
  <c r="G139" i="8"/>
  <c r="I139" i="8" s="1"/>
  <c r="F139" i="8"/>
  <c r="C139" i="8"/>
  <c r="L138" i="8"/>
  <c r="K138" i="8"/>
  <c r="J138" i="8"/>
  <c r="G138" i="8"/>
  <c r="I138" i="8" s="1"/>
  <c r="F138" i="8"/>
  <c r="C138" i="8"/>
  <c r="L137" i="8"/>
  <c r="K137" i="8"/>
  <c r="J137" i="8"/>
  <c r="G137" i="8"/>
  <c r="F137" i="8"/>
  <c r="C137" i="8"/>
  <c r="L136" i="8"/>
  <c r="K136" i="8"/>
  <c r="J136" i="8"/>
  <c r="G136" i="8"/>
  <c r="I136" i="8" s="1"/>
  <c r="F136" i="8"/>
  <c r="C136" i="8"/>
  <c r="L135" i="8"/>
  <c r="K135" i="8"/>
  <c r="J135" i="8"/>
  <c r="G135" i="8"/>
  <c r="F135" i="8"/>
  <c r="C135" i="8"/>
  <c r="L134" i="8"/>
  <c r="K134" i="8"/>
  <c r="J134" i="8"/>
  <c r="G134" i="8"/>
  <c r="I134" i="8" s="1"/>
  <c r="F134" i="8"/>
  <c r="C134" i="8"/>
  <c r="L133" i="8"/>
  <c r="K133" i="8"/>
  <c r="J133" i="8"/>
  <c r="G133" i="8"/>
  <c r="F133" i="8"/>
  <c r="C133" i="8"/>
  <c r="L132" i="8"/>
  <c r="K132" i="8"/>
  <c r="J132" i="8"/>
  <c r="G132" i="8"/>
  <c r="F132" i="8"/>
  <c r="C132" i="8"/>
  <c r="L131" i="8"/>
  <c r="K131" i="8"/>
  <c r="J131" i="8"/>
  <c r="G131" i="8"/>
  <c r="I131" i="8" s="1"/>
  <c r="F131" i="8"/>
  <c r="C131" i="8"/>
  <c r="L130" i="8"/>
  <c r="K130" i="8"/>
  <c r="J130" i="8"/>
  <c r="G130" i="8"/>
  <c r="F130" i="8"/>
  <c r="C130" i="8"/>
  <c r="L129" i="8"/>
  <c r="K129" i="8"/>
  <c r="J129" i="8"/>
  <c r="G129" i="8"/>
  <c r="F129" i="8"/>
  <c r="C129" i="8"/>
  <c r="L128" i="8"/>
  <c r="K128" i="8"/>
  <c r="J128" i="8"/>
  <c r="G128" i="8"/>
  <c r="I128" i="8" s="1"/>
  <c r="F128" i="8"/>
  <c r="C128" i="8"/>
  <c r="L127" i="8"/>
  <c r="K127" i="8"/>
  <c r="J127" i="8"/>
  <c r="G127" i="8"/>
  <c r="F127" i="8"/>
  <c r="C127" i="8"/>
  <c r="L126" i="8"/>
  <c r="K126" i="8"/>
  <c r="J126" i="8"/>
  <c r="G126" i="8"/>
  <c r="I126" i="8" s="1"/>
  <c r="F126" i="8"/>
  <c r="C126" i="8"/>
  <c r="L125" i="8"/>
  <c r="K125" i="8"/>
  <c r="J125" i="8"/>
  <c r="G125" i="8"/>
  <c r="I125" i="8" s="1"/>
  <c r="F125" i="8"/>
  <c r="C125" i="8"/>
  <c r="L124" i="8"/>
  <c r="K124" i="8"/>
  <c r="J124" i="8"/>
  <c r="G124" i="8"/>
  <c r="F124" i="8"/>
  <c r="C124" i="8"/>
  <c r="L123" i="8"/>
  <c r="K123" i="8"/>
  <c r="J123" i="8"/>
  <c r="G123" i="8"/>
  <c r="I123" i="8" s="1"/>
  <c r="F123" i="8"/>
  <c r="C123" i="8"/>
  <c r="L122" i="8"/>
  <c r="K122" i="8"/>
  <c r="J122" i="8"/>
  <c r="G122" i="8"/>
  <c r="I122" i="8" s="1"/>
  <c r="F122" i="8"/>
  <c r="C122" i="8"/>
  <c r="L121" i="8"/>
  <c r="K121" i="8"/>
  <c r="J121" i="8"/>
  <c r="G121" i="8"/>
  <c r="F121" i="8"/>
  <c r="C121" i="8"/>
  <c r="L120" i="8"/>
  <c r="K120" i="8"/>
  <c r="J120" i="8"/>
  <c r="H120" i="8"/>
  <c r="G120" i="8"/>
  <c r="I120" i="8" s="1"/>
  <c r="F120" i="8"/>
  <c r="C120" i="8"/>
  <c r="L119" i="8"/>
  <c r="K119" i="8"/>
  <c r="J119" i="8"/>
  <c r="G119" i="8"/>
  <c r="F119" i="8"/>
  <c r="C119" i="8"/>
  <c r="L118" i="8"/>
  <c r="K118" i="8"/>
  <c r="J118" i="8"/>
  <c r="G118" i="8"/>
  <c r="I118" i="8" s="1"/>
  <c r="F118" i="8"/>
  <c r="C118" i="8"/>
  <c r="L117" i="8"/>
  <c r="K117" i="8"/>
  <c r="J117" i="8"/>
  <c r="G117" i="8"/>
  <c r="F117" i="8"/>
  <c r="C117" i="8"/>
  <c r="L116" i="8"/>
  <c r="K116" i="8"/>
  <c r="J116" i="8"/>
  <c r="G116" i="8"/>
  <c r="F116" i="8"/>
  <c r="C116" i="8"/>
  <c r="L115" i="8"/>
  <c r="K115" i="8"/>
  <c r="J115" i="8"/>
  <c r="G115" i="8"/>
  <c r="I115" i="8" s="1"/>
  <c r="F115" i="8"/>
  <c r="C115" i="8"/>
  <c r="L114" i="8"/>
  <c r="K114" i="8"/>
  <c r="J114" i="8"/>
  <c r="G114" i="8"/>
  <c r="F114" i="8"/>
  <c r="C114" i="8"/>
  <c r="L113" i="8"/>
  <c r="K113" i="8"/>
  <c r="J113" i="8"/>
  <c r="G113" i="8"/>
  <c r="F113" i="8"/>
  <c r="C113" i="8"/>
  <c r="L112" i="8"/>
  <c r="K112" i="8"/>
  <c r="J112" i="8"/>
  <c r="G112" i="8"/>
  <c r="I112" i="8" s="1"/>
  <c r="F112" i="8"/>
  <c r="C112" i="8"/>
  <c r="L111" i="8"/>
  <c r="K111" i="8"/>
  <c r="J111" i="8"/>
  <c r="G111" i="8"/>
  <c r="F111" i="8"/>
  <c r="C111" i="8"/>
  <c r="L110" i="8"/>
  <c r="K110" i="8"/>
  <c r="J110" i="8"/>
  <c r="G110" i="8"/>
  <c r="I110" i="8" s="1"/>
  <c r="F110" i="8"/>
  <c r="C110" i="8"/>
  <c r="L109" i="8"/>
  <c r="K109" i="8"/>
  <c r="J109" i="8"/>
  <c r="G109" i="8"/>
  <c r="I109" i="8" s="1"/>
  <c r="F109" i="8"/>
  <c r="C109" i="8"/>
  <c r="L108" i="8"/>
  <c r="K108" i="8"/>
  <c r="J108" i="8"/>
  <c r="G108" i="8"/>
  <c r="F108" i="8"/>
  <c r="C108" i="8"/>
  <c r="L107" i="8"/>
  <c r="K107" i="8"/>
  <c r="J107" i="8"/>
  <c r="G107" i="8"/>
  <c r="I107" i="8" s="1"/>
  <c r="F107" i="8"/>
  <c r="C107" i="8"/>
  <c r="L106" i="8"/>
  <c r="K106" i="8"/>
  <c r="J106" i="8"/>
  <c r="G106" i="8"/>
  <c r="I106" i="8" s="1"/>
  <c r="F106" i="8"/>
  <c r="C106" i="8"/>
  <c r="L105" i="8"/>
  <c r="K105" i="8"/>
  <c r="J105" i="8"/>
  <c r="G105" i="8"/>
  <c r="F105" i="8"/>
  <c r="C105" i="8"/>
  <c r="L104" i="8"/>
  <c r="K104" i="8"/>
  <c r="J104" i="8"/>
  <c r="G104" i="8"/>
  <c r="I104" i="8" s="1"/>
  <c r="F104" i="8"/>
  <c r="C104" i="8"/>
  <c r="L103" i="8"/>
  <c r="K103" i="8"/>
  <c r="J103" i="8"/>
  <c r="G103" i="8"/>
  <c r="H103" i="8" s="1"/>
  <c r="F103" i="8"/>
  <c r="C103" i="8"/>
  <c r="L102" i="8"/>
  <c r="K102" i="8"/>
  <c r="J102" i="8"/>
  <c r="G102" i="8"/>
  <c r="H102" i="8" s="1"/>
  <c r="F102" i="8"/>
  <c r="C102" i="8"/>
  <c r="L101" i="8"/>
  <c r="K101" i="8"/>
  <c r="J101" i="8"/>
  <c r="G101" i="8"/>
  <c r="H101" i="8" s="1"/>
  <c r="F101" i="8"/>
  <c r="C101" i="8"/>
  <c r="L100" i="8"/>
  <c r="K100" i="8"/>
  <c r="J100" i="8"/>
  <c r="G100" i="8"/>
  <c r="H100" i="8" s="1"/>
  <c r="F100" i="8"/>
  <c r="C100" i="8"/>
  <c r="L99" i="8"/>
  <c r="K99" i="8"/>
  <c r="J99" i="8"/>
  <c r="G99" i="8"/>
  <c r="H99" i="8" s="1"/>
  <c r="F99" i="8"/>
  <c r="C99" i="8"/>
  <c r="L98" i="8"/>
  <c r="K98" i="8"/>
  <c r="J98" i="8"/>
  <c r="G98" i="8"/>
  <c r="H98" i="8" s="1"/>
  <c r="F98" i="8"/>
  <c r="C98" i="8"/>
  <c r="L97" i="8"/>
  <c r="K97" i="8"/>
  <c r="J97" i="8"/>
  <c r="G97" i="8"/>
  <c r="H97" i="8" s="1"/>
  <c r="F97" i="8"/>
  <c r="C97" i="8"/>
  <c r="L96" i="8"/>
  <c r="K96" i="8"/>
  <c r="J96" i="8"/>
  <c r="G96" i="8"/>
  <c r="H96" i="8" s="1"/>
  <c r="F96" i="8"/>
  <c r="C96" i="8"/>
  <c r="L95" i="8"/>
  <c r="K95" i="8"/>
  <c r="J95" i="8"/>
  <c r="G95" i="8"/>
  <c r="H95" i="8" s="1"/>
  <c r="F95" i="8"/>
  <c r="C95" i="8"/>
  <c r="L94" i="8"/>
  <c r="K94" i="8"/>
  <c r="J94" i="8"/>
  <c r="G94" i="8"/>
  <c r="H94" i="8" s="1"/>
  <c r="F94" i="8"/>
  <c r="C94" i="8"/>
  <c r="L93" i="8"/>
  <c r="K93" i="8"/>
  <c r="J93" i="8"/>
  <c r="G93" i="8"/>
  <c r="H93" i="8" s="1"/>
  <c r="F93" i="8"/>
  <c r="C93" i="8"/>
  <c r="L92" i="8"/>
  <c r="K92" i="8"/>
  <c r="J92" i="8"/>
  <c r="G92" i="8"/>
  <c r="H92" i="8" s="1"/>
  <c r="F92" i="8"/>
  <c r="C92" i="8"/>
  <c r="L91" i="8"/>
  <c r="K91" i="8"/>
  <c r="J91" i="8"/>
  <c r="G91" i="8"/>
  <c r="H91" i="8" s="1"/>
  <c r="F91" i="8"/>
  <c r="C91" i="8"/>
  <c r="L90" i="8"/>
  <c r="K90" i="8"/>
  <c r="J90" i="8"/>
  <c r="G90" i="8"/>
  <c r="H90" i="8" s="1"/>
  <c r="F90" i="8"/>
  <c r="C90" i="8"/>
  <c r="L89" i="8"/>
  <c r="K89" i="8"/>
  <c r="J89" i="8"/>
  <c r="G89" i="8"/>
  <c r="H89" i="8" s="1"/>
  <c r="F89" i="8"/>
  <c r="C89" i="8"/>
  <c r="L88" i="8"/>
  <c r="K88" i="8"/>
  <c r="J88" i="8"/>
  <c r="G88" i="8"/>
  <c r="H88" i="8" s="1"/>
  <c r="F88" i="8"/>
  <c r="C88" i="8"/>
  <c r="L87" i="8"/>
  <c r="K87" i="8"/>
  <c r="J87" i="8"/>
  <c r="G87" i="8"/>
  <c r="H87" i="8" s="1"/>
  <c r="F87" i="8"/>
  <c r="C87" i="8"/>
  <c r="L86" i="8"/>
  <c r="K86" i="8"/>
  <c r="J86" i="8"/>
  <c r="G86" i="8"/>
  <c r="H86" i="8" s="1"/>
  <c r="F86" i="8"/>
  <c r="C86" i="8"/>
  <c r="L85" i="8"/>
  <c r="K85" i="8"/>
  <c r="J85" i="8"/>
  <c r="G85" i="8"/>
  <c r="H85" i="8" s="1"/>
  <c r="F85" i="8"/>
  <c r="C85" i="8"/>
  <c r="L84" i="8"/>
  <c r="K84" i="8"/>
  <c r="J84" i="8"/>
  <c r="G84" i="8"/>
  <c r="H84" i="8" s="1"/>
  <c r="F84" i="8"/>
  <c r="C84" i="8"/>
  <c r="L83" i="8"/>
  <c r="K83" i="8"/>
  <c r="J83" i="8"/>
  <c r="G83" i="8"/>
  <c r="H83" i="8" s="1"/>
  <c r="F83" i="8"/>
  <c r="C83" i="8"/>
  <c r="L82" i="8"/>
  <c r="K82" i="8"/>
  <c r="J82" i="8"/>
  <c r="G82" i="8"/>
  <c r="H82" i="8" s="1"/>
  <c r="F82" i="8"/>
  <c r="C82" i="8"/>
  <c r="L81" i="8"/>
  <c r="K81" i="8"/>
  <c r="J81" i="8"/>
  <c r="G81" i="8"/>
  <c r="H81" i="8" s="1"/>
  <c r="F81" i="8"/>
  <c r="C81" i="8"/>
  <c r="L80" i="8"/>
  <c r="K80" i="8"/>
  <c r="J80" i="8"/>
  <c r="G80" i="8"/>
  <c r="H80" i="8" s="1"/>
  <c r="F80" i="8"/>
  <c r="C80" i="8"/>
  <c r="L79" i="8"/>
  <c r="K79" i="8"/>
  <c r="J79" i="8"/>
  <c r="G79" i="8"/>
  <c r="H79" i="8" s="1"/>
  <c r="F79" i="8"/>
  <c r="C79" i="8"/>
  <c r="L78" i="8"/>
  <c r="K78" i="8"/>
  <c r="J78" i="8"/>
  <c r="G78" i="8"/>
  <c r="H78" i="8" s="1"/>
  <c r="F78" i="8"/>
  <c r="C78" i="8"/>
  <c r="L77" i="8"/>
  <c r="K77" i="8"/>
  <c r="J77" i="8"/>
  <c r="G77" i="8"/>
  <c r="F77" i="8"/>
  <c r="C77" i="8"/>
  <c r="L76" i="8"/>
  <c r="K76" i="8"/>
  <c r="J76" i="8"/>
  <c r="G76" i="8"/>
  <c r="F76" i="8"/>
  <c r="C76" i="8"/>
  <c r="L75" i="8"/>
  <c r="K75" i="8"/>
  <c r="J75" i="8"/>
  <c r="G75" i="8"/>
  <c r="F75" i="8"/>
  <c r="C75" i="8"/>
  <c r="L74" i="8"/>
  <c r="K74" i="8"/>
  <c r="J74" i="8"/>
  <c r="G74" i="8"/>
  <c r="F74" i="8"/>
  <c r="C74" i="8"/>
  <c r="L73" i="8"/>
  <c r="K73" i="8"/>
  <c r="J73" i="8"/>
  <c r="G73" i="8"/>
  <c r="F73" i="8"/>
  <c r="C73" i="8"/>
  <c r="L72" i="8"/>
  <c r="K72" i="8"/>
  <c r="J72" i="8"/>
  <c r="G72" i="8"/>
  <c r="F72" i="8"/>
  <c r="C72" i="8"/>
  <c r="L71" i="8"/>
  <c r="K71" i="8"/>
  <c r="J71" i="8"/>
  <c r="G71" i="8"/>
  <c r="F71" i="8"/>
  <c r="C71" i="8"/>
  <c r="L70" i="8"/>
  <c r="K70" i="8"/>
  <c r="J70" i="8"/>
  <c r="G70" i="8"/>
  <c r="F70" i="8"/>
  <c r="C70" i="8"/>
  <c r="L69" i="8"/>
  <c r="K69" i="8"/>
  <c r="J69" i="8"/>
  <c r="G69" i="8"/>
  <c r="F69" i="8"/>
  <c r="C69" i="8"/>
  <c r="L68" i="8"/>
  <c r="K68" i="8"/>
  <c r="J68" i="8"/>
  <c r="G68" i="8"/>
  <c r="F68" i="8"/>
  <c r="C68" i="8"/>
  <c r="L67" i="8"/>
  <c r="K67" i="8"/>
  <c r="J67" i="8"/>
  <c r="G67" i="8"/>
  <c r="F67" i="8"/>
  <c r="C67" i="8"/>
  <c r="L66" i="8"/>
  <c r="K66" i="8"/>
  <c r="J66" i="8"/>
  <c r="G66" i="8"/>
  <c r="F66" i="8"/>
  <c r="C66" i="8"/>
  <c r="L65" i="8"/>
  <c r="K65" i="8"/>
  <c r="J65" i="8"/>
  <c r="G65" i="8"/>
  <c r="F65" i="8"/>
  <c r="C65" i="8"/>
  <c r="L64" i="8"/>
  <c r="K64" i="8"/>
  <c r="J64" i="8"/>
  <c r="G64" i="8"/>
  <c r="F64" i="8"/>
  <c r="C64" i="8"/>
  <c r="L63" i="8"/>
  <c r="K63" i="8"/>
  <c r="J63" i="8"/>
  <c r="G63" i="8"/>
  <c r="F63" i="8"/>
  <c r="C63" i="8"/>
  <c r="L62" i="8"/>
  <c r="K62" i="8"/>
  <c r="J62" i="8"/>
  <c r="G62" i="8"/>
  <c r="F62" i="8"/>
  <c r="C62" i="8"/>
  <c r="L61" i="8"/>
  <c r="K61" i="8"/>
  <c r="J61" i="8"/>
  <c r="G61" i="8"/>
  <c r="F61" i="8"/>
  <c r="L60" i="8"/>
  <c r="K60" i="8"/>
  <c r="J60" i="8"/>
  <c r="F60" i="8"/>
  <c r="L59" i="8"/>
  <c r="K59" i="8"/>
  <c r="J59" i="8"/>
  <c r="F59" i="8"/>
  <c r="L58" i="8"/>
  <c r="K58" i="8"/>
  <c r="J58" i="8"/>
  <c r="F58" i="8"/>
  <c r="L57" i="8"/>
  <c r="K57" i="8"/>
  <c r="J57" i="8"/>
  <c r="P5" i="11" s="1"/>
  <c r="F57" i="8"/>
  <c r="L56" i="8"/>
  <c r="K56" i="8"/>
  <c r="J56" i="8"/>
  <c r="F56" i="8"/>
  <c r="L55" i="8"/>
  <c r="K55" i="8"/>
  <c r="J55" i="8"/>
  <c r="P9" i="11" s="1"/>
  <c r="F55" i="8"/>
  <c r="L54" i="8"/>
  <c r="K54" i="8"/>
  <c r="J54" i="8"/>
  <c r="F54" i="8"/>
  <c r="L53" i="8"/>
  <c r="K53" i="8"/>
  <c r="J53" i="8"/>
  <c r="F53" i="8"/>
  <c r="L52" i="8"/>
  <c r="K52" i="8"/>
  <c r="J52" i="8"/>
  <c r="F52" i="8"/>
  <c r="L51" i="8"/>
  <c r="K51" i="8"/>
  <c r="J51" i="8"/>
  <c r="F51" i="8"/>
  <c r="L50" i="8"/>
  <c r="K50" i="8"/>
  <c r="J50" i="8"/>
  <c r="F50" i="8"/>
  <c r="L49" i="8"/>
  <c r="K49" i="8"/>
  <c r="J49" i="8"/>
  <c r="F49" i="8"/>
  <c r="L48" i="8"/>
  <c r="K48" i="8"/>
  <c r="J48" i="8"/>
  <c r="F48" i="8"/>
  <c r="L47" i="8"/>
  <c r="K47" i="8"/>
  <c r="J47" i="8"/>
  <c r="F47" i="8"/>
  <c r="L46" i="8"/>
  <c r="K46" i="8"/>
  <c r="J46" i="8"/>
  <c r="F46" i="8"/>
  <c r="L45" i="8"/>
  <c r="K45" i="8"/>
  <c r="J45" i="8"/>
  <c r="F45" i="8"/>
  <c r="L44" i="8"/>
  <c r="K44" i="8"/>
  <c r="J44" i="8"/>
  <c r="F44" i="8"/>
  <c r="L43" i="8"/>
  <c r="K43" i="8"/>
  <c r="J43" i="8"/>
  <c r="F43" i="8"/>
  <c r="L42" i="8"/>
  <c r="K42" i="8"/>
  <c r="J42" i="8"/>
  <c r="F42" i="8"/>
  <c r="L41" i="8"/>
  <c r="K41" i="8"/>
  <c r="J41" i="8"/>
  <c r="F41" i="8"/>
  <c r="L40" i="8"/>
  <c r="K40" i="8"/>
  <c r="J40" i="8"/>
  <c r="F40" i="8"/>
  <c r="L39" i="8"/>
  <c r="K39" i="8"/>
  <c r="J39" i="8"/>
  <c r="F39" i="8"/>
  <c r="L38" i="8"/>
  <c r="K38" i="8"/>
  <c r="J38" i="8"/>
  <c r="F38" i="8"/>
  <c r="L37" i="8"/>
  <c r="K37" i="8"/>
  <c r="J37" i="8"/>
  <c r="F37" i="8"/>
  <c r="L36" i="8"/>
  <c r="K36" i="8"/>
  <c r="J36" i="8"/>
  <c r="F36" i="8"/>
  <c r="L35" i="8"/>
  <c r="K35" i="8"/>
  <c r="J35" i="8"/>
  <c r="F35" i="8"/>
  <c r="L34" i="8"/>
  <c r="K34" i="8"/>
  <c r="J34" i="8"/>
  <c r="F34" i="8"/>
  <c r="L33" i="8"/>
  <c r="K33" i="8"/>
  <c r="J33" i="8"/>
  <c r="F33" i="8"/>
  <c r="L32" i="8"/>
  <c r="K32" i="8"/>
  <c r="J32" i="8"/>
  <c r="F32" i="8"/>
  <c r="L31" i="8"/>
  <c r="K31" i="8"/>
  <c r="J31" i="8"/>
  <c r="F31" i="8"/>
  <c r="L30" i="8"/>
  <c r="K30" i="8"/>
  <c r="J30" i="8"/>
  <c r="F30" i="8"/>
  <c r="L29" i="8"/>
  <c r="K29" i="8"/>
  <c r="J29" i="8"/>
  <c r="F29" i="8"/>
  <c r="L28" i="8"/>
  <c r="K28" i="8"/>
  <c r="J28" i="8"/>
  <c r="F28" i="8"/>
  <c r="L27" i="8"/>
  <c r="K27" i="8"/>
  <c r="J27" i="8"/>
  <c r="F27" i="8"/>
  <c r="L26" i="8"/>
  <c r="K26" i="8"/>
  <c r="J26" i="8"/>
  <c r="F26" i="8"/>
  <c r="L25" i="8"/>
  <c r="K25" i="8"/>
  <c r="J25" i="8"/>
  <c r="F25" i="8"/>
  <c r="L24" i="8"/>
  <c r="K24" i="8"/>
  <c r="J24" i="8"/>
  <c r="F24" i="8"/>
  <c r="L23" i="8"/>
  <c r="K23" i="8"/>
  <c r="J23" i="8"/>
  <c r="F23" i="8"/>
  <c r="L22" i="8"/>
  <c r="K22" i="8"/>
  <c r="J22" i="8"/>
  <c r="F22" i="8"/>
  <c r="L21" i="8"/>
  <c r="K21" i="8"/>
  <c r="J21" i="8"/>
  <c r="P12" i="11" s="1"/>
  <c r="F21" i="8"/>
  <c r="L20" i="8"/>
  <c r="K20" i="8"/>
  <c r="J20" i="8"/>
  <c r="F20" i="8"/>
  <c r="L19" i="8"/>
  <c r="K19" i="8"/>
  <c r="J19" i="8"/>
  <c r="F19" i="8"/>
  <c r="L18" i="8"/>
  <c r="K18" i="8"/>
  <c r="J18" i="8"/>
  <c r="F18" i="8"/>
  <c r="L17" i="8"/>
  <c r="K17" i="8"/>
  <c r="J17" i="8"/>
  <c r="P11" i="11" s="1"/>
  <c r="F17" i="8"/>
  <c r="L16" i="8"/>
  <c r="K16" i="8"/>
  <c r="J16" i="8"/>
  <c r="F16" i="8"/>
  <c r="L15" i="8"/>
  <c r="K15" i="8"/>
  <c r="J15" i="8"/>
  <c r="F15" i="8"/>
  <c r="L14" i="8"/>
  <c r="K14" i="8"/>
  <c r="J14" i="8"/>
  <c r="F14" i="8"/>
  <c r="L13" i="8"/>
  <c r="K13" i="8"/>
  <c r="J13" i="8"/>
  <c r="F13" i="8"/>
  <c r="L12" i="8"/>
  <c r="K12" i="8"/>
  <c r="J12" i="8"/>
  <c r="F12" i="8"/>
  <c r="L11" i="8"/>
  <c r="K11" i="8"/>
  <c r="J11" i="8"/>
  <c r="P13" i="11" s="1"/>
  <c r="F11" i="8"/>
  <c r="L10" i="8"/>
  <c r="K10" i="8"/>
  <c r="J10" i="8"/>
  <c r="F10" i="8"/>
  <c r="L9" i="8"/>
  <c r="K9" i="8"/>
  <c r="J9" i="8"/>
  <c r="P14" i="11" s="1"/>
  <c r="F9" i="8"/>
  <c r="L8" i="8"/>
  <c r="K8" i="8"/>
  <c r="J8" i="8"/>
  <c r="F8" i="8"/>
  <c r="L7" i="8"/>
  <c r="K7" i="8"/>
  <c r="J7" i="8"/>
  <c r="F7" i="8"/>
  <c r="C7" i="8"/>
  <c r="L6" i="8"/>
  <c r="K6" i="8"/>
  <c r="J6" i="8"/>
  <c r="F6" i="8"/>
  <c r="C6" i="8"/>
  <c r="L5" i="8"/>
  <c r="K5" i="8"/>
  <c r="J5" i="8"/>
  <c r="P8" i="11" s="1"/>
  <c r="G5" i="8"/>
  <c r="F5" i="8"/>
  <c r="C5" i="8"/>
  <c r="N1" i="8"/>
  <c r="B18" i="10" s="1"/>
  <c r="P154" i="7"/>
  <c r="C154" i="7"/>
  <c r="E154" i="7" s="1"/>
  <c r="P153" i="7"/>
  <c r="C153" i="7"/>
  <c r="P152" i="7"/>
  <c r="C152" i="7"/>
  <c r="E152" i="7" s="1"/>
  <c r="P151" i="7"/>
  <c r="C151" i="7"/>
  <c r="P150" i="7"/>
  <c r="C150" i="7"/>
  <c r="E150" i="7" s="1"/>
  <c r="P149" i="7"/>
  <c r="C149" i="7"/>
  <c r="P148" i="7"/>
  <c r="C148" i="7"/>
  <c r="E148" i="7" s="1"/>
  <c r="P147" i="7"/>
  <c r="C147" i="7"/>
  <c r="P146" i="7"/>
  <c r="C146" i="7"/>
  <c r="E146" i="7" s="1"/>
  <c r="P145" i="7"/>
  <c r="C145" i="7"/>
  <c r="P144" i="7"/>
  <c r="C144" i="7"/>
  <c r="E144" i="7" s="1"/>
  <c r="P143" i="7"/>
  <c r="C143" i="7"/>
  <c r="P142" i="7"/>
  <c r="C142" i="7"/>
  <c r="E142" i="7" s="1"/>
  <c r="P141" i="7"/>
  <c r="C141" i="7"/>
  <c r="P140" i="7"/>
  <c r="C140" i="7"/>
  <c r="E140" i="7" s="1"/>
  <c r="P139" i="7"/>
  <c r="C139" i="7"/>
  <c r="P138" i="7"/>
  <c r="C138" i="7"/>
  <c r="E138" i="7" s="1"/>
  <c r="P137" i="7"/>
  <c r="C137" i="7"/>
  <c r="P136" i="7"/>
  <c r="C136" i="7"/>
  <c r="E136" i="7" s="1"/>
  <c r="P135" i="7"/>
  <c r="C135" i="7"/>
  <c r="P134" i="7"/>
  <c r="C134" i="7"/>
  <c r="E134" i="7" s="1"/>
  <c r="P133" i="7"/>
  <c r="C133" i="7"/>
  <c r="P132" i="7"/>
  <c r="C132" i="7"/>
  <c r="E132" i="7" s="1"/>
  <c r="P131" i="7"/>
  <c r="C131" i="7"/>
  <c r="F131" i="7" s="1"/>
  <c r="P130" i="7"/>
  <c r="C130" i="7"/>
  <c r="P129" i="7"/>
  <c r="C129" i="7"/>
  <c r="F129" i="7" s="1"/>
  <c r="P128" i="7"/>
  <c r="C128" i="7"/>
  <c r="E128" i="7" s="1"/>
  <c r="P127" i="7"/>
  <c r="C127" i="7"/>
  <c r="F127" i="7" s="1"/>
  <c r="P126" i="7"/>
  <c r="C126" i="7"/>
  <c r="E126" i="7" s="1"/>
  <c r="P125" i="7"/>
  <c r="C125" i="7"/>
  <c r="F125" i="7" s="1"/>
  <c r="P124" i="7"/>
  <c r="C124" i="7"/>
  <c r="P123" i="7"/>
  <c r="C123" i="7"/>
  <c r="F123" i="7" s="1"/>
  <c r="P122" i="7"/>
  <c r="C122" i="7"/>
  <c r="E122" i="7" s="1"/>
  <c r="P121" i="7"/>
  <c r="C121" i="7"/>
  <c r="F121" i="7" s="1"/>
  <c r="P120" i="7"/>
  <c r="C120" i="7"/>
  <c r="P119" i="7"/>
  <c r="C119" i="7"/>
  <c r="F119" i="7" s="1"/>
  <c r="P118" i="7"/>
  <c r="C118" i="7"/>
  <c r="P117" i="7"/>
  <c r="C117" i="7"/>
  <c r="F117" i="7" s="1"/>
  <c r="P116" i="7"/>
  <c r="C116" i="7"/>
  <c r="P115" i="7"/>
  <c r="C115" i="7"/>
  <c r="F115" i="7" s="1"/>
  <c r="P114" i="7"/>
  <c r="C114" i="7"/>
  <c r="E114" i="7" s="1"/>
  <c r="P113" i="7"/>
  <c r="C113" i="7"/>
  <c r="F113" i="7" s="1"/>
  <c r="P112" i="7"/>
  <c r="C112" i="7"/>
  <c r="E112" i="7" s="1"/>
  <c r="P111" i="7"/>
  <c r="C111" i="7"/>
  <c r="F111" i="7" s="1"/>
  <c r="P110" i="7"/>
  <c r="C110" i="7"/>
  <c r="E110" i="7" s="1"/>
  <c r="P109" i="7"/>
  <c r="C109" i="7"/>
  <c r="P108" i="7"/>
  <c r="C108" i="7"/>
  <c r="E108" i="7" s="1"/>
  <c r="P107" i="7"/>
  <c r="C107" i="7"/>
  <c r="F107" i="7" s="1"/>
  <c r="P106" i="7"/>
  <c r="C106" i="7"/>
  <c r="P105" i="7"/>
  <c r="C105" i="7"/>
  <c r="P104" i="7"/>
  <c r="C104" i="7"/>
  <c r="E104" i="7" s="1"/>
  <c r="P103" i="7"/>
  <c r="C103" i="7"/>
  <c r="F103" i="7" s="1"/>
  <c r="P102" i="7"/>
  <c r="C102" i="7"/>
  <c r="P101" i="7"/>
  <c r="C101" i="7"/>
  <c r="F101" i="7" s="1"/>
  <c r="P100" i="7"/>
  <c r="C100" i="7"/>
  <c r="P99" i="7"/>
  <c r="C99" i="7"/>
  <c r="F99" i="7" s="1"/>
  <c r="P98" i="7"/>
  <c r="C98" i="7"/>
  <c r="P97" i="7"/>
  <c r="C97" i="7"/>
  <c r="P96" i="7"/>
  <c r="C96" i="7"/>
  <c r="P95" i="7"/>
  <c r="C95" i="7"/>
  <c r="P94" i="7"/>
  <c r="C94" i="7"/>
  <c r="E94" i="7" s="1"/>
  <c r="P93" i="7"/>
  <c r="C93" i="7"/>
  <c r="F93" i="7" s="1"/>
  <c r="P92" i="7"/>
  <c r="C92" i="7"/>
  <c r="E92" i="7" s="1"/>
  <c r="P91" i="7"/>
  <c r="C91" i="7"/>
  <c r="P90" i="7"/>
  <c r="C90" i="7"/>
  <c r="E90" i="7" s="1"/>
  <c r="P89" i="7"/>
  <c r="C89" i="7"/>
  <c r="G89" i="7" s="1"/>
  <c r="H89" i="7" s="1"/>
  <c r="P88" i="7"/>
  <c r="C88" i="7"/>
  <c r="P87" i="7"/>
  <c r="C87" i="7"/>
  <c r="E87" i="7" s="1"/>
  <c r="P86" i="7"/>
  <c r="C86" i="7"/>
  <c r="E86" i="7" s="1"/>
  <c r="P85" i="7"/>
  <c r="C85" i="7"/>
  <c r="F85" i="7" s="1"/>
  <c r="P84" i="7"/>
  <c r="C84" i="7"/>
  <c r="P83" i="7"/>
  <c r="C83" i="7"/>
  <c r="F83" i="7" s="1"/>
  <c r="P82" i="7"/>
  <c r="C82" i="7"/>
  <c r="P81" i="7"/>
  <c r="C81" i="7"/>
  <c r="P80" i="7"/>
  <c r="C80" i="7"/>
  <c r="E80" i="7" s="1"/>
  <c r="P79" i="7"/>
  <c r="C79" i="7"/>
  <c r="F79" i="7" s="1"/>
  <c r="P78" i="7"/>
  <c r="C78" i="7"/>
  <c r="O78" i="7" s="1"/>
  <c r="P77" i="7"/>
  <c r="C77" i="7"/>
  <c r="O77" i="7" s="1"/>
  <c r="P76" i="7"/>
  <c r="C76" i="7"/>
  <c r="O76" i="7" s="1"/>
  <c r="P75" i="7"/>
  <c r="C75" i="7"/>
  <c r="O75" i="7" s="1"/>
  <c r="P74" i="7"/>
  <c r="C74" i="7"/>
  <c r="O74" i="7" s="1"/>
  <c r="P73" i="7"/>
  <c r="C73" i="7"/>
  <c r="O73" i="7" s="1"/>
  <c r="P72" i="7"/>
  <c r="C72" i="7"/>
  <c r="O72" i="7" s="1"/>
  <c r="P71" i="7"/>
  <c r="C71" i="7"/>
  <c r="O71" i="7" s="1"/>
  <c r="P70" i="7"/>
  <c r="C70" i="7"/>
  <c r="O70" i="7" s="1"/>
  <c r="P69" i="7"/>
  <c r="C69" i="7"/>
  <c r="O69" i="7" s="1"/>
  <c r="P68" i="7"/>
  <c r="C68" i="7"/>
  <c r="O68" i="7" s="1"/>
  <c r="P67" i="7"/>
  <c r="C67" i="7"/>
  <c r="O67" i="7" s="1"/>
  <c r="P66" i="7"/>
  <c r="C66" i="7"/>
  <c r="O66" i="7" s="1"/>
  <c r="P65" i="7"/>
  <c r="C65" i="7"/>
  <c r="O65" i="7" s="1"/>
  <c r="P64" i="7"/>
  <c r="C64" i="7"/>
  <c r="O64" i="7" s="1"/>
  <c r="P63" i="7"/>
  <c r="C63" i="7"/>
  <c r="O63" i="7" s="1"/>
  <c r="P62" i="7"/>
  <c r="C62" i="7"/>
  <c r="O62" i="7" s="1"/>
  <c r="P61" i="7"/>
  <c r="C61" i="7"/>
  <c r="O61" i="7" s="1"/>
  <c r="P60" i="7"/>
  <c r="C60" i="7"/>
  <c r="O60" i="7" s="1"/>
  <c r="P59" i="7"/>
  <c r="C59" i="7"/>
  <c r="O59" i="7" s="1"/>
  <c r="P58" i="7"/>
  <c r="C58" i="7"/>
  <c r="O58" i="7" s="1"/>
  <c r="P57" i="7"/>
  <c r="C57" i="7"/>
  <c r="O57" i="7" s="1"/>
  <c r="P56" i="7"/>
  <c r="C56" i="7"/>
  <c r="O56" i="7" s="1"/>
  <c r="P55" i="7"/>
  <c r="C55" i="7"/>
  <c r="O55" i="7" s="1"/>
  <c r="P54" i="7"/>
  <c r="C54" i="7"/>
  <c r="O54" i="7" s="1"/>
  <c r="P53" i="7"/>
  <c r="C53" i="7"/>
  <c r="O53" i="7" s="1"/>
  <c r="P52" i="7"/>
  <c r="C52" i="7"/>
  <c r="O52" i="7" s="1"/>
  <c r="P51" i="7"/>
  <c r="C51" i="7"/>
  <c r="O51" i="7" s="1"/>
  <c r="P50" i="7"/>
  <c r="C50" i="7"/>
  <c r="O50" i="7" s="1"/>
  <c r="P49" i="7"/>
  <c r="C49" i="7"/>
  <c r="O49" i="7" s="1"/>
  <c r="P48" i="7"/>
  <c r="C48" i="7"/>
  <c r="O48" i="7" s="1"/>
  <c r="P47" i="7"/>
  <c r="C47" i="7"/>
  <c r="O47" i="7" s="1"/>
  <c r="P46" i="7"/>
  <c r="C46" i="7"/>
  <c r="O46" i="7" s="1"/>
  <c r="P45" i="7"/>
  <c r="C45" i="7"/>
  <c r="O45" i="7" s="1"/>
  <c r="P44" i="7"/>
  <c r="C44" i="7"/>
  <c r="O44" i="7" s="1"/>
  <c r="P43" i="7"/>
  <c r="C43" i="7"/>
  <c r="O43" i="7" s="1"/>
  <c r="P42" i="7"/>
  <c r="C42" i="7"/>
  <c r="O42" i="7" s="1"/>
  <c r="P41" i="7"/>
  <c r="C41" i="7"/>
  <c r="O41" i="7" s="1"/>
  <c r="P40" i="7"/>
  <c r="C40" i="7"/>
  <c r="O40" i="7" s="1"/>
  <c r="P39" i="7"/>
  <c r="C39" i="7"/>
  <c r="O39" i="7" s="1"/>
  <c r="P38" i="7"/>
  <c r="C38" i="7"/>
  <c r="O38" i="7" s="1"/>
  <c r="P37" i="7"/>
  <c r="C37" i="7"/>
  <c r="O37" i="7" s="1"/>
  <c r="P36" i="7"/>
  <c r="C36" i="7"/>
  <c r="O36" i="7" s="1"/>
  <c r="P35" i="7"/>
  <c r="C35" i="7"/>
  <c r="O35" i="7" s="1"/>
  <c r="P34" i="7"/>
  <c r="C34" i="7"/>
  <c r="O34" i="7" s="1"/>
  <c r="P33" i="7"/>
  <c r="C33" i="7"/>
  <c r="O33" i="7" s="1"/>
  <c r="P32" i="7"/>
  <c r="C32" i="7"/>
  <c r="O32" i="7" s="1"/>
  <c r="P31" i="7"/>
  <c r="C31" i="7"/>
  <c r="O31" i="7" s="1"/>
  <c r="P30" i="7"/>
  <c r="C30" i="7"/>
  <c r="O30" i="7" s="1"/>
  <c r="P29" i="7"/>
  <c r="C29" i="7"/>
  <c r="O29" i="7" s="1"/>
  <c r="P28" i="7"/>
  <c r="C28" i="7"/>
  <c r="O28" i="7" s="1"/>
  <c r="P27" i="7"/>
  <c r="C27" i="7"/>
  <c r="O27" i="7" s="1"/>
  <c r="P26" i="7"/>
  <c r="C26" i="7"/>
  <c r="O26" i="7" s="1"/>
  <c r="P25" i="7"/>
  <c r="C25" i="7"/>
  <c r="O25" i="7" s="1"/>
  <c r="P24" i="7"/>
  <c r="C24" i="7"/>
  <c r="O24" i="7" s="1"/>
  <c r="P23" i="7"/>
  <c r="C23" i="7"/>
  <c r="O23" i="7" s="1"/>
  <c r="P22" i="7"/>
  <c r="C22" i="7"/>
  <c r="O22" i="7" s="1"/>
  <c r="P21" i="7"/>
  <c r="C21" i="7"/>
  <c r="O21" i="7" s="1"/>
  <c r="P20" i="7"/>
  <c r="C20" i="7"/>
  <c r="O20" i="7" s="1"/>
  <c r="P19" i="7"/>
  <c r="C19" i="7"/>
  <c r="O19" i="7" s="1"/>
  <c r="P18" i="7"/>
  <c r="C18" i="7"/>
  <c r="O18" i="7" s="1"/>
  <c r="P17" i="7"/>
  <c r="C17" i="7"/>
  <c r="O17" i="7" s="1"/>
  <c r="O154" i="6"/>
  <c r="N154" i="6"/>
  <c r="K154" i="6"/>
  <c r="I154" i="6"/>
  <c r="H154" i="6"/>
  <c r="G154" i="6"/>
  <c r="F154" i="6"/>
  <c r="E154" i="6"/>
  <c r="D154" i="6"/>
  <c r="C154" i="6"/>
  <c r="B154" i="6"/>
  <c r="A154" i="6"/>
  <c r="N153" i="6"/>
  <c r="M153" i="6"/>
  <c r="L153" i="6"/>
  <c r="K153" i="6"/>
  <c r="J153" i="6"/>
  <c r="I153" i="6"/>
  <c r="H153" i="6"/>
  <c r="G153" i="6"/>
  <c r="F153" i="6"/>
  <c r="D153" i="6"/>
  <c r="E153" i="6" s="1"/>
  <c r="C153" i="6"/>
  <c r="B153" i="6"/>
  <c r="A153" i="6"/>
  <c r="O153" i="6" s="1"/>
  <c r="O152" i="6"/>
  <c r="L152" i="6"/>
  <c r="I152" i="6"/>
  <c r="H152" i="6"/>
  <c r="G152" i="6"/>
  <c r="F152" i="6"/>
  <c r="E152" i="6"/>
  <c r="D152" i="6"/>
  <c r="C152" i="6"/>
  <c r="B152" i="6"/>
  <c r="A152" i="6"/>
  <c r="N151" i="6"/>
  <c r="L151" i="6"/>
  <c r="K151" i="6"/>
  <c r="J151" i="6"/>
  <c r="I151" i="6"/>
  <c r="H151" i="6"/>
  <c r="G151" i="6"/>
  <c r="F151" i="6"/>
  <c r="D151" i="6"/>
  <c r="E151" i="6" s="1"/>
  <c r="C151" i="6"/>
  <c r="B151" i="6"/>
  <c r="A151" i="6"/>
  <c r="M151" i="6" s="1"/>
  <c r="M150" i="6"/>
  <c r="I150" i="6"/>
  <c r="H150" i="6"/>
  <c r="G150" i="6"/>
  <c r="F150" i="6"/>
  <c r="E150" i="6"/>
  <c r="D150" i="6"/>
  <c r="C150" i="6"/>
  <c r="B150" i="6"/>
  <c r="A150" i="6"/>
  <c r="N149" i="6"/>
  <c r="I149" i="6"/>
  <c r="H149" i="6"/>
  <c r="G149" i="6"/>
  <c r="F149" i="6"/>
  <c r="D149" i="6"/>
  <c r="E149" i="6" s="1"/>
  <c r="C149" i="6"/>
  <c r="B149" i="6"/>
  <c r="A149" i="6"/>
  <c r="I148" i="6"/>
  <c r="H148" i="6"/>
  <c r="G148" i="6"/>
  <c r="M148" i="6" s="1"/>
  <c r="F148" i="6"/>
  <c r="E148" i="6"/>
  <c r="D148" i="6"/>
  <c r="C148" i="6"/>
  <c r="B148" i="6"/>
  <c r="A148" i="6"/>
  <c r="O147" i="6"/>
  <c r="N147" i="6"/>
  <c r="L147" i="6"/>
  <c r="K147" i="6"/>
  <c r="J147" i="6"/>
  <c r="I147" i="6"/>
  <c r="H147" i="6"/>
  <c r="G147" i="6"/>
  <c r="M147" i="6" s="1"/>
  <c r="F147" i="6"/>
  <c r="D147" i="6"/>
  <c r="E147" i="6" s="1"/>
  <c r="C147" i="6"/>
  <c r="B147" i="6"/>
  <c r="A147" i="6"/>
  <c r="O146" i="6"/>
  <c r="I146" i="6"/>
  <c r="H146" i="6"/>
  <c r="G146" i="6"/>
  <c r="F146" i="6"/>
  <c r="E146" i="6"/>
  <c r="D146" i="6"/>
  <c r="C146" i="6"/>
  <c r="B146" i="6"/>
  <c r="A146" i="6"/>
  <c r="N145" i="6"/>
  <c r="M145" i="6"/>
  <c r="L145" i="6"/>
  <c r="K145" i="6"/>
  <c r="J145" i="6"/>
  <c r="I145" i="6"/>
  <c r="H145" i="6"/>
  <c r="G145" i="6"/>
  <c r="F145" i="6"/>
  <c r="E145" i="6"/>
  <c r="D145" i="6"/>
  <c r="C145" i="6"/>
  <c r="B145" i="6"/>
  <c r="A145" i="6"/>
  <c r="O145" i="6" s="1"/>
  <c r="O144" i="6"/>
  <c r="M144" i="6"/>
  <c r="K144" i="6"/>
  <c r="I144" i="6"/>
  <c r="H144" i="6"/>
  <c r="G144" i="6"/>
  <c r="F144" i="6"/>
  <c r="E144" i="6"/>
  <c r="D144" i="6"/>
  <c r="C144" i="6"/>
  <c r="B144" i="6"/>
  <c r="A144" i="6"/>
  <c r="N143" i="6"/>
  <c r="L143" i="6"/>
  <c r="K143" i="6"/>
  <c r="J143" i="6"/>
  <c r="I143" i="6"/>
  <c r="H143" i="6"/>
  <c r="G143" i="6"/>
  <c r="F143" i="6"/>
  <c r="D143" i="6"/>
  <c r="E143" i="6" s="1"/>
  <c r="C143" i="6"/>
  <c r="B143" i="6"/>
  <c r="A143" i="6"/>
  <c r="M143" i="6" s="1"/>
  <c r="I142" i="6"/>
  <c r="H142" i="6"/>
  <c r="G142" i="6"/>
  <c r="F142" i="6"/>
  <c r="E142" i="6"/>
  <c r="D142" i="6"/>
  <c r="C142" i="6"/>
  <c r="B142" i="6"/>
  <c r="A142" i="6"/>
  <c r="I141" i="6"/>
  <c r="H141" i="6"/>
  <c r="G141" i="6"/>
  <c r="F141" i="6"/>
  <c r="D141" i="6"/>
  <c r="E141" i="6" s="1"/>
  <c r="C141" i="6"/>
  <c r="B141" i="6"/>
  <c r="A141" i="6"/>
  <c r="O140" i="6"/>
  <c r="K140" i="6"/>
  <c r="I140" i="6"/>
  <c r="H140" i="6"/>
  <c r="G140" i="6"/>
  <c r="F140" i="6"/>
  <c r="E140" i="6"/>
  <c r="D140" i="6"/>
  <c r="C140" i="6"/>
  <c r="B140" i="6"/>
  <c r="A140" i="6"/>
  <c r="O139" i="6"/>
  <c r="N139" i="6"/>
  <c r="L139" i="6"/>
  <c r="K139" i="6"/>
  <c r="J139" i="6"/>
  <c r="I139" i="6"/>
  <c r="H139" i="6"/>
  <c r="G139" i="6"/>
  <c r="M139" i="6" s="1"/>
  <c r="F139" i="6"/>
  <c r="D139" i="6"/>
  <c r="E139" i="6" s="1"/>
  <c r="C139" i="6"/>
  <c r="B139" i="6"/>
  <c r="A139" i="6"/>
  <c r="N138" i="6"/>
  <c r="K138" i="6"/>
  <c r="I138" i="6"/>
  <c r="H138" i="6"/>
  <c r="G138" i="6"/>
  <c r="M138" i="6" s="1"/>
  <c r="F138" i="6"/>
  <c r="E138" i="6"/>
  <c r="D138" i="6"/>
  <c r="C138" i="6"/>
  <c r="B138" i="6"/>
  <c r="A138" i="6"/>
  <c r="N137" i="6"/>
  <c r="M137" i="6"/>
  <c r="L137" i="6"/>
  <c r="K137" i="6"/>
  <c r="J137" i="6"/>
  <c r="I137" i="6"/>
  <c r="H137" i="6"/>
  <c r="G137" i="6"/>
  <c r="F137" i="6"/>
  <c r="E137" i="6"/>
  <c r="D137" i="6"/>
  <c r="C137" i="6"/>
  <c r="B137" i="6"/>
  <c r="A137" i="6"/>
  <c r="O137" i="6" s="1"/>
  <c r="O136" i="6"/>
  <c r="K136" i="6"/>
  <c r="I136" i="6"/>
  <c r="H136" i="6"/>
  <c r="G136" i="6"/>
  <c r="F136" i="6"/>
  <c r="E136" i="6"/>
  <c r="D136" i="6"/>
  <c r="C136" i="6"/>
  <c r="B136" i="6"/>
  <c r="A136" i="6"/>
  <c r="N135" i="6"/>
  <c r="L135" i="6"/>
  <c r="K135" i="6"/>
  <c r="J135" i="6"/>
  <c r="I135" i="6"/>
  <c r="H135" i="6"/>
  <c r="G135" i="6"/>
  <c r="F135" i="6"/>
  <c r="D135" i="6"/>
  <c r="E135" i="6" s="1"/>
  <c r="C135" i="6"/>
  <c r="B135" i="6"/>
  <c r="A135" i="6"/>
  <c r="M135" i="6" s="1"/>
  <c r="O134" i="6"/>
  <c r="M134" i="6"/>
  <c r="K134" i="6"/>
  <c r="J134" i="6"/>
  <c r="I134" i="6"/>
  <c r="H134" i="6"/>
  <c r="G134" i="6"/>
  <c r="F134" i="6"/>
  <c r="E134" i="6"/>
  <c r="D134" i="6"/>
  <c r="C134" i="6"/>
  <c r="B134" i="6"/>
  <c r="A134" i="6"/>
  <c r="I133" i="6"/>
  <c r="H133" i="6"/>
  <c r="G133" i="6"/>
  <c r="F133" i="6"/>
  <c r="D133" i="6"/>
  <c r="E133" i="6" s="1"/>
  <c r="C133" i="6"/>
  <c r="B133" i="6"/>
  <c r="A133" i="6"/>
  <c r="I132" i="6"/>
  <c r="H132" i="6"/>
  <c r="G132" i="6"/>
  <c r="F132" i="6"/>
  <c r="E132" i="6"/>
  <c r="D132" i="6"/>
  <c r="C132" i="6"/>
  <c r="B132" i="6"/>
  <c r="A132" i="6"/>
  <c r="O131" i="6"/>
  <c r="N131" i="6"/>
  <c r="L131" i="6"/>
  <c r="K131" i="6"/>
  <c r="J131" i="6"/>
  <c r="I131" i="6"/>
  <c r="H131" i="6"/>
  <c r="G131" i="6"/>
  <c r="M131" i="6" s="1"/>
  <c r="F131" i="6"/>
  <c r="D131" i="6"/>
  <c r="E131" i="6" s="1"/>
  <c r="C131" i="6"/>
  <c r="B131" i="6"/>
  <c r="A131" i="6"/>
  <c r="N130" i="6"/>
  <c r="I130" i="6"/>
  <c r="H130" i="6"/>
  <c r="G130" i="6"/>
  <c r="M130" i="6" s="1"/>
  <c r="F130" i="6"/>
  <c r="E130" i="6"/>
  <c r="D130" i="6"/>
  <c r="C130" i="6"/>
  <c r="B130" i="6"/>
  <c r="A130" i="6"/>
  <c r="O130" i="6" s="1"/>
  <c r="N129" i="6"/>
  <c r="M129" i="6"/>
  <c r="L129" i="6"/>
  <c r="K129" i="6"/>
  <c r="J129" i="6"/>
  <c r="I129" i="6"/>
  <c r="H129" i="6"/>
  <c r="G129" i="6"/>
  <c r="F129" i="6"/>
  <c r="E129" i="6"/>
  <c r="D129" i="6"/>
  <c r="C129" i="6"/>
  <c r="B129" i="6"/>
  <c r="A129" i="6"/>
  <c r="O129" i="6" s="1"/>
  <c r="K128" i="6"/>
  <c r="I128" i="6"/>
  <c r="H128" i="6"/>
  <c r="G128" i="6"/>
  <c r="M128" i="6" s="1"/>
  <c r="F128" i="6"/>
  <c r="D128" i="6"/>
  <c r="E128" i="6" s="1"/>
  <c r="C128" i="6"/>
  <c r="B128" i="6"/>
  <c r="A128" i="6"/>
  <c r="N127" i="6"/>
  <c r="L127" i="6"/>
  <c r="K127" i="6"/>
  <c r="J127" i="6"/>
  <c r="I127" i="6"/>
  <c r="H127" i="6"/>
  <c r="G127" i="6"/>
  <c r="F127" i="6"/>
  <c r="D127" i="6"/>
  <c r="E127" i="6" s="1"/>
  <c r="C127" i="6"/>
  <c r="B127" i="6"/>
  <c r="A127" i="6"/>
  <c r="M127" i="6" s="1"/>
  <c r="O126" i="6"/>
  <c r="K126" i="6"/>
  <c r="I126" i="6"/>
  <c r="H126" i="6"/>
  <c r="G126" i="6"/>
  <c r="F126" i="6"/>
  <c r="E126" i="6"/>
  <c r="D126" i="6"/>
  <c r="C126" i="6"/>
  <c r="B126" i="6"/>
  <c r="A126" i="6"/>
  <c r="N125" i="6"/>
  <c r="L125" i="6"/>
  <c r="I125" i="6"/>
  <c r="H125" i="6"/>
  <c r="G125" i="6"/>
  <c r="F125" i="6"/>
  <c r="D125" i="6"/>
  <c r="E125" i="6" s="1"/>
  <c r="C125" i="6"/>
  <c r="B125" i="6"/>
  <c r="A125" i="6"/>
  <c r="O124" i="6"/>
  <c r="K124" i="6"/>
  <c r="I124" i="6"/>
  <c r="H124" i="6"/>
  <c r="G124" i="6"/>
  <c r="F124" i="6"/>
  <c r="E124" i="6"/>
  <c r="D124" i="6"/>
  <c r="C124" i="6"/>
  <c r="B124" i="6"/>
  <c r="A124" i="6"/>
  <c r="O123" i="6"/>
  <c r="N123" i="6"/>
  <c r="L123" i="6"/>
  <c r="K123" i="6"/>
  <c r="J123" i="6"/>
  <c r="I123" i="6"/>
  <c r="H123" i="6"/>
  <c r="G123" i="6"/>
  <c r="M123" i="6" s="1"/>
  <c r="F123" i="6"/>
  <c r="D123" i="6"/>
  <c r="E123" i="6" s="1"/>
  <c r="C123" i="6"/>
  <c r="B123" i="6"/>
  <c r="A123" i="6"/>
  <c r="N122" i="6"/>
  <c r="I122" i="6"/>
  <c r="H122" i="6"/>
  <c r="G122" i="6"/>
  <c r="F122" i="6"/>
  <c r="E122" i="6"/>
  <c r="D122" i="6"/>
  <c r="C122" i="6"/>
  <c r="B122" i="6"/>
  <c r="A122" i="6"/>
  <c r="N121" i="6"/>
  <c r="M121" i="6"/>
  <c r="L121" i="6"/>
  <c r="K121" i="6"/>
  <c r="J121" i="6"/>
  <c r="I121" i="6"/>
  <c r="H121" i="6"/>
  <c r="G121" i="6"/>
  <c r="F121" i="6"/>
  <c r="D121" i="6"/>
  <c r="E121" i="6" s="1"/>
  <c r="C121" i="6"/>
  <c r="B121" i="6"/>
  <c r="A121" i="6"/>
  <c r="O121" i="6" s="1"/>
  <c r="O120" i="6"/>
  <c r="M120" i="6"/>
  <c r="L120" i="6"/>
  <c r="J120" i="6"/>
  <c r="I120" i="6"/>
  <c r="H120" i="6"/>
  <c r="G120" i="6"/>
  <c r="F120" i="6"/>
  <c r="D120" i="6"/>
  <c r="E120" i="6" s="1"/>
  <c r="C120" i="6"/>
  <c r="B120" i="6"/>
  <c r="A120" i="6"/>
  <c r="N120" i="6" s="1"/>
  <c r="N119" i="6"/>
  <c r="I119" i="6"/>
  <c r="H119" i="6"/>
  <c r="G119" i="6"/>
  <c r="F119" i="6"/>
  <c r="D119" i="6"/>
  <c r="E119" i="6" s="1"/>
  <c r="C119" i="6"/>
  <c r="B119" i="6"/>
  <c r="A119" i="6"/>
  <c r="I118" i="6"/>
  <c r="H118" i="6"/>
  <c r="G118" i="6"/>
  <c r="F118" i="6"/>
  <c r="E118" i="6"/>
  <c r="D118" i="6"/>
  <c r="C118" i="6"/>
  <c r="B118" i="6"/>
  <c r="A118" i="6"/>
  <c r="L117" i="6"/>
  <c r="I117" i="6"/>
  <c r="H117" i="6"/>
  <c r="G117" i="6"/>
  <c r="F117" i="6"/>
  <c r="D117" i="6"/>
  <c r="E117" i="6" s="1"/>
  <c r="C117" i="6"/>
  <c r="B117" i="6"/>
  <c r="A117" i="6"/>
  <c r="N116" i="6"/>
  <c r="K116" i="6"/>
  <c r="I116" i="6"/>
  <c r="H116" i="6"/>
  <c r="G116" i="6"/>
  <c r="F116" i="6"/>
  <c r="E116" i="6"/>
  <c r="D116" i="6"/>
  <c r="C116" i="6"/>
  <c r="B116" i="6"/>
  <c r="A116" i="6"/>
  <c r="O115" i="6"/>
  <c r="N115" i="6"/>
  <c r="M115" i="6"/>
  <c r="L115" i="6"/>
  <c r="K115" i="6"/>
  <c r="J115" i="6"/>
  <c r="I115" i="6"/>
  <c r="H115" i="6"/>
  <c r="G115" i="6"/>
  <c r="F115" i="6"/>
  <c r="E115" i="6"/>
  <c r="D115" i="6"/>
  <c r="C115" i="6"/>
  <c r="B115" i="6"/>
  <c r="A115" i="6"/>
  <c r="M114" i="6"/>
  <c r="L114" i="6"/>
  <c r="I114" i="6"/>
  <c r="H114" i="6"/>
  <c r="G114" i="6"/>
  <c r="F114" i="6"/>
  <c r="D114" i="6"/>
  <c r="E114" i="6" s="1"/>
  <c r="C114" i="6"/>
  <c r="B114" i="6"/>
  <c r="A114" i="6"/>
  <c r="J114" i="6" s="1"/>
  <c r="N113" i="6"/>
  <c r="M113" i="6"/>
  <c r="L113" i="6"/>
  <c r="K113" i="6"/>
  <c r="J113" i="6"/>
  <c r="I113" i="6"/>
  <c r="H113" i="6"/>
  <c r="G113" i="6"/>
  <c r="F113" i="6"/>
  <c r="E113" i="6"/>
  <c r="D113" i="6"/>
  <c r="C113" i="6"/>
  <c r="B113" i="6"/>
  <c r="A113" i="6"/>
  <c r="O113" i="6" s="1"/>
  <c r="K112" i="6"/>
  <c r="I112" i="6"/>
  <c r="H112" i="6"/>
  <c r="G112" i="6"/>
  <c r="M112" i="6" s="1"/>
  <c r="F112" i="6"/>
  <c r="E112" i="6"/>
  <c r="D112" i="6"/>
  <c r="C112" i="6"/>
  <c r="B112" i="6"/>
  <c r="A112" i="6"/>
  <c r="N112" i="6" s="1"/>
  <c r="N111" i="6"/>
  <c r="L111" i="6"/>
  <c r="I111" i="6"/>
  <c r="H111" i="6"/>
  <c r="G111" i="6"/>
  <c r="F111" i="6"/>
  <c r="D111" i="6"/>
  <c r="E111" i="6" s="1"/>
  <c r="C111" i="6"/>
  <c r="B111" i="6"/>
  <c r="A111" i="6"/>
  <c r="M110" i="6"/>
  <c r="I110" i="6"/>
  <c r="H110" i="6"/>
  <c r="G110" i="6"/>
  <c r="F110" i="6"/>
  <c r="E110" i="6"/>
  <c r="D110" i="6"/>
  <c r="C110" i="6"/>
  <c r="B110" i="6"/>
  <c r="A110" i="6"/>
  <c r="O109" i="6"/>
  <c r="L109" i="6"/>
  <c r="I109" i="6"/>
  <c r="H109" i="6"/>
  <c r="G109" i="6"/>
  <c r="F109" i="6"/>
  <c r="D109" i="6"/>
  <c r="E109" i="6" s="1"/>
  <c r="C109" i="6"/>
  <c r="B109" i="6"/>
  <c r="A109" i="6"/>
  <c r="O108" i="6"/>
  <c r="I108" i="6"/>
  <c r="H108" i="6"/>
  <c r="G108" i="6"/>
  <c r="F108" i="6"/>
  <c r="E108" i="6"/>
  <c r="D108" i="6"/>
  <c r="C108" i="6"/>
  <c r="B108" i="6"/>
  <c r="A108" i="6"/>
  <c r="O107" i="6"/>
  <c r="N107" i="6"/>
  <c r="M107" i="6"/>
  <c r="L107" i="6"/>
  <c r="K107" i="6"/>
  <c r="J107" i="6"/>
  <c r="I107" i="6"/>
  <c r="H107" i="6"/>
  <c r="G107" i="6"/>
  <c r="F107" i="6"/>
  <c r="D107" i="6"/>
  <c r="E107" i="6" s="1"/>
  <c r="C107" i="6"/>
  <c r="B107" i="6"/>
  <c r="A107" i="6"/>
  <c r="O106" i="6"/>
  <c r="K106" i="6"/>
  <c r="I106" i="6"/>
  <c r="H106" i="6"/>
  <c r="G106" i="6"/>
  <c r="M106" i="6" s="1"/>
  <c r="F106" i="6"/>
  <c r="E106" i="6"/>
  <c r="D106" i="6"/>
  <c r="C106" i="6"/>
  <c r="B106" i="6"/>
  <c r="A106" i="6"/>
  <c r="N106" i="6" s="1"/>
  <c r="I105" i="6"/>
  <c r="H105" i="6"/>
  <c r="G105" i="6"/>
  <c r="F105" i="6"/>
  <c r="E105" i="6"/>
  <c r="D105" i="6"/>
  <c r="C105" i="6"/>
  <c r="B105" i="6"/>
  <c r="A105" i="6"/>
  <c r="L104" i="6"/>
  <c r="K104" i="6"/>
  <c r="I104" i="6"/>
  <c r="H104" i="6"/>
  <c r="G104" i="6"/>
  <c r="F104" i="6"/>
  <c r="D104" i="6"/>
  <c r="E104" i="6" s="1"/>
  <c r="C104" i="6"/>
  <c r="B104" i="6"/>
  <c r="A104" i="6"/>
  <c r="N104" i="6" s="1"/>
  <c r="I103" i="6"/>
  <c r="H103" i="6"/>
  <c r="G103" i="6"/>
  <c r="F103" i="6"/>
  <c r="D103" i="6"/>
  <c r="E103" i="6" s="1"/>
  <c r="C103" i="6"/>
  <c r="B103" i="6"/>
  <c r="A103" i="6"/>
  <c r="O102" i="6"/>
  <c r="J102" i="6"/>
  <c r="I102" i="6"/>
  <c r="H102" i="6"/>
  <c r="G102" i="6"/>
  <c r="M102" i="6" s="1"/>
  <c r="F102" i="6"/>
  <c r="E102" i="6"/>
  <c r="D102" i="6"/>
  <c r="C102" i="6"/>
  <c r="B102" i="6"/>
  <c r="A102" i="6"/>
  <c r="L102" i="6" s="1"/>
  <c r="O101" i="6"/>
  <c r="N101" i="6"/>
  <c r="M101" i="6"/>
  <c r="J101" i="6"/>
  <c r="I101" i="6"/>
  <c r="H101" i="6"/>
  <c r="G101" i="6"/>
  <c r="F101" i="6"/>
  <c r="E101" i="6"/>
  <c r="D101" i="6"/>
  <c r="C101" i="6"/>
  <c r="B101" i="6"/>
  <c r="A101" i="6"/>
  <c r="K101" i="6" s="1"/>
  <c r="O100" i="6"/>
  <c r="N100" i="6"/>
  <c r="M100" i="6"/>
  <c r="L100" i="6"/>
  <c r="K100" i="6"/>
  <c r="I100" i="6"/>
  <c r="H100" i="6"/>
  <c r="G100" i="6"/>
  <c r="F100" i="6"/>
  <c r="D100" i="6"/>
  <c r="E100" i="6" s="1"/>
  <c r="C100" i="6"/>
  <c r="B100" i="6"/>
  <c r="A100" i="6"/>
  <c r="J100" i="6" s="1"/>
  <c r="O99" i="6"/>
  <c r="N99" i="6"/>
  <c r="L99" i="6"/>
  <c r="K99" i="6"/>
  <c r="J99" i="6"/>
  <c r="I99" i="6"/>
  <c r="H99" i="6"/>
  <c r="G99" i="6"/>
  <c r="M99" i="6" s="1"/>
  <c r="F99" i="6"/>
  <c r="E99" i="6"/>
  <c r="D99" i="6"/>
  <c r="C99" i="6"/>
  <c r="B99" i="6"/>
  <c r="A99" i="6"/>
  <c r="I98" i="6"/>
  <c r="H98" i="6"/>
  <c r="G98" i="6"/>
  <c r="F98" i="6"/>
  <c r="D98" i="6"/>
  <c r="E98" i="6" s="1"/>
  <c r="C98" i="6"/>
  <c r="B98" i="6"/>
  <c r="A98" i="6"/>
  <c r="N98" i="6" s="1"/>
  <c r="N97" i="6"/>
  <c r="L97" i="6"/>
  <c r="J97" i="6"/>
  <c r="I97" i="6"/>
  <c r="H97" i="6"/>
  <c r="G97" i="6"/>
  <c r="F97" i="6"/>
  <c r="D97" i="6"/>
  <c r="E97" i="6" s="1"/>
  <c r="C97" i="6"/>
  <c r="B97" i="6"/>
  <c r="A97" i="6"/>
  <c r="O97" i="6" s="1"/>
  <c r="O96" i="6"/>
  <c r="M96" i="6"/>
  <c r="L96" i="6"/>
  <c r="J96" i="6"/>
  <c r="I96" i="6"/>
  <c r="H96" i="6"/>
  <c r="G96" i="6"/>
  <c r="F96" i="6"/>
  <c r="E96" i="6"/>
  <c r="D96" i="6"/>
  <c r="C96" i="6"/>
  <c r="B96" i="6"/>
  <c r="A96" i="6"/>
  <c r="N96" i="6" s="1"/>
  <c r="I95" i="6"/>
  <c r="H95" i="6"/>
  <c r="G95" i="6"/>
  <c r="F95" i="6"/>
  <c r="D95" i="6"/>
  <c r="E95" i="6" s="1"/>
  <c r="C95" i="6"/>
  <c r="B95" i="6"/>
  <c r="A95" i="6"/>
  <c r="N94" i="6"/>
  <c r="K94" i="6"/>
  <c r="I94" i="6"/>
  <c r="H94" i="6"/>
  <c r="G94" i="6"/>
  <c r="F94" i="6"/>
  <c r="E94" i="6"/>
  <c r="D94" i="6"/>
  <c r="C94" i="6"/>
  <c r="B94" i="6"/>
  <c r="A94" i="6"/>
  <c r="L94" i="6" s="1"/>
  <c r="N93" i="6"/>
  <c r="I93" i="6"/>
  <c r="H93" i="6"/>
  <c r="G93" i="6"/>
  <c r="F93" i="6"/>
  <c r="E93" i="6"/>
  <c r="D93" i="6"/>
  <c r="C93" i="6"/>
  <c r="B93" i="6"/>
  <c r="A93" i="6"/>
  <c r="O93" i="6" s="1"/>
  <c r="I92" i="6"/>
  <c r="H92" i="6"/>
  <c r="G92" i="6"/>
  <c r="F92" i="6"/>
  <c r="D92" i="6"/>
  <c r="E92" i="6" s="1"/>
  <c r="C92" i="6"/>
  <c r="B92" i="6"/>
  <c r="A92" i="6"/>
  <c r="O91" i="6"/>
  <c r="N91" i="6"/>
  <c r="M91" i="6"/>
  <c r="L91" i="6"/>
  <c r="K91" i="6"/>
  <c r="J91" i="6"/>
  <c r="I91" i="6"/>
  <c r="H91" i="6"/>
  <c r="G91" i="6"/>
  <c r="F91" i="6"/>
  <c r="D91" i="6"/>
  <c r="E91" i="6" s="1"/>
  <c r="C91" i="6"/>
  <c r="B91" i="6"/>
  <c r="A91" i="6"/>
  <c r="I90" i="6"/>
  <c r="H90" i="6"/>
  <c r="G90" i="6"/>
  <c r="F90" i="6"/>
  <c r="E90" i="6"/>
  <c r="D90" i="6"/>
  <c r="C90" i="6"/>
  <c r="B90" i="6"/>
  <c r="A90" i="6"/>
  <c r="M89" i="6"/>
  <c r="K89" i="6"/>
  <c r="I89" i="6"/>
  <c r="H89" i="6"/>
  <c r="G89" i="6"/>
  <c r="F89" i="6"/>
  <c r="E89" i="6"/>
  <c r="D89" i="6"/>
  <c r="C89" i="6"/>
  <c r="B89" i="6"/>
  <c r="A89" i="6"/>
  <c r="O89" i="6" s="1"/>
  <c r="K88" i="6"/>
  <c r="I88" i="6"/>
  <c r="H88" i="6"/>
  <c r="G88" i="6"/>
  <c r="F88" i="6"/>
  <c r="E88" i="6"/>
  <c r="D88" i="6"/>
  <c r="C88" i="6"/>
  <c r="B88" i="6"/>
  <c r="A88" i="6"/>
  <c r="O87" i="6"/>
  <c r="N87" i="6"/>
  <c r="L87" i="6"/>
  <c r="K87" i="6"/>
  <c r="I87" i="6"/>
  <c r="H87" i="6"/>
  <c r="G87" i="6"/>
  <c r="F87" i="6"/>
  <c r="D87" i="6"/>
  <c r="E87" i="6" s="1"/>
  <c r="C87" i="6"/>
  <c r="B87" i="6"/>
  <c r="A87" i="6"/>
  <c r="I86" i="6"/>
  <c r="H86" i="6"/>
  <c r="G86" i="6"/>
  <c r="F86" i="6"/>
  <c r="E86" i="6"/>
  <c r="D86" i="6"/>
  <c r="C86" i="6"/>
  <c r="B86" i="6"/>
  <c r="A86" i="6"/>
  <c r="O85" i="6"/>
  <c r="M85" i="6"/>
  <c r="J85" i="6"/>
  <c r="I85" i="6"/>
  <c r="H85" i="6"/>
  <c r="G85" i="6"/>
  <c r="F85" i="6"/>
  <c r="D85" i="6"/>
  <c r="E85" i="6" s="1"/>
  <c r="C85" i="6"/>
  <c r="B85" i="6"/>
  <c r="A85" i="6"/>
  <c r="K85" i="6" s="1"/>
  <c r="O84" i="6"/>
  <c r="N84" i="6"/>
  <c r="M84" i="6"/>
  <c r="K84" i="6"/>
  <c r="I84" i="6"/>
  <c r="H84" i="6"/>
  <c r="G84" i="6"/>
  <c r="F84" i="6"/>
  <c r="E84" i="6"/>
  <c r="D84" i="6"/>
  <c r="C84" i="6"/>
  <c r="B84" i="6"/>
  <c r="A84" i="6"/>
  <c r="J84" i="6" s="1"/>
  <c r="O83" i="6"/>
  <c r="N83" i="6"/>
  <c r="L83" i="6"/>
  <c r="K83" i="6"/>
  <c r="J83" i="6"/>
  <c r="I83" i="6"/>
  <c r="H83" i="6"/>
  <c r="G83" i="6"/>
  <c r="M83" i="6" s="1"/>
  <c r="F83" i="6"/>
  <c r="D83" i="6"/>
  <c r="E83" i="6" s="1"/>
  <c r="C83" i="6"/>
  <c r="B83" i="6"/>
  <c r="A83" i="6"/>
  <c r="O82" i="6"/>
  <c r="N82" i="6"/>
  <c r="M82" i="6"/>
  <c r="L82" i="6"/>
  <c r="K82" i="6"/>
  <c r="J82" i="6"/>
  <c r="I82" i="6"/>
  <c r="H82" i="6"/>
  <c r="G82" i="6"/>
  <c r="F82" i="6"/>
  <c r="D82" i="6"/>
  <c r="E82" i="6" s="1"/>
  <c r="C82" i="6"/>
  <c r="B82" i="6"/>
  <c r="A82" i="6"/>
  <c r="N81" i="6"/>
  <c r="I81" i="6"/>
  <c r="H81" i="6"/>
  <c r="G81" i="6"/>
  <c r="F81" i="6"/>
  <c r="D81" i="6"/>
  <c r="E81" i="6" s="1"/>
  <c r="C81" i="6"/>
  <c r="B81" i="6"/>
  <c r="A81" i="6"/>
  <c r="O80" i="6"/>
  <c r="L80" i="6"/>
  <c r="J80" i="6"/>
  <c r="I80" i="6"/>
  <c r="H80" i="6"/>
  <c r="G80" i="6"/>
  <c r="F80" i="6"/>
  <c r="D80" i="6"/>
  <c r="E80" i="6" s="1"/>
  <c r="C80" i="6"/>
  <c r="B80" i="6"/>
  <c r="A80" i="6"/>
  <c r="N80" i="6" s="1"/>
  <c r="N79" i="6"/>
  <c r="L79" i="6"/>
  <c r="I79" i="6"/>
  <c r="H79" i="6"/>
  <c r="G79" i="6"/>
  <c r="F79" i="6"/>
  <c r="D79" i="6"/>
  <c r="E79" i="6" s="1"/>
  <c r="C79" i="6"/>
  <c r="B79" i="6"/>
  <c r="A79" i="6"/>
  <c r="N78" i="6"/>
  <c r="I78" i="6"/>
  <c r="H78" i="6"/>
  <c r="G78" i="6"/>
  <c r="F78" i="6"/>
  <c r="E78" i="6"/>
  <c r="D78" i="6"/>
  <c r="C78" i="6"/>
  <c r="B78" i="6"/>
  <c r="A78" i="6"/>
  <c r="N77" i="6"/>
  <c r="L77" i="6"/>
  <c r="I77" i="6"/>
  <c r="H77" i="6"/>
  <c r="G77" i="6"/>
  <c r="F77" i="6"/>
  <c r="E77" i="6"/>
  <c r="D77" i="6"/>
  <c r="C77" i="6"/>
  <c r="B77" i="6"/>
  <c r="A77" i="6"/>
  <c r="K77" i="6" s="1"/>
  <c r="O76" i="6"/>
  <c r="N76" i="6"/>
  <c r="L76" i="6"/>
  <c r="I76" i="6"/>
  <c r="H76" i="6"/>
  <c r="G76" i="6"/>
  <c r="F76" i="6"/>
  <c r="E76" i="6"/>
  <c r="D76" i="6"/>
  <c r="C76" i="6"/>
  <c r="B76" i="6"/>
  <c r="A76" i="6"/>
  <c r="O75" i="6"/>
  <c r="N75" i="6"/>
  <c r="M75" i="6"/>
  <c r="L75" i="6"/>
  <c r="K75" i="6"/>
  <c r="J75" i="6"/>
  <c r="I75" i="6"/>
  <c r="H75" i="6"/>
  <c r="G75" i="6"/>
  <c r="F75" i="6"/>
  <c r="E75" i="6"/>
  <c r="D75" i="6"/>
  <c r="C75" i="6"/>
  <c r="B75" i="6"/>
  <c r="A75" i="6"/>
  <c r="I74" i="6"/>
  <c r="H74" i="6"/>
  <c r="G74" i="6"/>
  <c r="F74" i="6"/>
  <c r="D74" i="6"/>
  <c r="E74" i="6" s="1"/>
  <c r="C74" i="6"/>
  <c r="B74" i="6"/>
  <c r="A74" i="6"/>
  <c r="I73" i="6"/>
  <c r="H73" i="6"/>
  <c r="G73" i="6"/>
  <c r="F73" i="6"/>
  <c r="E73" i="6"/>
  <c r="D73" i="6"/>
  <c r="C73" i="6"/>
  <c r="B73" i="6"/>
  <c r="A73" i="6"/>
  <c r="M72" i="6"/>
  <c r="K72" i="6"/>
  <c r="I72" i="6"/>
  <c r="H72" i="6"/>
  <c r="G72" i="6"/>
  <c r="F72" i="6"/>
  <c r="E72" i="6"/>
  <c r="D72" i="6"/>
  <c r="C72" i="6"/>
  <c r="B72" i="6"/>
  <c r="A72" i="6"/>
  <c r="N72" i="6" s="1"/>
  <c r="O71" i="6"/>
  <c r="N71" i="6"/>
  <c r="K71" i="6"/>
  <c r="I71" i="6"/>
  <c r="H71" i="6"/>
  <c r="G71" i="6"/>
  <c r="F71" i="6"/>
  <c r="D71" i="6"/>
  <c r="E71" i="6" s="1"/>
  <c r="C71" i="6"/>
  <c r="B71" i="6"/>
  <c r="A71" i="6"/>
  <c r="O70" i="6"/>
  <c r="N70" i="6"/>
  <c r="M70" i="6"/>
  <c r="K70" i="6"/>
  <c r="J70" i="6"/>
  <c r="I70" i="6"/>
  <c r="H70" i="6"/>
  <c r="G70" i="6"/>
  <c r="F70" i="6"/>
  <c r="E70" i="6"/>
  <c r="D70" i="6"/>
  <c r="C70" i="6"/>
  <c r="B70" i="6"/>
  <c r="A70" i="6"/>
  <c r="L70" i="6" s="1"/>
  <c r="M69" i="6"/>
  <c r="I69" i="6"/>
  <c r="H69" i="6"/>
  <c r="G69" i="6"/>
  <c r="F69" i="6"/>
  <c r="D69" i="6"/>
  <c r="E69" i="6" s="1"/>
  <c r="C69" i="6"/>
  <c r="B69" i="6"/>
  <c r="A69" i="6"/>
  <c r="O68" i="6"/>
  <c r="M68" i="6"/>
  <c r="K68" i="6"/>
  <c r="I68" i="6"/>
  <c r="H68" i="6"/>
  <c r="G68" i="6"/>
  <c r="F68" i="6"/>
  <c r="D68" i="6"/>
  <c r="E68" i="6" s="1"/>
  <c r="C68" i="6"/>
  <c r="B68" i="6"/>
  <c r="A68" i="6"/>
  <c r="J68" i="6" s="1"/>
  <c r="O67" i="6"/>
  <c r="N67" i="6"/>
  <c r="M67" i="6"/>
  <c r="L67" i="6"/>
  <c r="K67" i="6"/>
  <c r="J67" i="6"/>
  <c r="I67" i="6"/>
  <c r="H67" i="6"/>
  <c r="G67" i="6"/>
  <c r="F67" i="6"/>
  <c r="E67" i="6"/>
  <c r="D67" i="6"/>
  <c r="C67" i="6"/>
  <c r="B67" i="6"/>
  <c r="A67" i="6"/>
  <c r="O66" i="6"/>
  <c r="N66" i="6"/>
  <c r="M66" i="6"/>
  <c r="L66" i="6"/>
  <c r="J66" i="6"/>
  <c r="I66" i="6"/>
  <c r="H66" i="6"/>
  <c r="G66" i="6"/>
  <c r="F66" i="6"/>
  <c r="D66" i="6"/>
  <c r="E66" i="6" s="1"/>
  <c r="C66" i="6"/>
  <c r="B66" i="6"/>
  <c r="A66" i="6"/>
  <c r="K66" i="6" s="1"/>
  <c r="N65" i="6"/>
  <c r="M65" i="6"/>
  <c r="L65" i="6"/>
  <c r="K65" i="6"/>
  <c r="J65" i="6"/>
  <c r="I65" i="6"/>
  <c r="H65" i="6"/>
  <c r="G65" i="6"/>
  <c r="F65" i="6"/>
  <c r="D65" i="6"/>
  <c r="E65" i="6" s="1"/>
  <c r="C65" i="6"/>
  <c r="B65" i="6"/>
  <c r="A65" i="6"/>
  <c r="O65" i="6" s="1"/>
  <c r="L64" i="6"/>
  <c r="I64" i="6"/>
  <c r="H64" i="6"/>
  <c r="G64" i="6"/>
  <c r="F64" i="6"/>
  <c r="D64" i="6"/>
  <c r="E64" i="6" s="1"/>
  <c r="C64" i="6"/>
  <c r="B64" i="6"/>
  <c r="A64" i="6"/>
  <c r="O63" i="6"/>
  <c r="I63" i="6"/>
  <c r="H63" i="6"/>
  <c r="G63" i="6"/>
  <c r="F63" i="6"/>
  <c r="D63" i="6"/>
  <c r="E63" i="6" s="1"/>
  <c r="C63" i="6"/>
  <c r="B63" i="6"/>
  <c r="A63" i="6"/>
  <c r="L63" i="6" s="1"/>
  <c r="I62" i="6"/>
  <c r="H62" i="6"/>
  <c r="G62" i="6"/>
  <c r="F62" i="6"/>
  <c r="E62" i="6"/>
  <c r="D62" i="6"/>
  <c r="C62" i="6"/>
  <c r="B62" i="6"/>
  <c r="A62" i="6"/>
  <c r="L61" i="6"/>
  <c r="I61" i="6"/>
  <c r="H61" i="6"/>
  <c r="G61" i="6"/>
  <c r="F61" i="6"/>
  <c r="E61" i="6"/>
  <c r="D61" i="6"/>
  <c r="C61" i="6"/>
  <c r="B61" i="6"/>
  <c r="A61" i="6"/>
  <c r="N61" i="6" s="1"/>
  <c r="L60" i="6"/>
  <c r="I60" i="6"/>
  <c r="H60" i="6"/>
  <c r="G60" i="6"/>
  <c r="F60" i="6"/>
  <c r="E60" i="6"/>
  <c r="D60" i="6"/>
  <c r="C60" i="6"/>
  <c r="B60" i="6"/>
  <c r="A60" i="6"/>
  <c r="O59" i="6"/>
  <c r="N59" i="6"/>
  <c r="L59" i="6"/>
  <c r="K59" i="6"/>
  <c r="J59" i="6"/>
  <c r="I59" i="6"/>
  <c r="H59" i="6"/>
  <c r="G59" i="6"/>
  <c r="M59" i="6" s="1"/>
  <c r="F59" i="6"/>
  <c r="D59" i="6"/>
  <c r="E59" i="6" s="1"/>
  <c r="C59" i="6"/>
  <c r="B59" i="6"/>
  <c r="A59" i="6"/>
  <c r="K58" i="6"/>
  <c r="I58" i="6"/>
  <c r="H58" i="6"/>
  <c r="G58" i="6"/>
  <c r="F58" i="6"/>
  <c r="E58" i="6"/>
  <c r="D58" i="6"/>
  <c r="C58" i="6"/>
  <c r="B58" i="6"/>
  <c r="A58" i="6"/>
  <c r="M57" i="6"/>
  <c r="L57" i="6"/>
  <c r="K57" i="6"/>
  <c r="I57" i="6"/>
  <c r="H57" i="6"/>
  <c r="G57" i="6"/>
  <c r="F57" i="6"/>
  <c r="D57" i="6"/>
  <c r="E57" i="6" s="1"/>
  <c r="C57" i="6"/>
  <c r="B57" i="6"/>
  <c r="A57" i="6"/>
  <c r="J56" i="6"/>
  <c r="I56" i="6"/>
  <c r="H56" i="6"/>
  <c r="G56" i="6"/>
  <c r="F56" i="6"/>
  <c r="E56" i="6"/>
  <c r="D56" i="6"/>
  <c r="C56" i="6"/>
  <c r="B56" i="6"/>
  <c r="A56" i="6"/>
  <c r="N55" i="6"/>
  <c r="K55" i="6"/>
  <c r="I55" i="6"/>
  <c r="H55" i="6"/>
  <c r="G55" i="6"/>
  <c r="F55" i="6"/>
  <c r="D55" i="6"/>
  <c r="E55" i="6" s="1"/>
  <c r="C55" i="6"/>
  <c r="B55" i="6"/>
  <c r="A55" i="6"/>
  <c r="O54" i="6"/>
  <c r="N54" i="6"/>
  <c r="K54" i="6"/>
  <c r="J54" i="6"/>
  <c r="I54" i="6"/>
  <c r="H54" i="6"/>
  <c r="G54" i="6"/>
  <c r="M54" i="6" s="1"/>
  <c r="F54" i="6"/>
  <c r="E54" i="6"/>
  <c r="D54" i="6"/>
  <c r="C54" i="6"/>
  <c r="B54" i="6"/>
  <c r="A54" i="6"/>
  <c r="L54" i="6" s="1"/>
  <c r="O53" i="6"/>
  <c r="N53" i="6"/>
  <c r="M53" i="6"/>
  <c r="L53" i="6"/>
  <c r="J53" i="6"/>
  <c r="I53" i="6"/>
  <c r="H53" i="6"/>
  <c r="G53" i="6"/>
  <c r="F53" i="6"/>
  <c r="D53" i="6"/>
  <c r="E53" i="6" s="1"/>
  <c r="C53" i="6"/>
  <c r="B53" i="6"/>
  <c r="A53" i="6"/>
  <c r="K53" i="6" s="1"/>
  <c r="O52" i="6"/>
  <c r="M52" i="6"/>
  <c r="L52" i="6"/>
  <c r="I52" i="6"/>
  <c r="H52" i="6"/>
  <c r="G52" i="6"/>
  <c r="F52" i="6"/>
  <c r="D52" i="6"/>
  <c r="E52" i="6" s="1"/>
  <c r="C52" i="6"/>
  <c r="B52" i="6"/>
  <c r="A52" i="6"/>
  <c r="I51" i="6"/>
  <c r="H51" i="6"/>
  <c r="G51" i="6"/>
  <c r="F51" i="6"/>
  <c r="E51" i="6"/>
  <c r="D51" i="6"/>
  <c r="C51" i="6"/>
  <c r="B51" i="6"/>
  <c r="A51" i="6"/>
  <c r="N50" i="6"/>
  <c r="I50" i="6"/>
  <c r="H50" i="6"/>
  <c r="G50" i="6"/>
  <c r="F50" i="6"/>
  <c r="D50" i="6"/>
  <c r="E50" i="6" s="1"/>
  <c r="C50" i="6"/>
  <c r="B50" i="6"/>
  <c r="A50" i="6"/>
  <c r="O50" i="6" s="1"/>
  <c r="K49" i="6"/>
  <c r="I49" i="6"/>
  <c r="H49" i="6"/>
  <c r="G49" i="6"/>
  <c r="F49" i="6"/>
  <c r="E49" i="6"/>
  <c r="D49" i="6"/>
  <c r="C49" i="6"/>
  <c r="B49" i="6"/>
  <c r="A49" i="6"/>
  <c r="O48" i="6"/>
  <c r="N48" i="6"/>
  <c r="M48" i="6"/>
  <c r="L48" i="6"/>
  <c r="J48" i="6"/>
  <c r="I48" i="6"/>
  <c r="H48" i="6"/>
  <c r="G48" i="6"/>
  <c r="F48" i="6"/>
  <c r="D48" i="6"/>
  <c r="E48" i="6" s="1"/>
  <c r="C48" i="6"/>
  <c r="B48" i="6"/>
  <c r="A48" i="6"/>
  <c r="K48" i="6" s="1"/>
  <c r="O47" i="6"/>
  <c r="N47" i="6"/>
  <c r="M47" i="6"/>
  <c r="L47" i="6"/>
  <c r="K47" i="6"/>
  <c r="I47" i="6"/>
  <c r="H47" i="6"/>
  <c r="G47" i="6"/>
  <c r="F47" i="6"/>
  <c r="D47" i="6"/>
  <c r="E47" i="6" s="1"/>
  <c r="C47" i="6"/>
  <c r="B47" i="6"/>
  <c r="A47" i="6"/>
  <c r="J47" i="6" s="1"/>
  <c r="N46" i="6"/>
  <c r="M46" i="6"/>
  <c r="L46" i="6"/>
  <c r="K46" i="6"/>
  <c r="J46" i="6"/>
  <c r="I46" i="6"/>
  <c r="H46" i="6"/>
  <c r="G46" i="6"/>
  <c r="F46" i="6"/>
  <c r="D46" i="6"/>
  <c r="E46" i="6" s="1"/>
  <c r="C46" i="6"/>
  <c r="B46" i="6"/>
  <c r="A46" i="6"/>
  <c r="O46" i="6" s="1"/>
  <c r="O45" i="6"/>
  <c r="J45" i="6"/>
  <c r="I45" i="6"/>
  <c r="H45" i="6"/>
  <c r="G45" i="6"/>
  <c r="F45" i="6"/>
  <c r="D45" i="6"/>
  <c r="E45" i="6" s="1"/>
  <c r="C45" i="6"/>
  <c r="B45" i="6"/>
  <c r="A45" i="6"/>
  <c r="N45" i="6" s="1"/>
  <c r="N44" i="6"/>
  <c r="L44" i="6"/>
  <c r="K44" i="6"/>
  <c r="I44" i="6"/>
  <c r="H44" i="6"/>
  <c r="G44" i="6"/>
  <c r="F44" i="6"/>
  <c r="D44" i="6"/>
  <c r="E44" i="6" s="1"/>
  <c r="C44" i="6"/>
  <c r="B44" i="6"/>
  <c r="A44" i="6"/>
  <c r="I43" i="6"/>
  <c r="H43" i="6"/>
  <c r="G43" i="6"/>
  <c r="F43" i="6"/>
  <c r="D43" i="6"/>
  <c r="E43" i="6" s="1"/>
  <c r="C43" i="6"/>
  <c r="B43" i="6"/>
  <c r="A43" i="6"/>
  <c r="N42" i="6"/>
  <c r="J42" i="6"/>
  <c r="I42" i="6"/>
  <c r="H42" i="6"/>
  <c r="G42" i="6"/>
  <c r="F42" i="6"/>
  <c r="D42" i="6"/>
  <c r="E42" i="6" s="1"/>
  <c r="C42" i="6"/>
  <c r="B42" i="6"/>
  <c r="A42" i="6"/>
  <c r="M42" i="6" s="1"/>
  <c r="O41" i="6"/>
  <c r="I41" i="6"/>
  <c r="H41" i="6"/>
  <c r="G41" i="6"/>
  <c r="F41" i="6"/>
  <c r="E41" i="6"/>
  <c r="D41" i="6"/>
  <c r="C41" i="6"/>
  <c r="B41" i="6"/>
  <c r="A41" i="6"/>
  <c r="O40" i="6"/>
  <c r="N40" i="6"/>
  <c r="L40" i="6"/>
  <c r="I40" i="6"/>
  <c r="H40" i="6"/>
  <c r="G40" i="6"/>
  <c r="F40" i="6"/>
  <c r="D40" i="6"/>
  <c r="E40" i="6" s="1"/>
  <c r="C40" i="6"/>
  <c r="B40" i="6"/>
  <c r="A40" i="6"/>
  <c r="K40" i="6" s="1"/>
  <c r="O39" i="6"/>
  <c r="N39" i="6"/>
  <c r="M39" i="6"/>
  <c r="L39" i="6"/>
  <c r="K39" i="6"/>
  <c r="I39" i="6"/>
  <c r="H39" i="6"/>
  <c r="G39" i="6"/>
  <c r="F39" i="6"/>
  <c r="E39" i="6"/>
  <c r="D39" i="6"/>
  <c r="C39" i="6"/>
  <c r="B39" i="6"/>
  <c r="A39" i="6"/>
  <c r="J39" i="6" s="1"/>
  <c r="O38" i="6"/>
  <c r="N38" i="6"/>
  <c r="M38" i="6"/>
  <c r="L38" i="6"/>
  <c r="K38" i="6"/>
  <c r="J38" i="6"/>
  <c r="I38" i="6"/>
  <c r="H38" i="6"/>
  <c r="G38" i="6"/>
  <c r="F38" i="6"/>
  <c r="D38" i="6"/>
  <c r="E38" i="6" s="1"/>
  <c r="C38" i="6"/>
  <c r="B38" i="6"/>
  <c r="A38" i="6"/>
  <c r="M37" i="6"/>
  <c r="K37" i="6"/>
  <c r="I37" i="6"/>
  <c r="H37" i="6"/>
  <c r="G37" i="6"/>
  <c r="F37" i="6"/>
  <c r="E37" i="6"/>
  <c r="D37" i="6"/>
  <c r="C37" i="6"/>
  <c r="B37" i="6"/>
  <c r="A37" i="6"/>
  <c r="O37" i="6" s="1"/>
  <c r="L36" i="6"/>
  <c r="K36" i="6"/>
  <c r="J36" i="6"/>
  <c r="I36" i="6"/>
  <c r="H36" i="6"/>
  <c r="G36" i="6"/>
  <c r="F36" i="6"/>
  <c r="D36" i="6"/>
  <c r="E36" i="6" s="1"/>
  <c r="C36" i="6"/>
  <c r="B36" i="6"/>
  <c r="A36" i="6"/>
  <c r="O36" i="6" s="1"/>
  <c r="I35" i="6"/>
  <c r="H35" i="6"/>
  <c r="G35" i="6"/>
  <c r="F35" i="6"/>
  <c r="D35" i="6"/>
  <c r="E35" i="6" s="1"/>
  <c r="C35" i="6"/>
  <c r="B35" i="6"/>
  <c r="A35" i="6"/>
  <c r="N34" i="6"/>
  <c r="J34" i="6"/>
  <c r="I34" i="6"/>
  <c r="H34" i="6"/>
  <c r="G34" i="6"/>
  <c r="F34" i="6"/>
  <c r="D34" i="6"/>
  <c r="E34" i="6" s="1"/>
  <c r="C34" i="6"/>
  <c r="B34" i="6"/>
  <c r="A34" i="6"/>
  <c r="M34" i="6" s="1"/>
  <c r="O33" i="6"/>
  <c r="I33" i="6"/>
  <c r="H33" i="6"/>
  <c r="G33" i="6"/>
  <c r="F33" i="6"/>
  <c r="E33" i="6"/>
  <c r="D33" i="6"/>
  <c r="C33" i="6"/>
  <c r="B33" i="6"/>
  <c r="A33" i="6"/>
  <c r="M33" i="6" s="1"/>
  <c r="O32" i="6"/>
  <c r="N32" i="6"/>
  <c r="L32" i="6"/>
  <c r="I32" i="6"/>
  <c r="H32" i="6"/>
  <c r="G32" i="6"/>
  <c r="F32" i="6"/>
  <c r="D32" i="6"/>
  <c r="E32" i="6" s="1"/>
  <c r="C32" i="6"/>
  <c r="B32" i="6"/>
  <c r="A32" i="6"/>
  <c r="K32" i="6" s="1"/>
  <c r="O31" i="6"/>
  <c r="N31" i="6"/>
  <c r="M31" i="6"/>
  <c r="L31" i="6"/>
  <c r="K31" i="6"/>
  <c r="I31" i="6"/>
  <c r="H31" i="6"/>
  <c r="G31" i="6"/>
  <c r="F31" i="6"/>
  <c r="E31" i="6"/>
  <c r="D31" i="6"/>
  <c r="C31" i="6"/>
  <c r="B31" i="6"/>
  <c r="A31" i="6"/>
  <c r="J31" i="6" s="1"/>
  <c r="O30" i="6"/>
  <c r="N30" i="6"/>
  <c r="M30" i="6"/>
  <c r="L30" i="6"/>
  <c r="K30" i="6"/>
  <c r="J30" i="6"/>
  <c r="I30" i="6"/>
  <c r="H30" i="6"/>
  <c r="G30" i="6"/>
  <c r="F30" i="6"/>
  <c r="D30" i="6"/>
  <c r="E30" i="6" s="1"/>
  <c r="C30" i="6"/>
  <c r="B30" i="6"/>
  <c r="A30" i="6"/>
  <c r="M29" i="6"/>
  <c r="K29" i="6"/>
  <c r="I29" i="6"/>
  <c r="H29" i="6"/>
  <c r="G29" i="6"/>
  <c r="F29" i="6"/>
  <c r="E29" i="6"/>
  <c r="D29" i="6"/>
  <c r="C29" i="6"/>
  <c r="B29" i="6"/>
  <c r="A29" i="6"/>
  <c r="O29" i="6" s="1"/>
  <c r="L28" i="6"/>
  <c r="K28" i="6"/>
  <c r="J28" i="6"/>
  <c r="I28" i="6"/>
  <c r="H28" i="6"/>
  <c r="G28" i="6"/>
  <c r="F28" i="6"/>
  <c r="D28" i="6"/>
  <c r="E28" i="6" s="1"/>
  <c r="C28" i="6"/>
  <c r="B28" i="6"/>
  <c r="A28" i="6"/>
  <c r="O28" i="6" s="1"/>
  <c r="I27" i="6"/>
  <c r="H27" i="6"/>
  <c r="G27" i="6"/>
  <c r="F27" i="6"/>
  <c r="D27" i="6"/>
  <c r="E27" i="6" s="1"/>
  <c r="C27" i="6"/>
  <c r="B27" i="6"/>
  <c r="A27" i="6"/>
  <c r="N26" i="6"/>
  <c r="J26" i="6"/>
  <c r="I26" i="6"/>
  <c r="H26" i="6"/>
  <c r="G26" i="6"/>
  <c r="F26" i="6"/>
  <c r="D26" i="6"/>
  <c r="E26" i="6" s="1"/>
  <c r="C26" i="6"/>
  <c r="B26" i="6"/>
  <c r="A26" i="6"/>
  <c r="M26" i="6" s="1"/>
  <c r="I25" i="6"/>
  <c r="H25" i="6"/>
  <c r="G25" i="6"/>
  <c r="F25" i="6"/>
  <c r="E25" i="6"/>
  <c r="D25" i="6"/>
  <c r="C25" i="6"/>
  <c r="B25" i="6"/>
  <c r="A25" i="6"/>
  <c r="N24" i="6"/>
  <c r="I24" i="6"/>
  <c r="H24" i="6"/>
  <c r="G24" i="6"/>
  <c r="F24" i="6"/>
  <c r="D24" i="6"/>
  <c r="E24" i="6" s="1"/>
  <c r="C24" i="6"/>
  <c r="B24" i="6"/>
  <c r="A24" i="6"/>
  <c r="N23" i="6"/>
  <c r="I23" i="6"/>
  <c r="H23" i="6"/>
  <c r="G23" i="6"/>
  <c r="F23" i="6"/>
  <c r="D23" i="6"/>
  <c r="E23" i="6" s="1"/>
  <c r="C23" i="6"/>
  <c r="B23" i="6"/>
  <c r="A23" i="6"/>
  <c r="I22" i="6"/>
  <c r="H22" i="6"/>
  <c r="G22" i="6"/>
  <c r="F22" i="6"/>
  <c r="D22" i="6"/>
  <c r="E22" i="6" s="1"/>
  <c r="C22" i="6"/>
  <c r="B22" i="6"/>
  <c r="A22" i="6"/>
  <c r="I21" i="6"/>
  <c r="H21" i="6"/>
  <c r="G21" i="6"/>
  <c r="F21" i="6"/>
  <c r="E21" i="6"/>
  <c r="D21" i="6"/>
  <c r="C21" i="6"/>
  <c r="B21" i="6"/>
  <c r="A21" i="6"/>
  <c r="I20" i="6"/>
  <c r="H20" i="6"/>
  <c r="G20" i="6"/>
  <c r="F20" i="6"/>
  <c r="D20" i="6"/>
  <c r="E20" i="6" s="1"/>
  <c r="C20" i="6"/>
  <c r="B20" i="6"/>
  <c r="A20" i="6"/>
  <c r="I19" i="6"/>
  <c r="H19" i="6"/>
  <c r="G19" i="6"/>
  <c r="F19" i="6"/>
  <c r="D19" i="6"/>
  <c r="E19" i="6" s="1"/>
  <c r="C19" i="6"/>
  <c r="B19" i="6"/>
  <c r="A19" i="6"/>
  <c r="I18" i="6"/>
  <c r="H18" i="6"/>
  <c r="G18" i="6"/>
  <c r="F18" i="6"/>
  <c r="D18" i="6"/>
  <c r="E18" i="6" s="1"/>
  <c r="C18" i="6"/>
  <c r="B18" i="6"/>
  <c r="A18" i="6"/>
  <c r="I17" i="6"/>
  <c r="H17" i="6"/>
  <c r="G17" i="6"/>
  <c r="F17" i="6"/>
  <c r="D17" i="6"/>
  <c r="E17" i="6" s="1"/>
  <c r="C17" i="6"/>
  <c r="B17" i="6"/>
  <c r="A17" i="6"/>
  <c r="I16" i="6"/>
  <c r="H16" i="6"/>
  <c r="G16" i="6"/>
  <c r="F16" i="6"/>
  <c r="D16" i="6"/>
  <c r="E16" i="6" s="1"/>
  <c r="C16" i="6"/>
  <c r="B16" i="6"/>
  <c r="A16" i="6"/>
  <c r="N15" i="6"/>
  <c r="I15" i="6"/>
  <c r="H15" i="6"/>
  <c r="G15" i="6"/>
  <c r="F15" i="6"/>
  <c r="E15" i="6"/>
  <c r="D15" i="6"/>
  <c r="C15" i="6"/>
  <c r="B15" i="6"/>
  <c r="A15" i="6"/>
  <c r="N14" i="6"/>
  <c r="I14" i="6"/>
  <c r="H14" i="6"/>
  <c r="G14" i="6"/>
  <c r="F14" i="6"/>
  <c r="D14" i="6"/>
  <c r="C14" i="6"/>
  <c r="B14" i="6"/>
  <c r="A14" i="6"/>
  <c r="I13" i="6"/>
  <c r="H13" i="6"/>
  <c r="G13" i="6"/>
  <c r="F13" i="6"/>
  <c r="E13" i="6"/>
  <c r="D13" i="6"/>
  <c r="C13" i="6"/>
  <c r="B13" i="6"/>
  <c r="A13" i="6"/>
  <c r="I12" i="6"/>
  <c r="H12" i="6"/>
  <c r="G12" i="6"/>
  <c r="F12" i="6"/>
  <c r="D12" i="6"/>
  <c r="E12" i="6" s="1"/>
  <c r="C12" i="6"/>
  <c r="B12" i="6"/>
  <c r="A12" i="6"/>
  <c r="I11" i="6"/>
  <c r="H11" i="6"/>
  <c r="G11" i="6"/>
  <c r="F11" i="6"/>
  <c r="D11" i="6"/>
  <c r="E11" i="6" s="1"/>
  <c r="C11" i="6"/>
  <c r="B11" i="6"/>
  <c r="A11" i="6"/>
  <c r="N10" i="6"/>
  <c r="I10" i="6"/>
  <c r="H10" i="6"/>
  <c r="G10" i="6"/>
  <c r="F10" i="6"/>
  <c r="D10" i="6"/>
  <c r="E10" i="6" s="1"/>
  <c r="C10" i="6"/>
  <c r="B10" i="6"/>
  <c r="A10" i="6"/>
  <c r="I9" i="6"/>
  <c r="H9" i="6"/>
  <c r="G9" i="6"/>
  <c r="F9" i="6"/>
  <c r="E9" i="6"/>
  <c r="D9" i="6"/>
  <c r="C9" i="6"/>
  <c r="B9" i="6"/>
  <c r="A9" i="6"/>
  <c r="N8" i="6"/>
  <c r="I8" i="6"/>
  <c r="H8" i="6"/>
  <c r="G8" i="6"/>
  <c r="F8" i="6"/>
  <c r="D8" i="6"/>
  <c r="E8" i="6" s="1"/>
  <c r="C8" i="6"/>
  <c r="B8" i="6"/>
  <c r="A8" i="6"/>
  <c r="I7" i="6"/>
  <c r="H7" i="6"/>
  <c r="G7" i="6"/>
  <c r="N7" i="6" s="1"/>
  <c r="F7" i="6"/>
  <c r="E7" i="6"/>
  <c r="D7" i="6"/>
  <c r="C7" i="6"/>
  <c r="B7" i="6"/>
  <c r="A7" i="6"/>
  <c r="N6" i="6"/>
  <c r="I6" i="6"/>
  <c r="H6" i="6"/>
  <c r="G6" i="6"/>
  <c r="F6" i="6"/>
  <c r="D6" i="6"/>
  <c r="E6" i="6" s="1"/>
  <c r="C6" i="6"/>
  <c r="B6" i="6"/>
  <c r="A6" i="6"/>
  <c r="I5" i="6"/>
  <c r="H5" i="6"/>
  <c r="G5" i="6"/>
  <c r="F5" i="6"/>
  <c r="E5" i="6"/>
  <c r="D5" i="6"/>
  <c r="C5" i="6"/>
  <c r="B5" i="6"/>
  <c r="A5" i="6"/>
  <c r="J154" i="5"/>
  <c r="I154" i="5"/>
  <c r="H154" i="5"/>
  <c r="G154" i="5"/>
  <c r="F154" i="5"/>
  <c r="D154" i="5"/>
  <c r="E154" i="5" s="1"/>
  <c r="C154" i="5"/>
  <c r="B154" i="5"/>
  <c r="A154" i="5"/>
  <c r="O153" i="5"/>
  <c r="K153" i="5"/>
  <c r="I153" i="5"/>
  <c r="H153" i="5"/>
  <c r="G153" i="5"/>
  <c r="F153" i="5"/>
  <c r="D153" i="5"/>
  <c r="E153" i="5" s="1"/>
  <c r="C153" i="5"/>
  <c r="B153" i="5"/>
  <c r="N153" i="5" s="1"/>
  <c r="A153" i="5"/>
  <c r="N152" i="5"/>
  <c r="I152" i="5"/>
  <c r="H152" i="5"/>
  <c r="G152" i="5"/>
  <c r="F152" i="5"/>
  <c r="D152" i="5"/>
  <c r="E152" i="5" s="1"/>
  <c r="C152" i="5"/>
  <c r="B152" i="5"/>
  <c r="A152" i="5"/>
  <c r="O151" i="5"/>
  <c r="N151" i="5"/>
  <c r="M151" i="5"/>
  <c r="I151" i="5"/>
  <c r="H151" i="5"/>
  <c r="G151" i="5"/>
  <c r="F151" i="5"/>
  <c r="E151" i="5"/>
  <c r="D151" i="5"/>
  <c r="C151" i="5"/>
  <c r="B151" i="5"/>
  <c r="L151" i="5" s="1"/>
  <c r="A151" i="5"/>
  <c r="O150" i="5"/>
  <c r="N150" i="5"/>
  <c r="M150" i="5"/>
  <c r="L150" i="5"/>
  <c r="I150" i="5"/>
  <c r="H150" i="5"/>
  <c r="G150" i="5"/>
  <c r="F150" i="5"/>
  <c r="E150" i="5"/>
  <c r="D150" i="5"/>
  <c r="C150" i="5"/>
  <c r="B150" i="5"/>
  <c r="K150" i="5" s="1"/>
  <c r="A150" i="5"/>
  <c r="O149" i="5"/>
  <c r="N149" i="5"/>
  <c r="M149" i="5"/>
  <c r="L149" i="5"/>
  <c r="K149" i="5"/>
  <c r="I149" i="5"/>
  <c r="H149" i="5"/>
  <c r="G149" i="5"/>
  <c r="F149" i="5"/>
  <c r="E149" i="5"/>
  <c r="D149" i="5"/>
  <c r="C149" i="5"/>
  <c r="B149" i="5"/>
  <c r="J149" i="5" s="1"/>
  <c r="A149" i="5"/>
  <c r="J148" i="5"/>
  <c r="I148" i="5"/>
  <c r="H148" i="5"/>
  <c r="G148" i="5"/>
  <c r="F148" i="5"/>
  <c r="D148" i="5"/>
  <c r="E148" i="5" s="1"/>
  <c r="C148" i="5"/>
  <c r="B148" i="5"/>
  <c r="A148" i="5"/>
  <c r="M147" i="5"/>
  <c r="L147" i="5"/>
  <c r="K147" i="5"/>
  <c r="I147" i="5"/>
  <c r="H147" i="5"/>
  <c r="G147" i="5"/>
  <c r="F147" i="5"/>
  <c r="E147" i="5"/>
  <c r="D147" i="5"/>
  <c r="C147" i="5"/>
  <c r="B147" i="5"/>
  <c r="A147" i="5"/>
  <c r="J146" i="5"/>
  <c r="I146" i="5"/>
  <c r="H146" i="5"/>
  <c r="G146" i="5"/>
  <c r="F146" i="5"/>
  <c r="D146" i="5"/>
  <c r="E146" i="5" s="1"/>
  <c r="C146" i="5"/>
  <c r="B146" i="5"/>
  <c r="A146" i="5"/>
  <c r="O145" i="5"/>
  <c r="J145" i="5"/>
  <c r="I145" i="5"/>
  <c r="H145" i="5"/>
  <c r="G145" i="5"/>
  <c r="F145" i="5"/>
  <c r="D145" i="5"/>
  <c r="E145" i="5" s="1"/>
  <c r="C145" i="5"/>
  <c r="B145" i="5"/>
  <c r="A145" i="5"/>
  <c r="I144" i="5"/>
  <c r="H144" i="5"/>
  <c r="G144" i="5"/>
  <c r="F144" i="5"/>
  <c r="D144" i="5"/>
  <c r="E144" i="5" s="1"/>
  <c r="C144" i="5"/>
  <c r="B144" i="5"/>
  <c r="J144" i="5" s="1"/>
  <c r="A144" i="5"/>
  <c r="O143" i="5"/>
  <c r="N143" i="5"/>
  <c r="M143" i="5"/>
  <c r="I143" i="5"/>
  <c r="H143" i="5"/>
  <c r="G143" i="5"/>
  <c r="F143" i="5"/>
  <c r="E143" i="5"/>
  <c r="D143" i="5"/>
  <c r="C143" i="5"/>
  <c r="B143" i="5"/>
  <c r="L143" i="5" s="1"/>
  <c r="A143" i="5"/>
  <c r="O142" i="5"/>
  <c r="N142" i="5"/>
  <c r="L142" i="5"/>
  <c r="I142" i="5"/>
  <c r="H142" i="5"/>
  <c r="M142" i="5" s="1"/>
  <c r="G142" i="5"/>
  <c r="F142" i="5"/>
  <c r="E142" i="5"/>
  <c r="D142" i="5"/>
  <c r="C142" i="5"/>
  <c r="B142" i="5"/>
  <c r="K142" i="5" s="1"/>
  <c r="A142" i="5"/>
  <c r="O141" i="5"/>
  <c r="N141" i="5"/>
  <c r="M141" i="5"/>
  <c r="L141" i="5"/>
  <c r="K141" i="5"/>
  <c r="I141" i="5"/>
  <c r="H141" i="5"/>
  <c r="G141" i="5"/>
  <c r="F141" i="5"/>
  <c r="E141" i="5"/>
  <c r="D141" i="5"/>
  <c r="C141" i="5"/>
  <c r="B141" i="5"/>
  <c r="J141" i="5" s="1"/>
  <c r="A141" i="5"/>
  <c r="M140" i="5"/>
  <c r="L140" i="5"/>
  <c r="K140" i="5"/>
  <c r="I140" i="5"/>
  <c r="H140" i="5"/>
  <c r="G140" i="5"/>
  <c r="F140" i="5"/>
  <c r="E140" i="5"/>
  <c r="D140" i="5"/>
  <c r="C140" i="5"/>
  <c r="B140" i="5"/>
  <c r="O140" i="5" s="1"/>
  <c r="A140" i="5"/>
  <c r="J139" i="5"/>
  <c r="I139" i="5"/>
  <c r="H139" i="5"/>
  <c r="G139" i="5"/>
  <c r="F139" i="5"/>
  <c r="D139" i="5"/>
  <c r="E139" i="5" s="1"/>
  <c r="C139" i="5"/>
  <c r="B139" i="5"/>
  <c r="A139" i="5"/>
  <c r="L138" i="5"/>
  <c r="J138" i="5"/>
  <c r="I138" i="5"/>
  <c r="H138" i="5"/>
  <c r="G138" i="5"/>
  <c r="F138" i="5"/>
  <c r="D138" i="5"/>
  <c r="E138" i="5" s="1"/>
  <c r="C138" i="5"/>
  <c r="B138" i="5"/>
  <c r="A138" i="5"/>
  <c r="I137" i="5"/>
  <c r="H137" i="5"/>
  <c r="G137" i="5"/>
  <c r="F137" i="5"/>
  <c r="D137" i="5"/>
  <c r="E137" i="5" s="1"/>
  <c r="C137" i="5"/>
  <c r="B137" i="5"/>
  <c r="J137" i="5" s="1"/>
  <c r="A137" i="5"/>
  <c r="O136" i="5"/>
  <c r="J136" i="5"/>
  <c r="I136" i="5"/>
  <c r="H136" i="5"/>
  <c r="G136" i="5"/>
  <c r="F136" i="5"/>
  <c r="D136" i="5"/>
  <c r="E136" i="5" s="1"/>
  <c r="C136" i="5"/>
  <c r="B136" i="5"/>
  <c r="A136" i="5"/>
  <c r="O135" i="5"/>
  <c r="N135" i="5"/>
  <c r="I135" i="5"/>
  <c r="H135" i="5"/>
  <c r="M135" i="5" s="1"/>
  <c r="G135" i="5"/>
  <c r="F135" i="5"/>
  <c r="E135" i="5"/>
  <c r="D135" i="5"/>
  <c r="C135" i="5"/>
  <c r="B135" i="5"/>
  <c r="L135" i="5" s="1"/>
  <c r="A135" i="5"/>
  <c r="O134" i="5"/>
  <c r="N134" i="5"/>
  <c r="L134" i="5"/>
  <c r="I134" i="5"/>
  <c r="H134" i="5"/>
  <c r="M134" i="5" s="1"/>
  <c r="G134" i="5"/>
  <c r="F134" i="5"/>
  <c r="D134" i="5"/>
  <c r="E134" i="5" s="1"/>
  <c r="C134" i="5"/>
  <c r="B134" i="5"/>
  <c r="K134" i="5" s="1"/>
  <c r="A134" i="5"/>
  <c r="O133" i="5"/>
  <c r="N133" i="5"/>
  <c r="M133" i="5"/>
  <c r="L133" i="5"/>
  <c r="K133" i="5"/>
  <c r="I133" i="5"/>
  <c r="H133" i="5"/>
  <c r="G133" i="5"/>
  <c r="F133" i="5"/>
  <c r="D133" i="5"/>
  <c r="E133" i="5" s="1"/>
  <c r="C133" i="5"/>
  <c r="B133" i="5"/>
  <c r="J133" i="5" s="1"/>
  <c r="A133" i="5"/>
  <c r="N132" i="5"/>
  <c r="L132" i="5"/>
  <c r="I132" i="5"/>
  <c r="H132" i="5"/>
  <c r="G132" i="5"/>
  <c r="F132" i="5"/>
  <c r="D132" i="5"/>
  <c r="E132" i="5" s="1"/>
  <c r="C132" i="5"/>
  <c r="B132" i="5"/>
  <c r="O132" i="5" s="1"/>
  <c r="A132" i="5"/>
  <c r="M131" i="5"/>
  <c r="L131" i="5"/>
  <c r="K131" i="5"/>
  <c r="I131" i="5"/>
  <c r="H131" i="5"/>
  <c r="G131" i="5"/>
  <c r="F131" i="5"/>
  <c r="E131" i="5"/>
  <c r="D131" i="5"/>
  <c r="C131" i="5"/>
  <c r="B131" i="5"/>
  <c r="A131" i="5"/>
  <c r="I130" i="5"/>
  <c r="H130" i="5"/>
  <c r="G130" i="5"/>
  <c r="F130" i="5"/>
  <c r="D130" i="5"/>
  <c r="E130" i="5" s="1"/>
  <c r="C130" i="5"/>
  <c r="B130" i="5"/>
  <c r="J130" i="5" s="1"/>
  <c r="A130" i="5"/>
  <c r="O129" i="5"/>
  <c r="I129" i="5"/>
  <c r="H129" i="5"/>
  <c r="G129" i="5"/>
  <c r="F129" i="5"/>
  <c r="D129" i="5"/>
  <c r="E129" i="5" s="1"/>
  <c r="C129" i="5"/>
  <c r="B129" i="5"/>
  <c r="A129" i="5"/>
  <c r="N128" i="5"/>
  <c r="I128" i="5"/>
  <c r="H128" i="5"/>
  <c r="G128" i="5"/>
  <c r="F128" i="5"/>
  <c r="D128" i="5"/>
  <c r="E128" i="5" s="1"/>
  <c r="C128" i="5"/>
  <c r="B128" i="5"/>
  <c r="A128" i="5"/>
  <c r="O127" i="5"/>
  <c r="N127" i="5"/>
  <c r="I127" i="5"/>
  <c r="H127" i="5"/>
  <c r="M127" i="5" s="1"/>
  <c r="G127" i="5"/>
  <c r="F127" i="5"/>
  <c r="E127" i="5"/>
  <c r="D127" i="5"/>
  <c r="C127" i="5"/>
  <c r="B127" i="5"/>
  <c r="L127" i="5" s="1"/>
  <c r="A127" i="5"/>
  <c r="O126" i="5"/>
  <c r="N126" i="5"/>
  <c r="M126" i="5"/>
  <c r="L126" i="5"/>
  <c r="I126" i="5"/>
  <c r="H126" i="5"/>
  <c r="G126" i="5"/>
  <c r="F126" i="5"/>
  <c r="E126" i="5"/>
  <c r="D126" i="5"/>
  <c r="C126" i="5"/>
  <c r="B126" i="5"/>
  <c r="K126" i="5" s="1"/>
  <c r="A126" i="5"/>
  <c r="O125" i="5"/>
  <c r="N125" i="5"/>
  <c r="M125" i="5"/>
  <c r="L125" i="5"/>
  <c r="K125" i="5"/>
  <c r="I125" i="5"/>
  <c r="H125" i="5"/>
  <c r="G125" i="5"/>
  <c r="F125" i="5"/>
  <c r="D125" i="5"/>
  <c r="E125" i="5" s="1"/>
  <c r="C125" i="5"/>
  <c r="B125" i="5"/>
  <c r="J125" i="5" s="1"/>
  <c r="A125" i="5"/>
  <c r="K124" i="5"/>
  <c r="I124" i="5"/>
  <c r="H124" i="5"/>
  <c r="G124" i="5"/>
  <c r="F124" i="5"/>
  <c r="E124" i="5"/>
  <c r="D124" i="5"/>
  <c r="C124" i="5"/>
  <c r="B124" i="5"/>
  <c r="A124" i="5"/>
  <c r="L123" i="5"/>
  <c r="I123" i="5"/>
  <c r="H123" i="5"/>
  <c r="G123" i="5"/>
  <c r="F123" i="5"/>
  <c r="D123" i="5"/>
  <c r="E123" i="5" s="1"/>
  <c r="C123" i="5"/>
  <c r="B123" i="5"/>
  <c r="A123" i="5"/>
  <c r="I122" i="5"/>
  <c r="H122" i="5"/>
  <c r="G122" i="5"/>
  <c r="F122" i="5"/>
  <c r="D122" i="5"/>
  <c r="E122" i="5" s="1"/>
  <c r="C122" i="5"/>
  <c r="B122" i="5"/>
  <c r="J122" i="5" s="1"/>
  <c r="A122" i="5"/>
  <c r="I121" i="5"/>
  <c r="H121" i="5"/>
  <c r="G121" i="5"/>
  <c r="F121" i="5"/>
  <c r="D121" i="5"/>
  <c r="E121" i="5" s="1"/>
  <c r="C121" i="5"/>
  <c r="B121" i="5"/>
  <c r="A121" i="5"/>
  <c r="O120" i="5"/>
  <c r="J120" i="5"/>
  <c r="I120" i="5"/>
  <c r="H120" i="5"/>
  <c r="G120" i="5"/>
  <c r="F120" i="5"/>
  <c r="D120" i="5"/>
  <c r="E120" i="5" s="1"/>
  <c r="C120" i="5"/>
  <c r="B120" i="5"/>
  <c r="A120" i="5"/>
  <c r="O119" i="5"/>
  <c r="N119" i="5"/>
  <c r="M119" i="5"/>
  <c r="I119" i="5"/>
  <c r="H119" i="5"/>
  <c r="G119" i="5"/>
  <c r="F119" i="5"/>
  <c r="E119" i="5"/>
  <c r="D119" i="5"/>
  <c r="C119" i="5"/>
  <c r="B119" i="5"/>
  <c r="L119" i="5" s="1"/>
  <c r="A119" i="5"/>
  <c r="O118" i="5"/>
  <c r="N118" i="5"/>
  <c r="L118" i="5"/>
  <c r="I118" i="5"/>
  <c r="H118" i="5"/>
  <c r="M118" i="5" s="1"/>
  <c r="G118" i="5"/>
  <c r="F118" i="5"/>
  <c r="D118" i="5"/>
  <c r="E118" i="5" s="1"/>
  <c r="C118" i="5"/>
  <c r="B118" i="5"/>
  <c r="K118" i="5" s="1"/>
  <c r="A118" i="5"/>
  <c r="O117" i="5"/>
  <c r="N117" i="5"/>
  <c r="M117" i="5"/>
  <c r="L117" i="5"/>
  <c r="K117" i="5"/>
  <c r="I117" i="5"/>
  <c r="H117" i="5"/>
  <c r="G117" i="5"/>
  <c r="F117" i="5"/>
  <c r="D117" i="5"/>
  <c r="E117" i="5" s="1"/>
  <c r="C117" i="5"/>
  <c r="B117" i="5"/>
  <c r="J117" i="5" s="1"/>
  <c r="A117" i="5"/>
  <c r="N116" i="5"/>
  <c r="L116" i="5"/>
  <c r="I116" i="5"/>
  <c r="H116" i="5"/>
  <c r="G116" i="5"/>
  <c r="F116" i="5"/>
  <c r="E116" i="5"/>
  <c r="D116" i="5"/>
  <c r="C116" i="5"/>
  <c r="B116" i="5"/>
  <c r="A116" i="5"/>
  <c r="J115" i="5"/>
  <c r="I115" i="5"/>
  <c r="H115" i="5"/>
  <c r="G115" i="5"/>
  <c r="F115" i="5"/>
  <c r="D115" i="5"/>
  <c r="E115" i="5" s="1"/>
  <c r="C115" i="5"/>
  <c r="B115" i="5"/>
  <c r="A115" i="5"/>
  <c r="M114" i="5"/>
  <c r="K114" i="5"/>
  <c r="I114" i="5"/>
  <c r="H114" i="5"/>
  <c r="G114" i="5"/>
  <c r="F114" i="5"/>
  <c r="E114" i="5"/>
  <c r="D114" i="5"/>
  <c r="C114" i="5"/>
  <c r="B114" i="5"/>
  <c r="A114" i="5"/>
  <c r="O113" i="5"/>
  <c r="N113" i="5"/>
  <c r="L113" i="5"/>
  <c r="I113" i="5"/>
  <c r="H113" i="5"/>
  <c r="G113" i="5"/>
  <c r="F113" i="5"/>
  <c r="D113" i="5"/>
  <c r="E113" i="5" s="1"/>
  <c r="C113" i="5"/>
  <c r="B113" i="5"/>
  <c r="M113" i="5" s="1"/>
  <c r="A113" i="5"/>
  <c r="O112" i="5"/>
  <c r="N112" i="5"/>
  <c r="M112" i="5"/>
  <c r="L112" i="5"/>
  <c r="K112" i="5"/>
  <c r="I112" i="5"/>
  <c r="H112" i="5"/>
  <c r="G112" i="5"/>
  <c r="F112" i="5"/>
  <c r="E112" i="5"/>
  <c r="D112" i="5"/>
  <c r="C112" i="5"/>
  <c r="B112" i="5"/>
  <c r="J112" i="5" s="1"/>
  <c r="A112" i="5"/>
  <c r="N111" i="5"/>
  <c r="I111" i="5"/>
  <c r="H111" i="5"/>
  <c r="G111" i="5"/>
  <c r="F111" i="5"/>
  <c r="E111" i="5"/>
  <c r="D111" i="5"/>
  <c r="C111" i="5"/>
  <c r="B111" i="5"/>
  <c r="A111" i="5"/>
  <c r="O110" i="5"/>
  <c r="M110" i="5"/>
  <c r="L110" i="5"/>
  <c r="K110" i="5"/>
  <c r="I110" i="5"/>
  <c r="H110" i="5"/>
  <c r="G110" i="5"/>
  <c r="F110" i="5"/>
  <c r="D110" i="5"/>
  <c r="E110" i="5" s="1"/>
  <c r="C110" i="5"/>
  <c r="B110" i="5"/>
  <c r="J110" i="5" s="1"/>
  <c r="A110" i="5"/>
  <c r="I109" i="5"/>
  <c r="H109" i="5"/>
  <c r="G109" i="5"/>
  <c r="F109" i="5"/>
  <c r="D109" i="5"/>
  <c r="E109" i="5" s="1"/>
  <c r="C109" i="5"/>
  <c r="B109" i="5"/>
  <c r="J109" i="5" s="1"/>
  <c r="A109" i="5"/>
  <c r="K108" i="5"/>
  <c r="I108" i="5"/>
  <c r="H108" i="5"/>
  <c r="G108" i="5"/>
  <c r="F108" i="5"/>
  <c r="E108" i="5"/>
  <c r="D108" i="5"/>
  <c r="C108" i="5"/>
  <c r="B108" i="5"/>
  <c r="A108" i="5"/>
  <c r="I107" i="5"/>
  <c r="H107" i="5"/>
  <c r="G107" i="5"/>
  <c r="F107" i="5"/>
  <c r="D107" i="5"/>
  <c r="E107" i="5" s="1"/>
  <c r="C107" i="5"/>
  <c r="B107" i="5"/>
  <c r="J107" i="5" s="1"/>
  <c r="A107" i="5"/>
  <c r="O106" i="5"/>
  <c r="N106" i="5"/>
  <c r="K106" i="5"/>
  <c r="I106" i="5"/>
  <c r="H106" i="5"/>
  <c r="M106" i="5" s="1"/>
  <c r="G106" i="5"/>
  <c r="F106" i="5"/>
  <c r="E106" i="5"/>
  <c r="D106" i="5"/>
  <c r="C106" i="5"/>
  <c r="B106" i="5"/>
  <c r="L106" i="5" s="1"/>
  <c r="A106" i="5"/>
  <c r="O105" i="5"/>
  <c r="N105" i="5"/>
  <c r="L105" i="5"/>
  <c r="I105" i="5"/>
  <c r="H105" i="5"/>
  <c r="G105" i="5"/>
  <c r="F105" i="5"/>
  <c r="D105" i="5"/>
  <c r="E105" i="5" s="1"/>
  <c r="C105" i="5"/>
  <c r="B105" i="5"/>
  <c r="M105" i="5" s="1"/>
  <c r="A105" i="5"/>
  <c r="O104" i="5"/>
  <c r="N104" i="5"/>
  <c r="M104" i="5"/>
  <c r="L104" i="5"/>
  <c r="K104" i="5"/>
  <c r="I104" i="5"/>
  <c r="H104" i="5"/>
  <c r="G104" i="5"/>
  <c r="F104" i="5"/>
  <c r="E104" i="5"/>
  <c r="D104" i="5"/>
  <c r="C104" i="5"/>
  <c r="B104" i="5"/>
  <c r="J104" i="5" s="1"/>
  <c r="A104" i="5"/>
  <c r="N103" i="5"/>
  <c r="M103" i="5"/>
  <c r="L103" i="5"/>
  <c r="I103" i="5"/>
  <c r="H103" i="5"/>
  <c r="G103" i="5"/>
  <c r="F103" i="5"/>
  <c r="E103" i="5"/>
  <c r="D103" i="5"/>
  <c r="C103" i="5"/>
  <c r="B103" i="5"/>
  <c r="A103" i="5"/>
  <c r="O102" i="5"/>
  <c r="M102" i="5"/>
  <c r="L102" i="5"/>
  <c r="K102" i="5"/>
  <c r="I102" i="5"/>
  <c r="H102" i="5"/>
  <c r="G102" i="5"/>
  <c r="F102" i="5"/>
  <c r="E102" i="5"/>
  <c r="D102" i="5"/>
  <c r="C102" i="5"/>
  <c r="B102" i="5"/>
  <c r="J102" i="5" s="1"/>
  <c r="A102" i="5"/>
  <c r="L101" i="5"/>
  <c r="I101" i="5"/>
  <c r="H101" i="5"/>
  <c r="G101" i="5"/>
  <c r="F101" i="5"/>
  <c r="D101" i="5"/>
  <c r="E101" i="5" s="1"/>
  <c r="C101" i="5"/>
  <c r="B101" i="5"/>
  <c r="A101" i="5"/>
  <c r="I100" i="5"/>
  <c r="H100" i="5"/>
  <c r="G100" i="5"/>
  <c r="F100" i="5"/>
  <c r="E100" i="5"/>
  <c r="D100" i="5"/>
  <c r="C100" i="5"/>
  <c r="B100" i="5"/>
  <c r="A100" i="5"/>
  <c r="J99" i="5"/>
  <c r="I99" i="5"/>
  <c r="H99" i="5"/>
  <c r="G99" i="5"/>
  <c r="F99" i="5"/>
  <c r="D99" i="5"/>
  <c r="E99" i="5" s="1"/>
  <c r="C99" i="5"/>
  <c r="B99" i="5"/>
  <c r="A99" i="5"/>
  <c r="O98" i="5"/>
  <c r="N98" i="5"/>
  <c r="K98" i="5"/>
  <c r="I98" i="5"/>
  <c r="H98" i="5"/>
  <c r="M98" i="5" s="1"/>
  <c r="G98" i="5"/>
  <c r="F98" i="5"/>
  <c r="E98" i="5"/>
  <c r="D98" i="5"/>
  <c r="C98" i="5"/>
  <c r="B98" i="5"/>
  <c r="L98" i="5" s="1"/>
  <c r="A98" i="5"/>
  <c r="O97" i="5"/>
  <c r="N97" i="5"/>
  <c r="L97" i="5"/>
  <c r="I97" i="5"/>
  <c r="H97" i="5"/>
  <c r="G97" i="5"/>
  <c r="F97" i="5"/>
  <c r="D97" i="5"/>
  <c r="E97" i="5" s="1"/>
  <c r="C97" i="5"/>
  <c r="B97" i="5"/>
  <c r="M97" i="5" s="1"/>
  <c r="A97" i="5"/>
  <c r="O96" i="5"/>
  <c r="N96" i="5"/>
  <c r="M96" i="5"/>
  <c r="L96" i="5"/>
  <c r="K96" i="5"/>
  <c r="I96" i="5"/>
  <c r="H96" i="5"/>
  <c r="G96" i="5"/>
  <c r="F96" i="5"/>
  <c r="E96" i="5"/>
  <c r="D96" i="5"/>
  <c r="C96" i="5"/>
  <c r="B96" i="5"/>
  <c r="J96" i="5" s="1"/>
  <c r="A96" i="5"/>
  <c r="N95" i="5"/>
  <c r="M95" i="5"/>
  <c r="L95" i="5"/>
  <c r="I95" i="5"/>
  <c r="H95" i="5"/>
  <c r="G95" i="5"/>
  <c r="F95" i="5"/>
  <c r="D95" i="5"/>
  <c r="E95" i="5" s="1"/>
  <c r="C95" i="5"/>
  <c r="B95" i="5"/>
  <c r="A95" i="5"/>
  <c r="O94" i="5"/>
  <c r="M94" i="5"/>
  <c r="L94" i="5"/>
  <c r="K94" i="5"/>
  <c r="I94" i="5"/>
  <c r="H94" i="5"/>
  <c r="G94" i="5"/>
  <c r="F94" i="5"/>
  <c r="D94" i="5"/>
  <c r="E94" i="5" s="1"/>
  <c r="C94" i="5"/>
  <c r="B94" i="5"/>
  <c r="J94" i="5" s="1"/>
  <c r="A94" i="5"/>
  <c r="L93" i="5"/>
  <c r="J93" i="5"/>
  <c r="I93" i="5"/>
  <c r="H93" i="5"/>
  <c r="G93" i="5"/>
  <c r="F93" i="5"/>
  <c r="D93" i="5"/>
  <c r="E93" i="5" s="1"/>
  <c r="C93" i="5"/>
  <c r="B93" i="5"/>
  <c r="A93" i="5"/>
  <c r="K92" i="5"/>
  <c r="I92" i="5"/>
  <c r="H92" i="5"/>
  <c r="G92" i="5"/>
  <c r="F92" i="5"/>
  <c r="E92" i="5"/>
  <c r="D92" i="5"/>
  <c r="C92" i="5"/>
  <c r="B92" i="5"/>
  <c r="A92" i="5"/>
  <c r="I91" i="5"/>
  <c r="H91" i="5"/>
  <c r="G91" i="5"/>
  <c r="F91" i="5"/>
  <c r="D91" i="5"/>
  <c r="E91" i="5" s="1"/>
  <c r="C91" i="5"/>
  <c r="B91" i="5"/>
  <c r="J91" i="5" s="1"/>
  <c r="A91" i="5"/>
  <c r="O90" i="5"/>
  <c r="N90" i="5"/>
  <c r="K90" i="5"/>
  <c r="I90" i="5"/>
  <c r="H90" i="5"/>
  <c r="M90" i="5" s="1"/>
  <c r="G90" i="5"/>
  <c r="F90" i="5"/>
  <c r="E90" i="5"/>
  <c r="D90" i="5"/>
  <c r="C90" i="5"/>
  <c r="B90" i="5"/>
  <c r="L90" i="5" s="1"/>
  <c r="A90" i="5"/>
  <c r="O89" i="5"/>
  <c r="N89" i="5"/>
  <c r="L89" i="5"/>
  <c r="I89" i="5"/>
  <c r="H89" i="5"/>
  <c r="G89" i="5"/>
  <c r="F89" i="5"/>
  <c r="D89" i="5"/>
  <c r="E89" i="5" s="1"/>
  <c r="C89" i="5"/>
  <c r="B89" i="5"/>
  <c r="M89" i="5" s="1"/>
  <c r="A89" i="5"/>
  <c r="O88" i="5"/>
  <c r="N88" i="5"/>
  <c r="M88" i="5"/>
  <c r="L88" i="5"/>
  <c r="K88" i="5"/>
  <c r="I88" i="5"/>
  <c r="H88" i="5"/>
  <c r="G88" i="5"/>
  <c r="F88" i="5"/>
  <c r="E88" i="5"/>
  <c r="D88" i="5"/>
  <c r="C88" i="5"/>
  <c r="B88" i="5"/>
  <c r="J88" i="5" s="1"/>
  <c r="A88" i="5"/>
  <c r="N87" i="5"/>
  <c r="I87" i="5"/>
  <c r="H87" i="5"/>
  <c r="G87" i="5"/>
  <c r="F87" i="5"/>
  <c r="E87" i="5"/>
  <c r="D87" i="5"/>
  <c r="C87" i="5"/>
  <c r="B87" i="5"/>
  <c r="M87" i="5" s="1"/>
  <c r="A87" i="5"/>
  <c r="O86" i="5"/>
  <c r="M86" i="5"/>
  <c r="L86" i="5"/>
  <c r="K86" i="5"/>
  <c r="I86" i="5"/>
  <c r="H86" i="5"/>
  <c r="G86" i="5"/>
  <c r="F86" i="5"/>
  <c r="E86" i="5"/>
  <c r="D86" i="5"/>
  <c r="C86" i="5"/>
  <c r="B86" i="5"/>
  <c r="J86" i="5" s="1"/>
  <c r="A86" i="5"/>
  <c r="I85" i="5"/>
  <c r="H85" i="5"/>
  <c r="G85" i="5"/>
  <c r="F85" i="5"/>
  <c r="D85" i="5"/>
  <c r="E85" i="5" s="1"/>
  <c r="C85" i="5"/>
  <c r="B85" i="5"/>
  <c r="J85" i="5" s="1"/>
  <c r="A85" i="5"/>
  <c r="O84" i="5"/>
  <c r="K84" i="5"/>
  <c r="I84" i="5"/>
  <c r="H84" i="5"/>
  <c r="G84" i="5"/>
  <c r="F84" i="5"/>
  <c r="E84" i="5"/>
  <c r="D84" i="5"/>
  <c r="C84" i="5"/>
  <c r="B84" i="5"/>
  <c r="A84" i="5"/>
  <c r="I83" i="5"/>
  <c r="H83" i="5"/>
  <c r="G83" i="5"/>
  <c r="F83" i="5"/>
  <c r="D83" i="5"/>
  <c r="E83" i="5" s="1"/>
  <c r="C83" i="5"/>
  <c r="B83" i="5"/>
  <c r="A83" i="5"/>
  <c r="O82" i="5"/>
  <c r="N82" i="5"/>
  <c r="M82" i="5"/>
  <c r="K82" i="5"/>
  <c r="I82" i="5"/>
  <c r="H82" i="5"/>
  <c r="G82" i="5"/>
  <c r="F82" i="5"/>
  <c r="E82" i="5"/>
  <c r="D82" i="5"/>
  <c r="C82" i="5"/>
  <c r="B82" i="5"/>
  <c r="L82" i="5" s="1"/>
  <c r="A82" i="5"/>
  <c r="O81" i="5"/>
  <c r="N81" i="5"/>
  <c r="L81" i="5"/>
  <c r="I81" i="5"/>
  <c r="H81" i="5"/>
  <c r="G81" i="5"/>
  <c r="F81" i="5"/>
  <c r="D81" i="5"/>
  <c r="E81" i="5" s="1"/>
  <c r="C81" i="5"/>
  <c r="B81" i="5"/>
  <c r="M81" i="5" s="1"/>
  <c r="A81" i="5"/>
  <c r="O80" i="5"/>
  <c r="N80" i="5"/>
  <c r="M80" i="5"/>
  <c r="L80" i="5"/>
  <c r="K80" i="5"/>
  <c r="I80" i="5"/>
  <c r="H80" i="5"/>
  <c r="G80" i="5"/>
  <c r="F80" i="5"/>
  <c r="E80" i="5"/>
  <c r="D80" i="5"/>
  <c r="C80" i="5"/>
  <c r="B80" i="5"/>
  <c r="J80" i="5" s="1"/>
  <c r="A80" i="5"/>
  <c r="N79" i="5"/>
  <c r="L79" i="5"/>
  <c r="I79" i="5"/>
  <c r="H79" i="5"/>
  <c r="G79" i="5"/>
  <c r="F79" i="5"/>
  <c r="E79" i="5"/>
  <c r="D79" i="5"/>
  <c r="C79" i="5"/>
  <c r="B79" i="5"/>
  <c r="A79" i="5"/>
  <c r="O78" i="5"/>
  <c r="M78" i="5"/>
  <c r="L78" i="5"/>
  <c r="K78" i="5"/>
  <c r="I78" i="5"/>
  <c r="H78" i="5"/>
  <c r="G78" i="5"/>
  <c r="F78" i="5"/>
  <c r="D78" i="5"/>
  <c r="E78" i="5" s="1"/>
  <c r="C78" i="5"/>
  <c r="B78" i="5"/>
  <c r="J78" i="5" s="1"/>
  <c r="A78" i="5"/>
  <c r="L77" i="5"/>
  <c r="J77" i="5"/>
  <c r="I77" i="5"/>
  <c r="H77" i="5"/>
  <c r="G77" i="5"/>
  <c r="F77" i="5"/>
  <c r="D77" i="5"/>
  <c r="E77" i="5" s="1"/>
  <c r="C77" i="5"/>
  <c r="B77" i="5"/>
  <c r="A77" i="5"/>
  <c r="I76" i="5"/>
  <c r="H76" i="5"/>
  <c r="G76" i="5"/>
  <c r="F76" i="5"/>
  <c r="E76" i="5"/>
  <c r="D76" i="5"/>
  <c r="C76" i="5"/>
  <c r="B76" i="5"/>
  <c r="A76" i="5"/>
  <c r="J75" i="5"/>
  <c r="I75" i="5"/>
  <c r="H75" i="5"/>
  <c r="G75" i="5"/>
  <c r="F75" i="5"/>
  <c r="D75" i="5"/>
  <c r="E75" i="5" s="1"/>
  <c r="C75" i="5"/>
  <c r="B75" i="5"/>
  <c r="A75" i="5"/>
  <c r="O74" i="5"/>
  <c r="N74" i="5"/>
  <c r="M74" i="5"/>
  <c r="K74" i="5"/>
  <c r="I74" i="5"/>
  <c r="H74" i="5"/>
  <c r="G74" i="5"/>
  <c r="F74" i="5"/>
  <c r="E74" i="5"/>
  <c r="D74" i="5"/>
  <c r="C74" i="5"/>
  <c r="B74" i="5"/>
  <c r="L74" i="5" s="1"/>
  <c r="A74" i="5"/>
  <c r="O73" i="5"/>
  <c r="N73" i="5"/>
  <c r="L73" i="5"/>
  <c r="I73" i="5"/>
  <c r="H73" i="5"/>
  <c r="G73" i="5"/>
  <c r="F73" i="5"/>
  <c r="D73" i="5"/>
  <c r="E73" i="5" s="1"/>
  <c r="C73" i="5"/>
  <c r="B73" i="5"/>
  <c r="A73" i="5"/>
  <c r="O72" i="5"/>
  <c r="N72" i="5"/>
  <c r="M72" i="5"/>
  <c r="L72" i="5"/>
  <c r="K72" i="5"/>
  <c r="I72" i="5"/>
  <c r="H72" i="5"/>
  <c r="G72" i="5"/>
  <c r="F72" i="5"/>
  <c r="E72" i="5"/>
  <c r="D72" i="5"/>
  <c r="C72" i="5"/>
  <c r="B72" i="5"/>
  <c r="J72" i="5" s="1"/>
  <c r="A72" i="5"/>
  <c r="J71" i="5"/>
  <c r="I71" i="5"/>
  <c r="H71" i="5"/>
  <c r="G71" i="5"/>
  <c r="F71" i="5"/>
  <c r="D71" i="5"/>
  <c r="E71" i="5" s="1"/>
  <c r="C71" i="5"/>
  <c r="B71" i="5"/>
  <c r="A71" i="5"/>
  <c r="O70" i="5"/>
  <c r="M70" i="5"/>
  <c r="L70" i="5"/>
  <c r="K70" i="5"/>
  <c r="I70" i="5"/>
  <c r="H70" i="5"/>
  <c r="G70" i="5"/>
  <c r="F70" i="5"/>
  <c r="D70" i="5"/>
  <c r="E70" i="5" s="1"/>
  <c r="C70" i="5"/>
  <c r="B70" i="5"/>
  <c r="J70" i="5" s="1"/>
  <c r="A70" i="5"/>
  <c r="K69" i="5"/>
  <c r="I69" i="5"/>
  <c r="H69" i="5"/>
  <c r="G69" i="5"/>
  <c r="F69" i="5"/>
  <c r="D69" i="5"/>
  <c r="E69" i="5" s="1"/>
  <c r="C69" i="5"/>
  <c r="B69" i="5"/>
  <c r="A69" i="5"/>
  <c r="O68" i="5"/>
  <c r="K68" i="5"/>
  <c r="I68" i="5"/>
  <c r="H68" i="5"/>
  <c r="G68" i="5"/>
  <c r="F68" i="5"/>
  <c r="E68" i="5"/>
  <c r="D68" i="5"/>
  <c r="C68" i="5"/>
  <c r="B68" i="5"/>
  <c r="A68" i="5"/>
  <c r="I67" i="5"/>
  <c r="H67" i="5"/>
  <c r="G67" i="5"/>
  <c r="F67" i="5"/>
  <c r="D67" i="5"/>
  <c r="E67" i="5" s="1"/>
  <c r="C67" i="5"/>
  <c r="B67" i="5"/>
  <c r="J67" i="5" s="1"/>
  <c r="A67" i="5"/>
  <c r="O66" i="5"/>
  <c r="N66" i="5"/>
  <c r="M66" i="5"/>
  <c r="K66" i="5"/>
  <c r="I66" i="5"/>
  <c r="H66" i="5"/>
  <c r="G66" i="5"/>
  <c r="F66" i="5"/>
  <c r="E66" i="5"/>
  <c r="D66" i="5"/>
  <c r="C66" i="5"/>
  <c r="B66" i="5"/>
  <c r="L66" i="5" s="1"/>
  <c r="A66" i="5"/>
  <c r="O65" i="5"/>
  <c r="N65" i="5"/>
  <c r="L65" i="5"/>
  <c r="I65" i="5"/>
  <c r="H65" i="5"/>
  <c r="G65" i="5"/>
  <c r="F65" i="5"/>
  <c r="D65" i="5"/>
  <c r="E65" i="5" s="1"/>
  <c r="C65" i="5"/>
  <c r="B65" i="5"/>
  <c r="A65" i="5"/>
  <c r="O64" i="5"/>
  <c r="N64" i="5"/>
  <c r="M64" i="5"/>
  <c r="L64" i="5"/>
  <c r="K64" i="5"/>
  <c r="I64" i="5"/>
  <c r="H64" i="5"/>
  <c r="G64" i="5"/>
  <c r="F64" i="5"/>
  <c r="E64" i="5"/>
  <c r="D64" i="5"/>
  <c r="C64" i="5"/>
  <c r="B64" i="5"/>
  <c r="J64" i="5" s="1"/>
  <c r="A64" i="5"/>
  <c r="L63" i="5"/>
  <c r="I63" i="5"/>
  <c r="H63" i="5"/>
  <c r="G63" i="5"/>
  <c r="F63" i="5"/>
  <c r="E63" i="5"/>
  <c r="D63" i="5"/>
  <c r="C63" i="5"/>
  <c r="B63" i="5"/>
  <c r="A63" i="5"/>
  <c r="O62" i="5"/>
  <c r="M62" i="5"/>
  <c r="L62" i="5"/>
  <c r="K62" i="5"/>
  <c r="I62" i="5"/>
  <c r="H62" i="5"/>
  <c r="G62" i="5"/>
  <c r="F62" i="5"/>
  <c r="E62" i="5"/>
  <c r="D62" i="5"/>
  <c r="C62" i="5"/>
  <c r="B62" i="5"/>
  <c r="J62" i="5" s="1"/>
  <c r="A62" i="5"/>
  <c r="L61" i="5"/>
  <c r="J61" i="5"/>
  <c r="I61" i="5"/>
  <c r="H61" i="5"/>
  <c r="G61" i="5"/>
  <c r="F61" i="5"/>
  <c r="D61" i="5"/>
  <c r="E61" i="5" s="1"/>
  <c r="C61" i="5"/>
  <c r="B61" i="5"/>
  <c r="A61" i="5"/>
  <c r="O60" i="5"/>
  <c r="K60" i="5"/>
  <c r="I60" i="5"/>
  <c r="H60" i="5"/>
  <c r="G60" i="5"/>
  <c r="F60" i="5"/>
  <c r="E60" i="5"/>
  <c r="D60" i="5"/>
  <c r="C60" i="5"/>
  <c r="B60" i="5"/>
  <c r="A60" i="5"/>
  <c r="J59" i="5"/>
  <c r="I59" i="5"/>
  <c r="H59" i="5"/>
  <c r="G59" i="5"/>
  <c r="F59" i="5"/>
  <c r="D59" i="5"/>
  <c r="E59" i="5" s="1"/>
  <c r="C59" i="5"/>
  <c r="B59" i="5"/>
  <c r="A59" i="5"/>
  <c r="O58" i="5"/>
  <c r="N58" i="5"/>
  <c r="M58" i="5"/>
  <c r="K58" i="5"/>
  <c r="I58" i="5"/>
  <c r="H58" i="5"/>
  <c r="G58" i="5"/>
  <c r="F58" i="5"/>
  <c r="E58" i="5"/>
  <c r="D58" i="5"/>
  <c r="C58" i="5"/>
  <c r="B58" i="5"/>
  <c r="L58" i="5" s="1"/>
  <c r="A58" i="5"/>
  <c r="O57" i="5"/>
  <c r="N57" i="5"/>
  <c r="L57" i="5"/>
  <c r="I57" i="5"/>
  <c r="H57" i="5"/>
  <c r="G57" i="5"/>
  <c r="F57" i="5"/>
  <c r="D57" i="5"/>
  <c r="E57" i="5" s="1"/>
  <c r="C57" i="5"/>
  <c r="B57" i="5"/>
  <c r="A57" i="5"/>
  <c r="O56" i="5"/>
  <c r="N56" i="5"/>
  <c r="M56" i="5"/>
  <c r="L56" i="5"/>
  <c r="K56" i="5"/>
  <c r="I56" i="5"/>
  <c r="H56" i="5"/>
  <c r="G56" i="5"/>
  <c r="F56" i="5"/>
  <c r="E56" i="5"/>
  <c r="D56" i="5"/>
  <c r="C56" i="5"/>
  <c r="B56" i="5"/>
  <c r="J56" i="5" s="1"/>
  <c r="A56" i="5"/>
  <c r="M55" i="5"/>
  <c r="I55" i="5"/>
  <c r="H55" i="5"/>
  <c r="G55" i="5"/>
  <c r="F55" i="5"/>
  <c r="D55" i="5"/>
  <c r="E55" i="5" s="1"/>
  <c r="C55" i="5"/>
  <c r="B55" i="5"/>
  <c r="A55" i="5"/>
  <c r="O54" i="5"/>
  <c r="M54" i="5"/>
  <c r="L54" i="5"/>
  <c r="K54" i="5"/>
  <c r="I54" i="5"/>
  <c r="H54" i="5"/>
  <c r="G54" i="5"/>
  <c r="F54" i="5"/>
  <c r="E54" i="5"/>
  <c r="D54" i="5"/>
  <c r="C54" i="5"/>
  <c r="B54" i="5"/>
  <c r="J54" i="5" s="1"/>
  <c r="A54" i="5"/>
  <c r="J53" i="5"/>
  <c r="I53" i="5"/>
  <c r="H53" i="5"/>
  <c r="G53" i="5"/>
  <c r="F53" i="5"/>
  <c r="D53" i="5"/>
  <c r="E53" i="5" s="1"/>
  <c r="C53" i="5"/>
  <c r="B53" i="5"/>
  <c r="A53" i="5"/>
  <c r="O52" i="5"/>
  <c r="I52" i="5"/>
  <c r="H52" i="5"/>
  <c r="G52" i="5"/>
  <c r="F52" i="5"/>
  <c r="E52" i="5"/>
  <c r="D52" i="5"/>
  <c r="C52" i="5"/>
  <c r="B52" i="5"/>
  <c r="A52" i="5"/>
  <c r="N51" i="5"/>
  <c r="I51" i="5"/>
  <c r="H51" i="5"/>
  <c r="G51" i="5"/>
  <c r="F51" i="5"/>
  <c r="D51" i="5"/>
  <c r="E51" i="5" s="1"/>
  <c r="C51" i="5"/>
  <c r="B51" i="5"/>
  <c r="A51" i="5"/>
  <c r="O50" i="5"/>
  <c r="N50" i="5"/>
  <c r="M50" i="5"/>
  <c r="K50" i="5"/>
  <c r="I50" i="5"/>
  <c r="H50" i="5"/>
  <c r="G50" i="5"/>
  <c r="F50" i="5"/>
  <c r="E50" i="5"/>
  <c r="D50" i="5"/>
  <c r="C50" i="5"/>
  <c r="B50" i="5"/>
  <c r="L50" i="5" s="1"/>
  <c r="A50" i="5"/>
  <c r="O49" i="5"/>
  <c r="N49" i="5"/>
  <c r="L49" i="5"/>
  <c r="I49" i="5"/>
  <c r="H49" i="5"/>
  <c r="G49" i="5"/>
  <c r="F49" i="5"/>
  <c r="D49" i="5"/>
  <c r="E49" i="5" s="1"/>
  <c r="C49" i="5"/>
  <c r="B49" i="5"/>
  <c r="M49" i="5" s="1"/>
  <c r="A49" i="5"/>
  <c r="O48" i="5"/>
  <c r="N48" i="5"/>
  <c r="M48" i="5"/>
  <c r="L48" i="5"/>
  <c r="K48" i="5"/>
  <c r="I48" i="5"/>
  <c r="H48" i="5"/>
  <c r="G48" i="5"/>
  <c r="F48" i="5"/>
  <c r="E48" i="5"/>
  <c r="D48" i="5"/>
  <c r="C48" i="5"/>
  <c r="B48" i="5"/>
  <c r="J48" i="5" s="1"/>
  <c r="A48" i="5"/>
  <c r="N47" i="5"/>
  <c r="I47" i="5"/>
  <c r="H47" i="5"/>
  <c r="G47" i="5"/>
  <c r="F47" i="5"/>
  <c r="E47" i="5"/>
  <c r="D47" i="5"/>
  <c r="C47" i="5"/>
  <c r="B47" i="5"/>
  <c r="A47" i="5"/>
  <c r="O46" i="5"/>
  <c r="M46" i="5"/>
  <c r="L46" i="5"/>
  <c r="K46" i="5"/>
  <c r="I46" i="5"/>
  <c r="H46" i="5"/>
  <c r="G46" i="5"/>
  <c r="F46" i="5"/>
  <c r="D46" i="5"/>
  <c r="E46" i="5" s="1"/>
  <c r="C46" i="5"/>
  <c r="B46" i="5"/>
  <c r="J46" i="5" s="1"/>
  <c r="A46" i="5"/>
  <c r="I45" i="5"/>
  <c r="H45" i="5"/>
  <c r="G45" i="5"/>
  <c r="F45" i="5"/>
  <c r="D45" i="5"/>
  <c r="E45" i="5" s="1"/>
  <c r="C45" i="5"/>
  <c r="B45" i="5"/>
  <c r="J45" i="5" s="1"/>
  <c r="A45" i="5"/>
  <c r="K44" i="5"/>
  <c r="I44" i="5"/>
  <c r="H44" i="5"/>
  <c r="G44" i="5"/>
  <c r="F44" i="5"/>
  <c r="E44" i="5"/>
  <c r="D44" i="5"/>
  <c r="C44" i="5"/>
  <c r="B44" i="5"/>
  <c r="A44" i="5"/>
  <c r="J43" i="5"/>
  <c r="I43" i="5"/>
  <c r="H43" i="5"/>
  <c r="G43" i="5"/>
  <c r="F43" i="5"/>
  <c r="D43" i="5"/>
  <c r="E43" i="5" s="1"/>
  <c r="C43" i="5"/>
  <c r="B43" i="5"/>
  <c r="A43" i="5"/>
  <c r="O42" i="5"/>
  <c r="N42" i="5"/>
  <c r="K42" i="5"/>
  <c r="I42" i="5"/>
  <c r="H42" i="5"/>
  <c r="M42" i="5" s="1"/>
  <c r="G42" i="5"/>
  <c r="F42" i="5"/>
  <c r="E42" i="5"/>
  <c r="D42" i="5"/>
  <c r="C42" i="5"/>
  <c r="B42" i="5"/>
  <c r="L42" i="5" s="1"/>
  <c r="A42" i="5"/>
  <c r="O41" i="5"/>
  <c r="J41" i="5"/>
  <c r="I41" i="5"/>
  <c r="H41" i="5"/>
  <c r="G41" i="5"/>
  <c r="F41" i="5"/>
  <c r="D41" i="5"/>
  <c r="E41" i="5" s="1"/>
  <c r="C41" i="5"/>
  <c r="B41" i="5"/>
  <c r="A41" i="5"/>
  <c r="O40" i="5"/>
  <c r="N40" i="5"/>
  <c r="M40" i="5"/>
  <c r="L40" i="5"/>
  <c r="K40" i="5"/>
  <c r="I40" i="5"/>
  <c r="H40" i="5"/>
  <c r="G40" i="5"/>
  <c r="F40" i="5"/>
  <c r="D40" i="5"/>
  <c r="E40" i="5" s="1"/>
  <c r="C40" i="5"/>
  <c r="B40" i="5"/>
  <c r="J40" i="5" s="1"/>
  <c r="A40" i="5"/>
  <c r="N39" i="5"/>
  <c r="I39" i="5"/>
  <c r="H39" i="5"/>
  <c r="M39" i="5" s="1"/>
  <c r="G39" i="5"/>
  <c r="F39" i="5"/>
  <c r="E39" i="5"/>
  <c r="D39" i="5"/>
  <c r="C39" i="5"/>
  <c r="B39" i="5"/>
  <c r="O39" i="5" s="1"/>
  <c r="A39" i="5"/>
  <c r="O38" i="5"/>
  <c r="M38" i="5"/>
  <c r="L38" i="5"/>
  <c r="K38" i="5"/>
  <c r="I38" i="5"/>
  <c r="H38" i="5"/>
  <c r="G38" i="5"/>
  <c r="F38" i="5"/>
  <c r="D38" i="5"/>
  <c r="E38" i="5" s="1"/>
  <c r="C38" i="5"/>
  <c r="B38" i="5"/>
  <c r="N38" i="5" s="1"/>
  <c r="A38" i="5"/>
  <c r="L37" i="5"/>
  <c r="I37" i="5"/>
  <c r="H37" i="5"/>
  <c r="G37" i="5"/>
  <c r="F37" i="5"/>
  <c r="D37" i="5"/>
  <c r="E37" i="5" s="1"/>
  <c r="C37" i="5"/>
  <c r="B37" i="5"/>
  <c r="O37" i="5" s="1"/>
  <c r="A37" i="5"/>
  <c r="J36" i="5"/>
  <c r="I36" i="5"/>
  <c r="H36" i="5"/>
  <c r="G36" i="5"/>
  <c r="F36" i="5"/>
  <c r="D36" i="5"/>
  <c r="E36" i="5" s="1"/>
  <c r="C36" i="5"/>
  <c r="B36" i="5"/>
  <c r="A36" i="5"/>
  <c r="O35" i="5"/>
  <c r="N35" i="5"/>
  <c r="L35" i="5"/>
  <c r="J35" i="5"/>
  <c r="I35" i="5"/>
  <c r="H35" i="5"/>
  <c r="G35" i="5"/>
  <c r="F35" i="5"/>
  <c r="D35" i="5"/>
  <c r="E35" i="5" s="1"/>
  <c r="C35" i="5"/>
  <c r="B35" i="5"/>
  <c r="A35" i="5"/>
  <c r="N34" i="5"/>
  <c r="I34" i="5"/>
  <c r="H34" i="5"/>
  <c r="G34" i="5"/>
  <c r="F34" i="5"/>
  <c r="E34" i="5"/>
  <c r="D34" i="5"/>
  <c r="C34" i="5"/>
  <c r="B34" i="5"/>
  <c r="L34" i="5" s="1"/>
  <c r="A34" i="5"/>
  <c r="L33" i="5"/>
  <c r="I33" i="5"/>
  <c r="H33" i="5"/>
  <c r="G33" i="5"/>
  <c r="F33" i="5"/>
  <c r="E33" i="5"/>
  <c r="D33" i="5"/>
  <c r="C33" i="5"/>
  <c r="B33" i="5"/>
  <c r="K33" i="5" s="1"/>
  <c r="A33" i="5"/>
  <c r="O32" i="5"/>
  <c r="N32" i="5"/>
  <c r="L32" i="5"/>
  <c r="K32" i="5"/>
  <c r="I32" i="5"/>
  <c r="H32" i="5"/>
  <c r="M32" i="5" s="1"/>
  <c r="G32" i="5"/>
  <c r="F32" i="5"/>
  <c r="E32" i="5"/>
  <c r="D32" i="5"/>
  <c r="C32" i="5"/>
  <c r="B32" i="5"/>
  <c r="J32" i="5" s="1"/>
  <c r="A32" i="5"/>
  <c r="O31" i="5"/>
  <c r="N31" i="5"/>
  <c r="I31" i="5"/>
  <c r="H31" i="5"/>
  <c r="M31" i="5" s="1"/>
  <c r="G31" i="5"/>
  <c r="F31" i="5"/>
  <c r="E31" i="5"/>
  <c r="D31" i="5"/>
  <c r="C31" i="5"/>
  <c r="B31" i="5"/>
  <c r="K31" i="5" s="1"/>
  <c r="A31" i="5"/>
  <c r="O30" i="5"/>
  <c r="N30" i="5"/>
  <c r="M30" i="5"/>
  <c r="L30" i="5"/>
  <c r="K30" i="5"/>
  <c r="I30" i="5"/>
  <c r="H30" i="5"/>
  <c r="G30" i="5"/>
  <c r="F30" i="5"/>
  <c r="D30" i="5"/>
  <c r="E30" i="5" s="1"/>
  <c r="C30" i="5"/>
  <c r="B30" i="5"/>
  <c r="J30" i="5" s="1"/>
  <c r="A30" i="5"/>
  <c r="M29" i="5"/>
  <c r="I29" i="5"/>
  <c r="H29" i="5"/>
  <c r="G29" i="5"/>
  <c r="F29" i="5"/>
  <c r="E29" i="5"/>
  <c r="D29" i="5"/>
  <c r="C29" i="5"/>
  <c r="B29" i="5"/>
  <c r="O29" i="5" s="1"/>
  <c r="A29" i="5"/>
  <c r="K28" i="5"/>
  <c r="I28" i="5"/>
  <c r="H28" i="5"/>
  <c r="G28" i="5"/>
  <c r="F28" i="5"/>
  <c r="E28" i="5"/>
  <c r="D28" i="5"/>
  <c r="C28" i="5"/>
  <c r="B28" i="5"/>
  <c r="N28" i="5" s="1"/>
  <c r="A28" i="5"/>
  <c r="O27" i="5"/>
  <c r="N27" i="5"/>
  <c r="I27" i="5"/>
  <c r="H27" i="5"/>
  <c r="G27" i="5"/>
  <c r="F27" i="5"/>
  <c r="D27" i="5"/>
  <c r="E27" i="5" s="1"/>
  <c r="C27" i="5"/>
  <c r="B27" i="5"/>
  <c r="J27" i="5" s="1"/>
  <c r="A27" i="5"/>
  <c r="O26" i="5"/>
  <c r="M26" i="5"/>
  <c r="K26" i="5"/>
  <c r="I26" i="5"/>
  <c r="H26" i="5"/>
  <c r="G26" i="5"/>
  <c r="F26" i="5"/>
  <c r="E26" i="5"/>
  <c r="D26" i="5"/>
  <c r="C26" i="5"/>
  <c r="B26" i="5"/>
  <c r="L26" i="5" s="1"/>
  <c r="A26" i="5"/>
  <c r="I25" i="5"/>
  <c r="H25" i="5"/>
  <c r="G25" i="5"/>
  <c r="F25" i="5"/>
  <c r="D25" i="5"/>
  <c r="E25" i="5" s="1"/>
  <c r="C25" i="5"/>
  <c r="B25" i="5"/>
  <c r="A25" i="5"/>
  <c r="I24" i="5"/>
  <c r="H24" i="5"/>
  <c r="G24" i="5"/>
  <c r="F24" i="5"/>
  <c r="D24" i="5"/>
  <c r="E24" i="5" s="1"/>
  <c r="C24" i="5"/>
  <c r="B24" i="5"/>
  <c r="J24" i="5" s="1"/>
  <c r="A24" i="5"/>
  <c r="I23" i="5"/>
  <c r="H23" i="5"/>
  <c r="G23" i="5"/>
  <c r="F23" i="5"/>
  <c r="D23" i="5"/>
  <c r="E23" i="5" s="1"/>
  <c r="C23" i="5"/>
  <c r="B23" i="5"/>
  <c r="J23" i="5" s="1"/>
  <c r="A23" i="5"/>
  <c r="I22" i="5"/>
  <c r="H22" i="5"/>
  <c r="G22" i="5"/>
  <c r="F22" i="5"/>
  <c r="E22" i="5"/>
  <c r="D22" i="5"/>
  <c r="C22" i="5"/>
  <c r="B22" i="5"/>
  <c r="A22" i="5"/>
  <c r="I21" i="5"/>
  <c r="H21" i="5"/>
  <c r="G21" i="5"/>
  <c r="F21" i="5"/>
  <c r="D21" i="5"/>
  <c r="E21" i="5" s="1"/>
  <c r="C21" i="5"/>
  <c r="F14" i="4" s="1"/>
  <c r="M14" i="4" s="1"/>
  <c r="B21" i="5"/>
  <c r="A21" i="5"/>
  <c r="I20" i="5"/>
  <c r="H20" i="5"/>
  <c r="G20" i="5"/>
  <c r="F20" i="5"/>
  <c r="D20" i="5"/>
  <c r="E20" i="5" s="1"/>
  <c r="C20" i="5"/>
  <c r="B20" i="5"/>
  <c r="N20" i="5" s="1"/>
  <c r="A20" i="5"/>
  <c r="I19" i="5"/>
  <c r="H19" i="5"/>
  <c r="G19" i="5"/>
  <c r="F19" i="5"/>
  <c r="D19" i="5"/>
  <c r="E19" i="5" s="1"/>
  <c r="C19" i="5"/>
  <c r="B19" i="5"/>
  <c r="A19" i="5"/>
  <c r="I18" i="5"/>
  <c r="H18" i="5"/>
  <c r="G18" i="5"/>
  <c r="F18" i="5"/>
  <c r="D18" i="5"/>
  <c r="E18" i="5" s="1"/>
  <c r="C18" i="5"/>
  <c r="B18" i="5"/>
  <c r="A18" i="5"/>
  <c r="I17" i="5"/>
  <c r="H17" i="5"/>
  <c r="G17" i="5"/>
  <c r="F17" i="5"/>
  <c r="D17" i="5"/>
  <c r="E17" i="5" s="1"/>
  <c r="C17" i="5"/>
  <c r="B17" i="5"/>
  <c r="N17" i="5" s="1"/>
  <c r="A17" i="5"/>
  <c r="I16" i="5"/>
  <c r="H16" i="5"/>
  <c r="G16" i="5"/>
  <c r="F16" i="5"/>
  <c r="D16" i="5"/>
  <c r="E16" i="5" s="1"/>
  <c r="C16" i="5"/>
  <c r="B16" i="5"/>
  <c r="J16" i="5" s="1"/>
  <c r="A16" i="5"/>
  <c r="I15" i="5"/>
  <c r="H15" i="5"/>
  <c r="G15" i="5"/>
  <c r="F15" i="5"/>
  <c r="D15" i="5"/>
  <c r="E15" i="5" s="1"/>
  <c r="C15" i="5"/>
  <c r="B15" i="5"/>
  <c r="A15" i="5"/>
  <c r="N14" i="5"/>
  <c r="I14" i="5"/>
  <c r="H14" i="5"/>
  <c r="G14" i="5"/>
  <c r="F14" i="5"/>
  <c r="D14" i="5"/>
  <c r="C14" i="5"/>
  <c r="B14" i="5"/>
  <c r="A14" i="5"/>
  <c r="I13" i="5"/>
  <c r="H13" i="5"/>
  <c r="G13" i="5"/>
  <c r="F13" i="5"/>
  <c r="D13" i="5"/>
  <c r="C13" i="5"/>
  <c r="B13" i="5"/>
  <c r="A13" i="5"/>
  <c r="I12" i="5"/>
  <c r="H12" i="5"/>
  <c r="G12" i="5"/>
  <c r="F12" i="5"/>
  <c r="E12" i="5"/>
  <c r="D12" i="5"/>
  <c r="C12" i="5"/>
  <c r="B12" i="5"/>
  <c r="A12" i="5"/>
  <c r="I11" i="5"/>
  <c r="H11" i="5"/>
  <c r="G11" i="5"/>
  <c r="F11" i="5"/>
  <c r="D11" i="5"/>
  <c r="E11" i="5" s="1"/>
  <c r="C11" i="5"/>
  <c r="B11" i="5"/>
  <c r="A11" i="5"/>
  <c r="N10" i="5"/>
  <c r="I10" i="5"/>
  <c r="H10" i="5"/>
  <c r="G10" i="5"/>
  <c r="F10" i="5"/>
  <c r="E10" i="5"/>
  <c r="D10" i="5"/>
  <c r="C10" i="5"/>
  <c r="B10" i="5"/>
  <c r="A10" i="5"/>
  <c r="I9" i="5"/>
  <c r="H9" i="5"/>
  <c r="G9" i="5"/>
  <c r="F9" i="5"/>
  <c r="D9" i="5"/>
  <c r="E9" i="5" s="1"/>
  <c r="C9" i="5"/>
  <c r="B9" i="5"/>
  <c r="A9" i="5"/>
  <c r="N8" i="5"/>
  <c r="I8" i="5"/>
  <c r="H8" i="5"/>
  <c r="G8" i="5"/>
  <c r="F8" i="5"/>
  <c r="D8" i="5"/>
  <c r="E8" i="5" s="1"/>
  <c r="C8" i="5"/>
  <c r="B8" i="5"/>
  <c r="A8" i="5"/>
  <c r="N7" i="5"/>
  <c r="I7" i="5"/>
  <c r="H7" i="5"/>
  <c r="G7" i="5"/>
  <c r="F7" i="5"/>
  <c r="E7" i="5"/>
  <c r="D7" i="5"/>
  <c r="C7" i="5"/>
  <c r="B7" i="5"/>
  <c r="A7" i="5"/>
  <c r="I6" i="5"/>
  <c r="H6" i="5"/>
  <c r="G6" i="5"/>
  <c r="F6" i="5"/>
  <c r="E6" i="5"/>
  <c r="D6" i="5"/>
  <c r="C6" i="5"/>
  <c r="B6" i="5"/>
  <c r="A6" i="5"/>
  <c r="I5" i="5"/>
  <c r="H5" i="5"/>
  <c r="G5" i="5"/>
  <c r="F5" i="5"/>
  <c r="E5" i="5"/>
  <c r="D5" i="5"/>
  <c r="C5" i="5"/>
  <c r="B5" i="5"/>
  <c r="N5" i="5" s="1"/>
  <c r="A5" i="5"/>
  <c r="U154" i="4"/>
  <c r="S154" i="4"/>
  <c r="O154" i="4"/>
  <c r="L154" i="4"/>
  <c r="K154" i="4"/>
  <c r="J154" i="4"/>
  <c r="I154" i="4"/>
  <c r="E154" i="4"/>
  <c r="D154" i="4"/>
  <c r="C154" i="4"/>
  <c r="B154" i="4"/>
  <c r="A154" i="4"/>
  <c r="X153" i="4"/>
  <c r="W153" i="4"/>
  <c r="V153" i="4"/>
  <c r="U153" i="4"/>
  <c r="T153" i="4"/>
  <c r="Y153" i="4" s="1"/>
  <c r="S153" i="4"/>
  <c r="R153" i="4"/>
  <c r="P153" i="4"/>
  <c r="O153" i="4"/>
  <c r="N153" i="4"/>
  <c r="M153" i="4"/>
  <c r="L153" i="4"/>
  <c r="K153" i="4"/>
  <c r="J153" i="4"/>
  <c r="I153" i="4"/>
  <c r="H153" i="4"/>
  <c r="G153" i="4"/>
  <c r="F153" i="4"/>
  <c r="E153" i="4"/>
  <c r="B153" i="4"/>
  <c r="A153" i="4"/>
  <c r="Q153" i="4" s="1"/>
  <c r="X152" i="4"/>
  <c r="V152" i="4"/>
  <c r="U152" i="4"/>
  <c r="T152" i="4"/>
  <c r="Y152" i="4" s="1"/>
  <c r="S152" i="4"/>
  <c r="P152" i="4"/>
  <c r="O152" i="4"/>
  <c r="M152" i="4"/>
  <c r="L152" i="4"/>
  <c r="K152" i="4"/>
  <c r="J152" i="4"/>
  <c r="I152" i="4"/>
  <c r="H152" i="4"/>
  <c r="G152" i="4"/>
  <c r="E152" i="4"/>
  <c r="D152" i="4"/>
  <c r="C152" i="4"/>
  <c r="B152" i="4"/>
  <c r="A152" i="4"/>
  <c r="R152" i="4" s="1"/>
  <c r="V151" i="4"/>
  <c r="R151" i="4"/>
  <c r="P151" i="4"/>
  <c r="M151" i="4"/>
  <c r="L151" i="4"/>
  <c r="K151" i="4"/>
  <c r="J151" i="4"/>
  <c r="I151" i="4"/>
  <c r="H151" i="4"/>
  <c r="E151" i="4"/>
  <c r="D151" i="4"/>
  <c r="B151" i="4"/>
  <c r="C151" i="4" s="1"/>
  <c r="A151" i="4"/>
  <c r="X150" i="4"/>
  <c r="W150" i="4"/>
  <c r="U150" i="4"/>
  <c r="S150" i="4"/>
  <c r="Q150" i="4"/>
  <c r="O150" i="4"/>
  <c r="N150" i="4"/>
  <c r="L150" i="4"/>
  <c r="K150" i="4"/>
  <c r="J150" i="4"/>
  <c r="I150" i="4"/>
  <c r="G150" i="4"/>
  <c r="F150" i="4"/>
  <c r="E150" i="4"/>
  <c r="C150" i="4"/>
  <c r="B150" i="4"/>
  <c r="D150" i="4" s="1"/>
  <c r="A150" i="4"/>
  <c r="T150" i="4" s="1"/>
  <c r="Y150" i="4" s="1"/>
  <c r="W149" i="4"/>
  <c r="V149" i="4"/>
  <c r="S149" i="4"/>
  <c r="P149" i="4"/>
  <c r="N149" i="4"/>
  <c r="L149" i="4"/>
  <c r="K149" i="4"/>
  <c r="J149" i="4"/>
  <c r="I149" i="4"/>
  <c r="G149" i="4"/>
  <c r="E149" i="4"/>
  <c r="B149" i="4"/>
  <c r="A149" i="4"/>
  <c r="Q149" i="4" s="1"/>
  <c r="X148" i="4"/>
  <c r="W148" i="4"/>
  <c r="U148" i="4"/>
  <c r="T148" i="4"/>
  <c r="Y148" i="4" s="1"/>
  <c r="R148" i="4"/>
  <c r="Q148" i="4"/>
  <c r="P148" i="4"/>
  <c r="O148" i="4"/>
  <c r="M148" i="4"/>
  <c r="L148" i="4"/>
  <c r="K148" i="4"/>
  <c r="J148" i="4"/>
  <c r="I148" i="4"/>
  <c r="H148" i="4"/>
  <c r="G148" i="4"/>
  <c r="E148" i="4"/>
  <c r="C148" i="4"/>
  <c r="B148" i="4"/>
  <c r="D148" i="4" s="1"/>
  <c r="A148" i="4"/>
  <c r="U147" i="4"/>
  <c r="S147" i="4"/>
  <c r="P147" i="4"/>
  <c r="L147" i="4"/>
  <c r="K147" i="4"/>
  <c r="J147" i="4"/>
  <c r="I147" i="4"/>
  <c r="F147" i="4"/>
  <c r="E147" i="4"/>
  <c r="D147" i="4"/>
  <c r="C147" i="4"/>
  <c r="B147" i="4"/>
  <c r="A147" i="4"/>
  <c r="L146" i="4"/>
  <c r="K146" i="4"/>
  <c r="J146" i="4"/>
  <c r="I146" i="4"/>
  <c r="F146" i="4"/>
  <c r="E146" i="4"/>
  <c r="D146" i="4"/>
  <c r="C146" i="4"/>
  <c r="B146" i="4"/>
  <c r="A146" i="4"/>
  <c r="S146" i="4" s="1"/>
  <c r="X145" i="4"/>
  <c r="W145" i="4"/>
  <c r="V145" i="4"/>
  <c r="U145" i="4"/>
  <c r="T145" i="4"/>
  <c r="Y145" i="4" s="1"/>
  <c r="S145" i="4"/>
  <c r="R145" i="4"/>
  <c r="P145" i="4"/>
  <c r="O145" i="4"/>
  <c r="N145" i="4"/>
  <c r="M145" i="4"/>
  <c r="L145" i="4"/>
  <c r="K145" i="4"/>
  <c r="J145" i="4"/>
  <c r="I145" i="4"/>
  <c r="H145" i="4"/>
  <c r="G145" i="4"/>
  <c r="F145" i="4"/>
  <c r="E145" i="4"/>
  <c r="C145" i="4"/>
  <c r="B145" i="4"/>
  <c r="D145" i="4" s="1"/>
  <c r="A145" i="4"/>
  <c r="Q145" i="4" s="1"/>
  <c r="W144" i="4"/>
  <c r="V144" i="4"/>
  <c r="T144" i="4"/>
  <c r="Y144" i="4" s="1"/>
  <c r="S144" i="4"/>
  <c r="P144" i="4"/>
  <c r="N144" i="4"/>
  <c r="M144" i="4"/>
  <c r="L144" i="4"/>
  <c r="K144" i="4"/>
  <c r="J144" i="4"/>
  <c r="I144" i="4"/>
  <c r="H144" i="4"/>
  <c r="F144" i="4"/>
  <c r="E144" i="4"/>
  <c r="D144" i="4"/>
  <c r="C144" i="4"/>
  <c r="B144" i="4"/>
  <c r="A144" i="4"/>
  <c r="R144" i="4" s="1"/>
  <c r="W143" i="4"/>
  <c r="V143" i="4"/>
  <c r="T143" i="4"/>
  <c r="Y143" i="4" s="1"/>
  <c r="P143" i="4"/>
  <c r="N143" i="4"/>
  <c r="M143" i="4"/>
  <c r="L143" i="4"/>
  <c r="K143" i="4"/>
  <c r="J143" i="4"/>
  <c r="I143" i="4"/>
  <c r="H143" i="4"/>
  <c r="F143" i="4"/>
  <c r="E143" i="4"/>
  <c r="B143" i="4"/>
  <c r="A143" i="4"/>
  <c r="S143" i="4" s="1"/>
  <c r="X142" i="4"/>
  <c r="V142" i="4"/>
  <c r="U142" i="4"/>
  <c r="R142" i="4"/>
  <c r="Q142" i="4"/>
  <c r="O142" i="4"/>
  <c r="M142" i="4"/>
  <c r="L142" i="4"/>
  <c r="K142" i="4"/>
  <c r="J142" i="4"/>
  <c r="I142" i="4"/>
  <c r="G142" i="4"/>
  <c r="E142" i="4"/>
  <c r="C142" i="4"/>
  <c r="B142" i="4"/>
  <c r="D142" i="4" s="1"/>
  <c r="A142" i="4"/>
  <c r="X141" i="4"/>
  <c r="W141" i="4"/>
  <c r="V141" i="4"/>
  <c r="T141" i="4"/>
  <c r="Y141" i="4" s="1"/>
  <c r="S141" i="4"/>
  <c r="Q141" i="4"/>
  <c r="P141" i="4"/>
  <c r="O141" i="4"/>
  <c r="N141" i="4"/>
  <c r="L141" i="4"/>
  <c r="K141" i="4"/>
  <c r="J141" i="4"/>
  <c r="I141" i="4"/>
  <c r="H141" i="4"/>
  <c r="G141" i="4"/>
  <c r="F141" i="4"/>
  <c r="E141" i="4"/>
  <c r="C141" i="4"/>
  <c r="B141" i="4"/>
  <c r="D141" i="4" s="1"/>
  <c r="A141" i="4"/>
  <c r="X140" i="4"/>
  <c r="T140" i="4"/>
  <c r="Y140" i="4" s="1"/>
  <c r="S140" i="4"/>
  <c r="Q140" i="4"/>
  <c r="P140" i="4"/>
  <c r="N140" i="4"/>
  <c r="L140" i="4"/>
  <c r="K140" i="4"/>
  <c r="J140" i="4"/>
  <c r="I140" i="4"/>
  <c r="H140" i="4"/>
  <c r="F140" i="4"/>
  <c r="E140" i="4"/>
  <c r="D140" i="4"/>
  <c r="C140" i="4"/>
  <c r="B140" i="4"/>
  <c r="A140" i="4"/>
  <c r="W139" i="4"/>
  <c r="U139" i="4"/>
  <c r="T139" i="4"/>
  <c r="Y139" i="4" s="1"/>
  <c r="R139" i="4"/>
  <c r="Q139" i="4"/>
  <c r="O139" i="4"/>
  <c r="L139" i="4"/>
  <c r="K139" i="4"/>
  <c r="J139" i="4"/>
  <c r="I139" i="4"/>
  <c r="G139" i="4"/>
  <c r="E139" i="4"/>
  <c r="D139" i="4"/>
  <c r="B139" i="4"/>
  <c r="C139" i="4" s="1"/>
  <c r="A139" i="4"/>
  <c r="X138" i="4"/>
  <c r="V138" i="4"/>
  <c r="U138" i="4"/>
  <c r="S138" i="4"/>
  <c r="R138" i="4"/>
  <c r="P138" i="4"/>
  <c r="N138" i="4"/>
  <c r="M138" i="4"/>
  <c r="L138" i="4"/>
  <c r="K138" i="4"/>
  <c r="J138" i="4"/>
  <c r="I138" i="4"/>
  <c r="H138" i="4"/>
  <c r="F138" i="4"/>
  <c r="E138" i="4"/>
  <c r="B138" i="4"/>
  <c r="A138" i="4"/>
  <c r="T138" i="4" s="1"/>
  <c r="Y138" i="4" s="1"/>
  <c r="O137" i="4"/>
  <c r="L137" i="4"/>
  <c r="K137" i="4"/>
  <c r="J137" i="4"/>
  <c r="I137" i="4"/>
  <c r="E137" i="4"/>
  <c r="D137" i="4"/>
  <c r="C137" i="4"/>
  <c r="B137" i="4"/>
  <c r="A137" i="4"/>
  <c r="V137" i="4" s="1"/>
  <c r="X136" i="4"/>
  <c r="W136" i="4"/>
  <c r="U136" i="4"/>
  <c r="T136" i="4"/>
  <c r="Y136" i="4" s="1"/>
  <c r="S136" i="4"/>
  <c r="R136" i="4"/>
  <c r="P136" i="4"/>
  <c r="O136" i="4"/>
  <c r="M136" i="4"/>
  <c r="L136" i="4"/>
  <c r="K136" i="4"/>
  <c r="J136" i="4"/>
  <c r="I136" i="4"/>
  <c r="H136" i="4"/>
  <c r="G136" i="4"/>
  <c r="E136" i="4"/>
  <c r="D136" i="4"/>
  <c r="B136" i="4"/>
  <c r="C136" i="4" s="1"/>
  <c r="A136" i="4"/>
  <c r="V136" i="4" s="1"/>
  <c r="X135" i="4"/>
  <c r="S135" i="4"/>
  <c r="Q135" i="4"/>
  <c r="M135" i="4"/>
  <c r="L135" i="4"/>
  <c r="K135" i="4"/>
  <c r="J135" i="4"/>
  <c r="I135" i="4"/>
  <c r="H135" i="4"/>
  <c r="E135" i="4"/>
  <c r="D135" i="4"/>
  <c r="C135" i="4"/>
  <c r="B135" i="4"/>
  <c r="A135" i="4"/>
  <c r="Q134" i="4"/>
  <c r="L134" i="4"/>
  <c r="K134" i="4"/>
  <c r="J134" i="4"/>
  <c r="I134" i="4"/>
  <c r="E134" i="4"/>
  <c r="B134" i="4"/>
  <c r="C134" i="4" s="1"/>
  <c r="A134" i="4"/>
  <c r="W134" i="4" s="1"/>
  <c r="X133" i="4"/>
  <c r="W133" i="4"/>
  <c r="V133" i="4"/>
  <c r="U133" i="4"/>
  <c r="T133" i="4"/>
  <c r="Y133" i="4" s="1"/>
  <c r="S133" i="4"/>
  <c r="R133" i="4"/>
  <c r="P133" i="4"/>
  <c r="O133" i="4"/>
  <c r="N133" i="4"/>
  <c r="M133" i="4"/>
  <c r="L133" i="4"/>
  <c r="K133" i="4"/>
  <c r="J133" i="4"/>
  <c r="I133" i="4"/>
  <c r="H133" i="4"/>
  <c r="G133" i="4"/>
  <c r="F133" i="4"/>
  <c r="E133" i="4"/>
  <c r="C133" i="4"/>
  <c r="B133" i="4"/>
  <c r="D133" i="4" s="1"/>
  <c r="A133" i="4"/>
  <c r="Q133" i="4" s="1"/>
  <c r="X132" i="4"/>
  <c r="T132" i="4"/>
  <c r="Y132" i="4" s="1"/>
  <c r="S132" i="4"/>
  <c r="Q132" i="4"/>
  <c r="P132" i="4"/>
  <c r="N132" i="4"/>
  <c r="L132" i="4"/>
  <c r="K132" i="4"/>
  <c r="J132" i="4"/>
  <c r="I132" i="4"/>
  <c r="H132" i="4"/>
  <c r="F132" i="4"/>
  <c r="E132" i="4"/>
  <c r="D132" i="4"/>
  <c r="C132" i="4"/>
  <c r="B132" i="4"/>
  <c r="A132" i="4"/>
  <c r="W131" i="4"/>
  <c r="U131" i="4"/>
  <c r="T131" i="4"/>
  <c r="Y131" i="4" s="1"/>
  <c r="R131" i="4"/>
  <c r="Q131" i="4"/>
  <c r="O131" i="4"/>
  <c r="L131" i="4"/>
  <c r="K131" i="4"/>
  <c r="J131" i="4"/>
  <c r="I131" i="4"/>
  <c r="G131" i="4"/>
  <c r="E131" i="4"/>
  <c r="D131" i="4"/>
  <c r="B131" i="4"/>
  <c r="C131" i="4" s="1"/>
  <c r="A131" i="4"/>
  <c r="X130" i="4"/>
  <c r="V130" i="4"/>
  <c r="U130" i="4"/>
  <c r="S130" i="4"/>
  <c r="R130" i="4"/>
  <c r="P130" i="4"/>
  <c r="N130" i="4"/>
  <c r="M130" i="4"/>
  <c r="L130" i="4"/>
  <c r="K130" i="4"/>
  <c r="J130" i="4"/>
  <c r="I130" i="4"/>
  <c r="H130" i="4"/>
  <c r="F130" i="4"/>
  <c r="E130" i="4"/>
  <c r="B130" i="4"/>
  <c r="A130" i="4"/>
  <c r="T130" i="4" s="1"/>
  <c r="Y130" i="4" s="1"/>
  <c r="T129" i="4"/>
  <c r="Y129" i="4" s="1"/>
  <c r="O129" i="4"/>
  <c r="N129" i="4"/>
  <c r="L129" i="4"/>
  <c r="K129" i="4"/>
  <c r="J129" i="4"/>
  <c r="I129" i="4"/>
  <c r="E129" i="4"/>
  <c r="D129" i="4"/>
  <c r="C129" i="4"/>
  <c r="B129" i="4"/>
  <c r="A129" i="4"/>
  <c r="W129" i="4" s="1"/>
  <c r="X128" i="4"/>
  <c r="W128" i="4"/>
  <c r="U128" i="4"/>
  <c r="T128" i="4"/>
  <c r="Y128" i="4" s="1"/>
  <c r="S128" i="4"/>
  <c r="R128" i="4"/>
  <c r="P128" i="4"/>
  <c r="O128" i="4"/>
  <c r="M128" i="4"/>
  <c r="L128" i="4"/>
  <c r="K128" i="4"/>
  <c r="J128" i="4"/>
  <c r="I128" i="4"/>
  <c r="H128" i="4"/>
  <c r="G128" i="4"/>
  <c r="E128" i="4"/>
  <c r="D128" i="4"/>
  <c r="B128" i="4"/>
  <c r="C128" i="4" s="1"/>
  <c r="A128" i="4"/>
  <c r="V128" i="4" s="1"/>
  <c r="X127" i="4"/>
  <c r="U127" i="4"/>
  <c r="S127" i="4"/>
  <c r="Q127" i="4"/>
  <c r="M127" i="4"/>
  <c r="L127" i="4"/>
  <c r="K127" i="4"/>
  <c r="J127" i="4"/>
  <c r="I127" i="4"/>
  <c r="H127" i="4"/>
  <c r="E127" i="4"/>
  <c r="D127" i="4"/>
  <c r="C127" i="4"/>
  <c r="B127" i="4"/>
  <c r="A127" i="4"/>
  <c r="R126" i="4"/>
  <c r="Q126" i="4"/>
  <c r="L126" i="4"/>
  <c r="K126" i="4"/>
  <c r="J126" i="4"/>
  <c r="I126" i="4"/>
  <c r="F126" i="4"/>
  <c r="E126" i="4"/>
  <c r="B126" i="4"/>
  <c r="C126" i="4" s="1"/>
  <c r="A126" i="4"/>
  <c r="W126" i="4" s="1"/>
  <c r="X125" i="4"/>
  <c r="W125" i="4"/>
  <c r="V125" i="4"/>
  <c r="U125" i="4"/>
  <c r="T125" i="4"/>
  <c r="Y125" i="4" s="1"/>
  <c r="S125" i="4"/>
  <c r="R125" i="4"/>
  <c r="P125" i="4"/>
  <c r="O125" i="4"/>
  <c r="N125" i="4"/>
  <c r="M125" i="4"/>
  <c r="L125" i="4"/>
  <c r="K125" i="4"/>
  <c r="J125" i="4"/>
  <c r="I125" i="4"/>
  <c r="H125" i="4"/>
  <c r="G125" i="4"/>
  <c r="F125" i="4"/>
  <c r="E125" i="4"/>
  <c r="C125" i="4"/>
  <c r="B125" i="4"/>
  <c r="D125" i="4" s="1"/>
  <c r="A125" i="4"/>
  <c r="Q125" i="4" s="1"/>
  <c r="X124" i="4"/>
  <c r="T124" i="4"/>
  <c r="Y124" i="4" s="1"/>
  <c r="S124" i="4"/>
  <c r="Q124" i="4"/>
  <c r="P124" i="4"/>
  <c r="N124" i="4"/>
  <c r="L124" i="4"/>
  <c r="K124" i="4"/>
  <c r="J124" i="4"/>
  <c r="I124" i="4"/>
  <c r="H124" i="4"/>
  <c r="F124" i="4"/>
  <c r="E124" i="4"/>
  <c r="D124" i="4"/>
  <c r="C124" i="4"/>
  <c r="B124" i="4"/>
  <c r="A124" i="4"/>
  <c r="W123" i="4"/>
  <c r="U123" i="4"/>
  <c r="T123" i="4"/>
  <c r="Y123" i="4" s="1"/>
  <c r="R123" i="4"/>
  <c r="Q123" i="4"/>
  <c r="O123" i="4"/>
  <c r="L123" i="4"/>
  <c r="K123" i="4"/>
  <c r="J123" i="4"/>
  <c r="I123" i="4"/>
  <c r="G123" i="4"/>
  <c r="E123" i="4"/>
  <c r="D123" i="4"/>
  <c r="B123" i="4"/>
  <c r="C123" i="4" s="1"/>
  <c r="A123" i="4"/>
  <c r="X122" i="4"/>
  <c r="V122" i="4"/>
  <c r="U122" i="4"/>
  <c r="S122" i="4"/>
  <c r="R122" i="4"/>
  <c r="P122" i="4"/>
  <c r="N122" i="4"/>
  <c r="M122" i="4"/>
  <c r="L122" i="4"/>
  <c r="K122" i="4"/>
  <c r="J122" i="4"/>
  <c r="I122" i="4"/>
  <c r="H122" i="4"/>
  <c r="F122" i="4"/>
  <c r="E122" i="4"/>
  <c r="B122" i="4"/>
  <c r="A122" i="4"/>
  <c r="T122" i="4" s="1"/>
  <c r="Y122" i="4" s="1"/>
  <c r="L121" i="4"/>
  <c r="K121" i="4"/>
  <c r="J121" i="4"/>
  <c r="I121" i="4"/>
  <c r="E121" i="4"/>
  <c r="B121" i="4"/>
  <c r="C121" i="4" s="1"/>
  <c r="A121" i="4"/>
  <c r="N121" i="4" s="1"/>
  <c r="X120" i="4"/>
  <c r="W120" i="4"/>
  <c r="U120" i="4"/>
  <c r="T120" i="4"/>
  <c r="Y120" i="4" s="1"/>
  <c r="S120" i="4"/>
  <c r="R120" i="4"/>
  <c r="P120" i="4"/>
  <c r="O120" i="4"/>
  <c r="M120" i="4"/>
  <c r="L120" i="4"/>
  <c r="K120" i="4"/>
  <c r="J120" i="4"/>
  <c r="I120" i="4"/>
  <c r="H120" i="4"/>
  <c r="G120" i="4"/>
  <c r="E120" i="4"/>
  <c r="D120" i="4"/>
  <c r="B120" i="4"/>
  <c r="C120" i="4" s="1"/>
  <c r="A120" i="4"/>
  <c r="V120" i="4" s="1"/>
  <c r="T119" i="4"/>
  <c r="Y119" i="4" s="1"/>
  <c r="P119" i="4"/>
  <c r="L119" i="4"/>
  <c r="K119" i="4"/>
  <c r="J119" i="4"/>
  <c r="I119" i="4"/>
  <c r="E119" i="4"/>
  <c r="D119" i="4"/>
  <c r="C119" i="4"/>
  <c r="B119" i="4"/>
  <c r="A119" i="4"/>
  <c r="V119" i="4" s="1"/>
  <c r="Q118" i="4"/>
  <c r="O118" i="4"/>
  <c r="L118" i="4"/>
  <c r="K118" i="4"/>
  <c r="J118" i="4"/>
  <c r="I118" i="4"/>
  <c r="E118" i="4"/>
  <c r="B118" i="4"/>
  <c r="A118" i="4"/>
  <c r="V118" i="4" s="1"/>
  <c r="X117" i="4"/>
  <c r="W117" i="4"/>
  <c r="V117" i="4"/>
  <c r="U117" i="4"/>
  <c r="T117" i="4"/>
  <c r="Y117" i="4" s="1"/>
  <c r="S117" i="4"/>
  <c r="R117" i="4"/>
  <c r="P117" i="4"/>
  <c r="O117" i="4"/>
  <c r="N117" i="4"/>
  <c r="M117" i="4"/>
  <c r="L117" i="4"/>
  <c r="K117" i="4"/>
  <c r="J117" i="4"/>
  <c r="I117" i="4"/>
  <c r="H117" i="4"/>
  <c r="G117" i="4"/>
  <c r="F117" i="4"/>
  <c r="E117" i="4"/>
  <c r="C117" i="4"/>
  <c r="B117" i="4"/>
  <c r="D117" i="4" s="1"/>
  <c r="A117" i="4"/>
  <c r="Q117" i="4" s="1"/>
  <c r="L116" i="4"/>
  <c r="K116" i="4"/>
  <c r="J116" i="4"/>
  <c r="I116" i="4"/>
  <c r="E116" i="4"/>
  <c r="D116" i="4"/>
  <c r="C116" i="4"/>
  <c r="B116" i="4"/>
  <c r="A116" i="4"/>
  <c r="W115" i="4"/>
  <c r="U115" i="4"/>
  <c r="R115" i="4"/>
  <c r="L115" i="4"/>
  <c r="K115" i="4"/>
  <c r="J115" i="4"/>
  <c r="I115" i="4"/>
  <c r="H115" i="4"/>
  <c r="G115" i="4"/>
  <c r="E115" i="4"/>
  <c r="B115" i="4"/>
  <c r="A115" i="4"/>
  <c r="X114" i="4"/>
  <c r="V114" i="4"/>
  <c r="Q114" i="4"/>
  <c r="P114" i="4"/>
  <c r="L114" i="4"/>
  <c r="K114" i="4"/>
  <c r="J114" i="4"/>
  <c r="I114" i="4"/>
  <c r="H114" i="4"/>
  <c r="F114" i="4"/>
  <c r="E114" i="4"/>
  <c r="C114" i="4"/>
  <c r="B114" i="4"/>
  <c r="D114" i="4" s="1"/>
  <c r="A114" i="4"/>
  <c r="V113" i="4"/>
  <c r="T113" i="4"/>
  <c r="Y113" i="4" s="1"/>
  <c r="R113" i="4"/>
  <c r="Q113" i="4"/>
  <c r="O113" i="4"/>
  <c r="L113" i="4"/>
  <c r="K113" i="4"/>
  <c r="J113" i="4"/>
  <c r="I113" i="4"/>
  <c r="G113" i="4"/>
  <c r="F113" i="4"/>
  <c r="E113" i="4"/>
  <c r="B113" i="4"/>
  <c r="A113" i="4"/>
  <c r="X112" i="4"/>
  <c r="W112" i="4"/>
  <c r="U112" i="4"/>
  <c r="T112" i="4"/>
  <c r="Y112" i="4" s="1"/>
  <c r="R112" i="4"/>
  <c r="Q112" i="4"/>
  <c r="P112" i="4"/>
  <c r="O112" i="4"/>
  <c r="M112" i="4"/>
  <c r="L112" i="4"/>
  <c r="K112" i="4"/>
  <c r="J112" i="4"/>
  <c r="I112" i="4"/>
  <c r="H112" i="4"/>
  <c r="G112" i="4"/>
  <c r="E112" i="4"/>
  <c r="B112" i="4"/>
  <c r="D112" i="4" s="1"/>
  <c r="A112" i="4"/>
  <c r="V111" i="4"/>
  <c r="L111" i="4"/>
  <c r="K111" i="4"/>
  <c r="J111" i="4"/>
  <c r="I111" i="4"/>
  <c r="E111" i="4"/>
  <c r="B111" i="4"/>
  <c r="C111" i="4" s="1"/>
  <c r="A111" i="4"/>
  <c r="X111" i="4" s="1"/>
  <c r="U110" i="4"/>
  <c r="T110" i="4"/>
  <c r="Y110" i="4" s="1"/>
  <c r="R110" i="4"/>
  <c r="Q110" i="4"/>
  <c r="O110" i="4"/>
  <c r="L110" i="4"/>
  <c r="K110" i="4"/>
  <c r="J110" i="4"/>
  <c r="I110" i="4"/>
  <c r="G110" i="4"/>
  <c r="F110" i="4"/>
  <c r="E110" i="4"/>
  <c r="B110" i="4"/>
  <c r="D110" i="4" s="1"/>
  <c r="A110" i="4"/>
  <c r="W110" i="4" s="1"/>
  <c r="X109" i="4"/>
  <c r="W109" i="4"/>
  <c r="V109" i="4"/>
  <c r="U109" i="4"/>
  <c r="T109" i="4"/>
  <c r="Y109" i="4" s="1"/>
  <c r="S109" i="4"/>
  <c r="R109" i="4"/>
  <c r="P109" i="4"/>
  <c r="O109" i="4"/>
  <c r="N109" i="4"/>
  <c r="M109" i="4"/>
  <c r="L109" i="4"/>
  <c r="K109" i="4"/>
  <c r="J109" i="4"/>
  <c r="I109" i="4"/>
  <c r="H109" i="4"/>
  <c r="G109" i="4"/>
  <c r="F109" i="4"/>
  <c r="E109" i="4"/>
  <c r="B109" i="4"/>
  <c r="A109" i="4"/>
  <c r="Q109" i="4" s="1"/>
  <c r="S108" i="4"/>
  <c r="O108" i="4"/>
  <c r="L108" i="4"/>
  <c r="K108" i="4"/>
  <c r="J108" i="4"/>
  <c r="I108" i="4"/>
  <c r="F108" i="4"/>
  <c r="E108" i="4"/>
  <c r="D108" i="4"/>
  <c r="C108" i="4"/>
  <c r="B108" i="4"/>
  <c r="A108" i="4"/>
  <c r="Q108" i="4" s="1"/>
  <c r="L107" i="4"/>
  <c r="K107" i="4"/>
  <c r="J107" i="4"/>
  <c r="I107" i="4"/>
  <c r="E107" i="4"/>
  <c r="B107" i="4"/>
  <c r="C107" i="4" s="1"/>
  <c r="A107" i="4"/>
  <c r="X107" i="4" s="1"/>
  <c r="X106" i="4"/>
  <c r="W106" i="4"/>
  <c r="V106" i="4"/>
  <c r="U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6" i="4"/>
  <c r="C106" i="4"/>
  <c r="B106" i="4"/>
  <c r="D106" i="4" s="1"/>
  <c r="A106" i="4"/>
  <c r="T106" i="4" s="1"/>
  <c r="Y106" i="4" s="1"/>
  <c r="X105" i="4"/>
  <c r="W105" i="4"/>
  <c r="V105" i="4"/>
  <c r="T105" i="4"/>
  <c r="Y105" i="4" s="1"/>
  <c r="S105" i="4"/>
  <c r="Q105" i="4"/>
  <c r="P105" i="4"/>
  <c r="O105" i="4"/>
  <c r="N105" i="4"/>
  <c r="L105" i="4"/>
  <c r="K105" i="4"/>
  <c r="J105" i="4"/>
  <c r="I105" i="4"/>
  <c r="H105" i="4"/>
  <c r="G105" i="4"/>
  <c r="F105" i="4"/>
  <c r="E105" i="4"/>
  <c r="D105" i="4"/>
  <c r="B105" i="4"/>
  <c r="C105" i="4" s="1"/>
  <c r="A105" i="4"/>
  <c r="U104" i="4"/>
  <c r="T104" i="4"/>
  <c r="Y104" i="4" s="1"/>
  <c r="S104" i="4"/>
  <c r="R104" i="4"/>
  <c r="O104" i="4"/>
  <c r="M104" i="4"/>
  <c r="L104" i="4"/>
  <c r="K104" i="4"/>
  <c r="J104" i="4"/>
  <c r="I104" i="4"/>
  <c r="E104" i="4"/>
  <c r="C104" i="4"/>
  <c r="B104" i="4"/>
  <c r="D104" i="4" s="1"/>
  <c r="A104" i="4"/>
  <c r="W104" i="4" s="1"/>
  <c r="U103" i="4"/>
  <c r="T103" i="4"/>
  <c r="Y103" i="4" s="1"/>
  <c r="S103" i="4"/>
  <c r="R103" i="4"/>
  <c r="Q103" i="4"/>
  <c r="P103" i="4"/>
  <c r="L103" i="4"/>
  <c r="K103" i="4"/>
  <c r="J103" i="4"/>
  <c r="I103" i="4"/>
  <c r="H103" i="4"/>
  <c r="F103" i="4"/>
  <c r="E103" i="4"/>
  <c r="C103" i="4"/>
  <c r="B103" i="4"/>
  <c r="D103" i="4" s="1"/>
  <c r="A103" i="4"/>
  <c r="L102" i="4"/>
  <c r="K102" i="4"/>
  <c r="J102" i="4"/>
  <c r="I102" i="4"/>
  <c r="E102" i="4"/>
  <c r="D102" i="4"/>
  <c r="B102" i="4"/>
  <c r="C102" i="4" s="1"/>
  <c r="A102" i="4"/>
  <c r="X101" i="4"/>
  <c r="W101" i="4"/>
  <c r="V101" i="4"/>
  <c r="U101" i="4"/>
  <c r="T101" i="4"/>
  <c r="Y101" i="4" s="1"/>
  <c r="S101" i="4"/>
  <c r="R101" i="4"/>
  <c r="P101" i="4"/>
  <c r="O101" i="4"/>
  <c r="N101" i="4"/>
  <c r="M101" i="4"/>
  <c r="L101" i="4"/>
  <c r="K101" i="4"/>
  <c r="J101" i="4"/>
  <c r="I101" i="4"/>
  <c r="H101" i="4"/>
  <c r="G101" i="4"/>
  <c r="F101" i="4"/>
  <c r="E101" i="4"/>
  <c r="D101" i="4"/>
  <c r="C101" i="4"/>
  <c r="B101" i="4"/>
  <c r="A101" i="4"/>
  <c r="Q101" i="4" s="1"/>
  <c r="X100" i="4"/>
  <c r="W100" i="4"/>
  <c r="V100" i="4"/>
  <c r="Q100" i="4"/>
  <c r="P100" i="4"/>
  <c r="O100" i="4"/>
  <c r="N100" i="4"/>
  <c r="M100" i="4"/>
  <c r="L100" i="4"/>
  <c r="K100" i="4"/>
  <c r="J100" i="4"/>
  <c r="I100" i="4"/>
  <c r="H100" i="4"/>
  <c r="G100" i="4"/>
  <c r="F100" i="4"/>
  <c r="E100" i="4"/>
  <c r="D100" i="4"/>
  <c r="B100" i="4"/>
  <c r="C100" i="4" s="1"/>
  <c r="A100" i="4"/>
  <c r="W99" i="4"/>
  <c r="M99" i="4"/>
  <c r="L99" i="4"/>
  <c r="K99" i="4"/>
  <c r="J99" i="4"/>
  <c r="I99" i="4"/>
  <c r="E99" i="4"/>
  <c r="B99" i="4"/>
  <c r="A99" i="4"/>
  <c r="R99" i="4" s="1"/>
  <c r="R98" i="4"/>
  <c r="P98" i="4"/>
  <c r="O98" i="4"/>
  <c r="L98" i="4"/>
  <c r="K98" i="4"/>
  <c r="J98" i="4"/>
  <c r="I98" i="4"/>
  <c r="G98" i="4"/>
  <c r="F98" i="4"/>
  <c r="E98" i="4"/>
  <c r="B98" i="4"/>
  <c r="D98" i="4" s="1"/>
  <c r="A98" i="4"/>
  <c r="Q98" i="4" s="1"/>
  <c r="W97" i="4"/>
  <c r="O97" i="4"/>
  <c r="L97" i="4"/>
  <c r="K97" i="4"/>
  <c r="J97" i="4"/>
  <c r="I97" i="4"/>
  <c r="E97" i="4"/>
  <c r="D97" i="4"/>
  <c r="B97" i="4"/>
  <c r="C97" i="4" s="1"/>
  <c r="A97" i="4"/>
  <c r="S97" i="4" s="1"/>
  <c r="S96" i="4"/>
  <c r="Q96" i="4"/>
  <c r="P96" i="4"/>
  <c r="L96" i="4"/>
  <c r="K96" i="4"/>
  <c r="J96" i="4"/>
  <c r="I96" i="4"/>
  <c r="E96" i="4"/>
  <c r="D96" i="4"/>
  <c r="B96" i="4"/>
  <c r="C96" i="4" s="1"/>
  <c r="A96" i="4"/>
  <c r="V95" i="4"/>
  <c r="T95" i="4"/>
  <c r="Y95" i="4" s="1"/>
  <c r="S95" i="4"/>
  <c r="L95" i="4"/>
  <c r="K95" i="4"/>
  <c r="J95" i="4"/>
  <c r="I95" i="4"/>
  <c r="E95" i="4"/>
  <c r="B95" i="4"/>
  <c r="A95" i="4"/>
  <c r="R95" i="4" s="1"/>
  <c r="X94" i="4"/>
  <c r="W94" i="4"/>
  <c r="V94" i="4"/>
  <c r="U94" i="4"/>
  <c r="T94" i="4"/>
  <c r="Y94" i="4" s="1"/>
  <c r="S94" i="4"/>
  <c r="R94" i="4"/>
  <c r="P94" i="4"/>
  <c r="O94" i="4"/>
  <c r="N94" i="4"/>
  <c r="M94" i="4"/>
  <c r="L94" i="4"/>
  <c r="K94" i="4"/>
  <c r="J94" i="4"/>
  <c r="I94" i="4"/>
  <c r="H94" i="4"/>
  <c r="G94" i="4"/>
  <c r="F94" i="4"/>
  <c r="E94" i="4"/>
  <c r="C94" i="4"/>
  <c r="B94" i="4"/>
  <c r="D94" i="4" s="1"/>
  <c r="A94" i="4"/>
  <c r="Q94" i="4" s="1"/>
  <c r="L93" i="4"/>
  <c r="K93" i="4"/>
  <c r="J93" i="4"/>
  <c r="I93" i="4"/>
  <c r="E93" i="4"/>
  <c r="D93" i="4"/>
  <c r="C93" i="4"/>
  <c r="B93" i="4"/>
  <c r="A93" i="4"/>
  <c r="X92" i="4"/>
  <c r="W92" i="4"/>
  <c r="T92" i="4"/>
  <c r="Y92" i="4" s="1"/>
  <c r="Q92" i="4"/>
  <c r="O92" i="4"/>
  <c r="N92" i="4"/>
  <c r="L92" i="4"/>
  <c r="K92" i="4"/>
  <c r="J92" i="4"/>
  <c r="I92" i="4"/>
  <c r="G92" i="4"/>
  <c r="F92" i="4"/>
  <c r="E92" i="4"/>
  <c r="B92" i="4"/>
  <c r="C92" i="4" s="1"/>
  <c r="A92" i="4"/>
  <c r="S92" i="4" s="1"/>
  <c r="W91" i="4"/>
  <c r="P91" i="4"/>
  <c r="N91" i="4"/>
  <c r="L91" i="4"/>
  <c r="K91" i="4"/>
  <c r="J91" i="4"/>
  <c r="I91" i="4"/>
  <c r="H91" i="4"/>
  <c r="F91" i="4"/>
  <c r="E91" i="4"/>
  <c r="B91" i="4"/>
  <c r="D91" i="4" s="1"/>
  <c r="A91" i="4"/>
  <c r="T91" i="4" s="1"/>
  <c r="Y91" i="4" s="1"/>
  <c r="X90" i="4"/>
  <c r="W90" i="4"/>
  <c r="V90" i="4"/>
  <c r="T90" i="4"/>
  <c r="Y90" i="4" s="1"/>
  <c r="Q90" i="4"/>
  <c r="P90" i="4"/>
  <c r="O90" i="4"/>
  <c r="N90" i="4"/>
  <c r="L90" i="4"/>
  <c r="K90" i="4"/>
  <c r="J90" i="4"/>
  <c r="I90" i="4"/>
  <c r="H90" i="4"/>
  <c r="G90" i="4"/>
  <c r="F90" i="4"/>
  <c r="E90" i="4"/>
  <c r="D90" i="4"/>
  <c r="C90" i="4"/>
  <c r="B90" i="4"/>
  <c r="A90" i="4"/>
  <c r="W89" i="4"/>
  <c r="T89" i="4"/>
  <c r="Y89" i="4" s="1"/>
  <c r="M89" i="4"/>
  <c r="L89" i="4"/>
  <c r="K89" i="4"/>
  <c r="J89" i="4"/>
  <c r="I89" i="4"/>
  <c r="E89" i="4"/>
  <c r="B89" i="4"/>
  <c r="C89" i="4" s="1"/>
  <c r="A89" i="4"/>
  <c r="R89" i="4" s="1"/>
  <c r="V88" i="4"/>
  <c r="U88" i="4"/>
  <c r="T88" i="4"/>
  <c r="Y88" i="4" s="1"/>
  <c r="R88" i="4"/>
  <c r="Q88" i="4"/>
  <c r="M88" i="4"/>
  <c r="L88" i="4"/>
  <c r="K88" i="4"/>
  <c r="J88" i="4"/>
  <c r="I88" i="4"/>
  <c r="H88" i="4"/>
  <c r="E88" i="4"/>
  <c r="B88" i="4"/>
  <c r="A88" i="4"/>
  <c r="P88" i="4" s="1"/>
  <c r="W87" i="4"/>
  <c r="T87" i="4"/>
  <c r="Y87" i="4" s="1"/>
  <c r="R87" i="4"/>
  <c r="O87" i="4"/>
  <c r="N87" i="4"/>
  <c r="L87" i="4"/>
  <c r="K87" i="4"/>
  <c r="J87" i="4"/>
  <c r="I87" i="4"/>
  <c r="F87" i="4"/>
  <c r="E87" i="4"/>
  <c r="B87" i="4"/>
  <c r="D87" i="4" s="1"/>
  <c r="A87" i="4"/>
  <c r="Q87" i="4" s="1"/>
  <c r="X86" i="4"/>
  <c r="V86" i="4"/>
  <c r="O86" i="4"/>
  <c r="M86" i="4"/>
  <c r="L86" i="4"/>
  <c r="K86" i="4"/>
  <c r="J86" i="4"/>
  <c r="I86" i="4"/>
  <c r="G86" i="4"/>
  <c r="E86" i="4"/>
  <c r="D86" i="4"/>
  <c r="B86" i="4"/>
  <c r="C86" i="4" s="1"/>
  <c r="A86" i="4"/>
  <c r="Q86" i="4" s="1"/>
  <c r="X85" i="4"/>
  <c r="V85" i="4"/>
  <c r="U85" i="4"/>
  <c r="R85" i="4"/>
  <c r="P85" i="4"/>
  <c r="N85" i="4"/>
  <c r="M85" i="4"/>
  <c r="L85" i="4"/>
  <c r="K85" i="4"/>
  <c r="J85" i="4"/>
  <c r="I85" i="4"/>
  <c r="H85" i="4"/>
  <c r="F85" i="4"/>
  <c r="E85" i="4"/>
  <c r="B85" i="4"/>
  <c r="D85" i="4" s="1"/>
  <c r="A85" i="4"/>
  <c r="Q85" i="4" s="1"/>
  <c r="O84" i="4"/>
  <c r="L84" i="4"/>
  <c r="K84" i="4"/>
  <c r="J84" i="4"/>
  <c r="I84" i="4"/>
  <c r="G84" i="4"/>
  <c r="E84" i="4"/>
  <c r="C84" i="4"/>
  <c r="B84" i="4"/>
  <c r="D84" i="4" s="1"/>
  <c r="A84" i="4"/>
  <c r="X83" i="4"/>
  <c r="W83" i="4"/>
  <c r="T83" i="4"/>
  <c r="Y83" i="4" s="1"/>
  <c r="S83" i="4"/>
  <c r="R83" i="4"/>
  <c r="P83" i="4"/>
  <c r="O83" i="4"/>
  <c r="L83" i="4"/>
  <c r="K83" i="4"/>
  <c r="J83" i="4"/>
  <c r="I83" i="4"/>
  <c r="H83" i="4"/>
  <c r="G83" i="4"/>
  <c r="E83" i="4"/>
  <c r="B83" i="4"/>
  <c r="A83" i="4"/>
  <c r="Q83" i="4" s="1"/>
  <c r="L82" i="4"/>
  <c r="K82" i="4"/>
  <c r="J82" i="4"/>
  <c r="I82" i="4"/>
  <c r="E82" i="4"/>
  <c r="D82" i="4"/>
  <c r="C82" i="4"/>
  <c r="B82" i="4"/>
  <c r="A82" i="4"/>
  <c r="T81" i="4"/>
  <c r="Y81" i="4" s="1"/>
  <c r="R81" i="4"/>
  <c r="N81" i="4"/>
  <c r="L81" i="4"/>
  <c r="K81" i="4"/>
  <c r="J81" i="4"/>
  <c r="I81" i="4"/>
  <c r="F81" i="4"/>
  <c r="E81" i="4"/>
  <c r="B81" i="4"/>
  <c r="C81" i="4" s="1"/>
  <c r="A81" i="4"/>
  <c r="U81" i="4" s="1"/>
  <c r="W80" i="4"/>
  <c r="V80" i="4"/>
  <c r="U80" i="4"/>
  <c r="T80" i="4"/>
  <c r="Y80" i="4" s="1"/>
  <c r="S80" i="4"/>
  <c r="R80" i="4"/>
  <c r="O80" i="4"/>
  <c r="N80" i="4"/>
  <c r="M80" i="4"/>
  <c r="L80" i="4"/>
  <c r="K80" i="4"/>
  <c r="J80" i="4"/>
  <c r="I80" i="4"/>
  <c r="G80" i="4"/>
  <c r="F80" i="4"/>
  <c r="E80" i="4"/>
  <c r="C80" i="4"/>
  <c r="B80" i="4"/>
  <c r="D80" i="4" s="1"/>
  <c r="A80" i="4"/>
  <c r="Q80" i="4" s="1"/>
  <c r="X79" i="4"/>
  <c r="W79" i="4"/>
  <c r="V79" i="4"/>
  <c r="U79" i="4"/>
  <c r="T79" i="4"/>
  <c r="Y79" i="4" s="1"/>
  <c r="S79" i="4"/>
  <c r="P79" i="4"/>
  <c r="O79" i="4"/>
  <c r="N79" i="4"/>
  <c r="M79" i="4"/>
  <c r="L79" i="4"/>
  <c r="K79" i="4"/>
  <c r="J79" i="4"/>
  <c r="I79" i="4"/>
  <c r="H79" i="4"/>
  <c r="G79" i="4"/>
  <c r="F79" i="4"/>
  <c r="E79" i="4"/>
  <c r="D79" i="4"/>
  <c r="C79" i="4"/>
  <c r="B79" i="4"/>
  <c r="A79" i="4"/>
  <c r="R79" i="4" s="1"/>
  <c r="W78" i="4"/>
  <c r="U78" i="4"/>
  <c r="O78" i="4"/>
  <c r="M78" i="4"/>
  <c r="L78" i="4"/>
  <c r="K78" i="4"/>
  <c r="J78" i="4"/>
  <c r="I78" i="4"/>
  <c r="G78" i="4"/>
  <c r="E78" i="4"/>
  <c r="D78" i="4"/>
  <c r="B78" i="4"/>
  <c r="C78" i="4" s="1"/>
  <c r="A78" i="4"/>
  <c r="X78" i="4" s="1"/>
  <c r="X77" i="4"/>
  <c r="V77" i="4"/>
  <c r="U77" i="4"/>
  <c r="R77" i="4"/>
  <c r="P77" i="4"/>
  <c r="N77" i="4"/>
  <c r="M77" i="4"/>
  <c r="L77" i="4"/>
  <c r="K77" i="4"/>
  <c r="J77" i="4"/>
  <c r="I77" i="4"/>
  <c r="H77" i="4"/>
  <c r="F77" i="4"/>
  <c r="E77" i="4"/>
  <c r="B77" i="4"/>
  <c r="D77" i="4" s="1"/>
  <c r="A77" i="4"/>
  <c r="Q77" i="4" s="1"/>
  <c r="L76" i="4"/>
  <c r="K76" i="4"/>
  <c r="J76" i="4"/>
  <c r="I76" i="4"/>
  <c r="G76" i="4"/>
  <c r="E76" i="4"/>
  <c r="C76" i="4"/>
  <c r="B76" i="4"/>
  <c r="D76" i="4" s="1"/>
  <c r="A76" i="4"/>
  <c r="X75" i="4"/>
  <c r="W75" i="4"/>
  <c r="T75" i="4"/>
  <c r="Y75" i="4" s="1"/>
  <c r="S75" i="4"/>
  <c r="R75" i="4"/>
  <c r="P75" i="4"/>
  <c r="O75" i="4"/>
  <c r="L75" i="4"/>
  <c r="K75" i="4"/>
  <c r="J75" i="4"/>
  <c r="I75" i="4"/>
  <c r="H75" i="4"/>
  <c r="G75" i="4"/>
  <c r="E75" i="4"/>
  <c r="B75" i="4"/>
  <c r="A75" i="4"/>
  <c r="Q75" i="4" s="1"/>
  <c r="L74" i="4"/>
  <c r="K74" i="4"/>
  <c r="J74" i="4"/>
  <c r="I74" i="4"/>
  <c r="E74" i="4"/>
  <c r="D74" i="4"/>
  <c r="C74" i="4"/>
  <c r="B74" i="4"/>
  <c r="A74" i="4"/>
  <c r="V73" i="4"/>
  <c r="T73" i="4"/>
  <c r="Y73" i="4" s="1"/>
  <c r="R73" i="4"/>
  <c r="N73" i="4"/>
  <c r="L73" i="4"/>
  <c r="K73" i="4"/>
  <c r="J73" i="4"/>
  <c r="I73" i="4"/>
  <c r="F73" i="4"/>
  <c r="E73" i="4"/>
  <c r="B73" i="4"/>
  <c r="C73" i="4" s="1"/>
  <c r="A73" i="4"/>
  <c r="U73" i="4" s="1"/>
  <c r="W72" i="4"/>
  <c r="V72" i="4"/>
  <c r="U72" i="4"/>
  <c r="T72" i="4"/>
  <c r="Y72" i="4" s="1"/>
  <c r="S72" i="4"/>
  <c r="R72" i="4"/>
  <c r="O72" i="4"/>
  <c r="N72" i="4"/>
  <c r="M72" i="4"/>
  <c r="L72" i="4"/>
  <c r="K72" i="4"/>
  <c r="J72" i="4"/>
  <c r="I72" i="4"/>
  <c r="G72" i="4"/>
  <c r="F72" i="4"/>
  <c r="E72" i="4"/>
  <c r="C72" i="4"/>
  <c r="B72" i="4"/>
  <c r="D72" i="4" s="1"/>
  <c r="A72" i="4"/>
  <c r="Q72" i="4" s="1"/>
  <c r="X71" i="4"/>
  <c r="W71" i="4"/>
  <c r="V71" i="4"/>
  <c r="U71" i="4"/>
  <c r="T71" i="4"/>
  <c r="Y71" i="4" s="1"/>
  <c r="S71" i="4"/>
  <c r="P71" i="4"/>
  <c r="O71" i="4"/>
  <c r="N71" i="4"/>
  <c r="M71" i="4"/>
  <c r="L71" i="4"/>
  <c r="K71" i="4"/>
  <c r="J71" i="4"/>
  <c r="I71" i="4"/>
  <c r="H71" i="4"/>
  <c r="G71" i="4"/>
  <c r="F71" i="4"/>
  <c r="E71" i="4"/>
  <c r="D71" i="4"/>
  <c r="C71" i="4"/>
  <c r="B71" i="4"/>
  <c r="A71" i="4"/>
  <c r="R71" i="4" s="1"/>
  <c r="W70" i="4"/>
  <c r="U70" i="4"/>
  <c r="O70" i="4"/>
  <c r="M70" i="4"/>
  <c r="L70" i="4"/>
  <c r="K70" i="4"/>
  <c r="J70" i="4"/>
  <c r="I70" i="4"/>
  <c r="G70" i="4"/>
  <c r="E70" i="4"/>
  <c r="D70" i="4"/>
  <c r="B70" i="4"/>
  <c r="C70" i="4" s="1"/>
  <c r="A70" i="4"/>
  <c r="X70" i="4" s="1"/>
  <c r="X69" i="4"/>
  <c r="V69" i="4"/>
  <c r="U69" i="4"/>
  <c r="R69" i="4"/>
  <c r="P69" i="4"/>
  <c r="N69" i="4"/>
  <c r="M69" i="4"/>
  <c r="L69" i="4"/>
  <c r="K69" i="4"/>
  <c r="J69" i="4"/>
  <c r="I69" i="4"/>
  <c r="H69" i="4"/>
  <c r="F69" i="4"/>
  <c r="E69" i="4"/>
  <c r="B69" i="4"/>
  <c r="D69" i="4" s="1"/>
  <c r="A69" i="4"/>
  <c r="Q69" i="4" s="1"/>
  <c r="L68" i="4"/>
  <c r="K68" i="4"/>
  <c r="J68" i="4"/>
  <c r="I68" i="4"/>
  <c r="E68" i="4"/>
  <c r="C68" i="4"/>
  <c r="B68" i="4"/>
  <c r="D68" i="4" s="1"/>
  <c r="A68" i="4"/>
  <c r="G68" i="4" s="1"/>
  <c r="X67" i="4"/>
  <c r="W67" i="4"/>
  <c r="T67" i="4"/>
  <c r="Y67" i="4" s="1"/>
  <c r="S67" i="4"/>
  <c r="R67" i="4"/>
  <c r="P67" i="4"/>
  <c r="O67" i="4"/>
  <c r="L67" i="4"/>
  <c r="K67" i="4"/>
  <c r="J67" i="4"/>
  <c r="I67" i="4"/>
  <c r="H67" i="4"/>
  <c r="G67" i="4"/>
  <c r="E67" i="4"/>
  <c r="B67" i="4"/>
  <c r="A67" i="4"/>
  <c r="Q67" i="4" s="1"/>
  <c r="Q66" i="4"/>
  <c r="L66" i="4"/>
  <c r="K66" i="4"/>
  <c r="J66" i="4"/>
  <c r="I66" i="4"/>
  <c r="E66" i="4"/>
  <c r="D66" i="4"/>
  <c r="C66" i="4"/>
  <c r="B66" i="4"/>
  <c r="A66" i="4"/>
  <c r="V65" i="4"/>
  <c r="T65" i="4"/>
  <c r="Y65" i="4" s="1"/>
  <c r="R65" i="4"/>
  <c r="N65" i="4"/>
  <c r="L65" i="4"/>
  <c r="K65" i="4"/>
  <c r="J65" i="4"/>
  <c r="I65" i="4"/>
  <c r="F65" i="4"/>
  <c r="E65" i="4"/>
  <c r="D65" i="4"/>
  <c r="B65" i="4"/>
  <c r="C65" i="4" s="1"/>
  <c r="A65" i="4"/>
  <c r="U65" i="4" s="1"/>
  <c r="W64" i="4"/>
  <c r="V64" i="4"/>
  <c r="U64" i="4"/>
  <c r="T64" i="4"/>
  <c r="Y64" i="4" s="1"/>
  <c r="S64" i="4"/>
  <c r="R64" i="4"/>
  <c r="O64" i="4"/>
  <c r="N64" i="4"/>
  <c r="M64" i="4"/>
  <c r="L64" i="4"/>
  <c r="K64" i="4"/>
  <c r="J64" i="4"/>
  <c r="I64" i="4"/>
  <c r="G64" i="4"/>
  <c r="F64" i="4"/>
  <c r="E64" i="4"/>
  <c r="C64" i="4"/>
  <c r="B64" i="4"/>
  <c r="D64" i="4" s="1"/>
  <c r="A64" i="4"/>
  <c r="Q64" i="4" s="1"/>
  <c r="X63" i="4"/>
  <c r="W63" i="4"/>
  <c r="V63" i="4"/>
  <c r="U63" i="4"/>
  <c r="T63" i="4"/>
  <c r="Y63" i="4" s="1"/>
  <c r="S63" i="4"/>
  <c r="P63" i="4"/>
  <c r="O63" i="4"/>
  <c r="N63" i="4"/>
  <c r="M63" i="4"/>
  <c r="L63" i="4"/>
  <c r="K63" i="4"/>
  <c r="J63" i="4"/>
  <c r="I63" i="4"/>
  <c r="H63" i="4"/>
  <c r="G63" i="4"/>
  <c r="F63" i="4"/>
  <c r="E63" i="4"/>
  <c r="D63" i="4"/>
  <c r="C63" i="4"/>
  <c r="B63" i="4"/>
  <c r="A63" i="4"/>
  <c r="R63" i="4" s="1"/>
  <c r="W62" i="4"/>
  <c r="U62" i="4"/>
  <c r="Q62" i="4"/>
  <c r="O62" i="4"/>
  <c r="M62" i="4"/>
  <c r="L62" i="4"/>
  <c r="K62" i="4"/>
  <c r="J62" i="4"/>
  <c r="I62" i="4"/>
  <c r="G62" i="4"/>
  <c r="E62" i="4"/>
  <c r="D62" i="4"/>
  <c r="B62" i="4"/>
  <c r="C62" i="4" s="1"/>
  <c r="A62" i="4"/>
  <c r="U61" i="4"/>
  <c r="P61" i="4"/>
  <c r="L61" i="4"/>
  <c r="K61" i="4"/>
  <c r="J61" i="4"/>
  <c r="I61" i="4"/>
  <c r="F61" i="4"/>
  <c r="E61" i="4"/>
  <c r="B61" i="4"/>
  <c r="A61" i="4"/>
  <c r="V61" i="4" s="1"/>
  <c r="R60" i="4"/>
  <c r="L60" i="4"/>
  <c r="K60" i="4"/>
  <c r="J60" i="4"/>
  <c r="I60" i="4"/>
  <c r="G60" i="4"/>
  <c r="E60" i="4"/>
  <c r="C60" i="4"/>
  <c r="B60" i="4"/>
  <c r="D60" i="4" s="1"/>
  <c r="A60" i="4"/>
  <c r="V60" i="4" s="1"/>
  <c r="X59" i="4"/>
  <c r="W59" i="4"/>
  <c r="T59" i="4"/>
  <c r="Y59" i="4" s="1"/>
  <c r="S59" i="4"/>
  <c r="R59" i="4"/>
  <c r="P59" i="4"/>
  <c r="O59" i="4"/>
  <c r="L59" i="4"/>
  <c r="K59" i="4"/>
  <c r="J59" i="4"/>
  <c r="I59" i="4"/>
  <c r="H59" i="4"/>
  <c r="G59" i="4"/>
  <c r="E59" i="4"/>
  <c r="C59" i="4"/>
  <c r="B59" i="4"/>
  <c r="D59" i="4" s="1"/>
  <c r="A59" i="4"/>
  <c r="Q59" i="4" s="1"/>
  <c r="U58" i="4"/>
  <c r="T58" i="4"/>
  <c r="Y58" i="4" s="1"/>
  <c r="Q58" i="4"/>
  <c r="P58" i="4"/>
  <c r="M58" i="4"/>
  <c r="L58" i="4"/>
  <c r="K58" i="4"/>
  <c r="J58" i="4"/>
  <c r="I58" i="4"/>
  <c r="E58" i="4"/>
  <c r="D58" i="4"/>
  <c r="C58" i="4"/>
  <c r="B58" i="4"/>
  <c r="A58" i="4"/>
  <c r="T57" i="4"/>
  <c r="Y57" i="4" s="1"/>
  <c r="N57" i="4"/>
  <c r="L57" i="4"/>
  <c r="K57" i="4"/>
  <c r="J57" i="4"/>
  <c r="I57" i="4"/>
  <c r="E57" i="4"/>
  <c r="D57" i="4"/>
  <c r="B57" i="4"/>
  <c r="C57" i="4" s="1"/>
  <c r="A57" i="4"/>
  <c r="U57" i="4" s="1"/>
  <c r="W56" i="4"/>
  <c r="V56" i="4"/>
  <c r="U56" i="4"/>
  <c r="T56" i="4"/>
  <c r="Y56" i="4" s="1"/>
  <c r="S56" i="4"/>
  <c r="R56" i="4"/>
  <c r="O56" i="4"/>
  <c r="N56" i="4"/>
  <c r="M56" i="4"/>
  <c r="L56" i="4"/>
  <c r="K56" i="4"/>
  <c r="J56" i="4"/>
  <c r="I56" i="4"/>
  <c r="G56" i="4"/>
  <c r="F56" i="4"/>
  <c r="E56" i="4"/>
  <c r="C56" i="4"/>
  <c r="B56" i="4"/>
  <c r="D56" i="4" s="1"/>
  <c r="A56" i="4"/>
  <c r="Q56" i="4" s="1"/>
  <c r="X55" i="4"/>
  <c r="W55" i="4"/>
  <c r="V55" i="4"/>
  <c r="U55" i="4"/>
  <c r="T55" i="4"/>
  <c r="Y55" i="4" s="1"/>
  <c r="S55" i="4"/>
  <c r="P55" i="4"/>
  <c r="O55" i="4"/>
  <c r="N55" i="4"/>
  <c r="M55" i="4"/>
  <c r="L55" i="4"/>
  <c r="K55" i="4"/>
  <c r="J55" i="4"/>
  <c r="I55" i="4"/>
  <c r="H55" i="4"/>
  <c r="G55" i="4"/>
  <c r="F55" i="4"/>
  <c r="E55" i="4"/>
  <c r="D55" i="4"/>
  <c r="C55" i="4"/>
  <c r="B55" i="4"/>
  <c r="A55" i="4"/>
  <c r="R55" i="4" s="1"/>
  <c r="X54" i="4"/>
  <c r="W54" i="4"/>
  <c r="P54" i="4"/>
  <c r="N54" i="4"/>
  <c r="M54" i="4"/>
  <c r="L54" i="4"/>
  <c r="K54" i="4"/>
  <c r="J54" i="4"/>
  <c r="I54" i="4"/>
  <c r="H54" i="4"/>
  <c r="F54" i="4"/>
  <c r="E54" i="4"/>
  <c r="D54" i="4"/>
  <c r="B54" i="4"/>
  <c r="C54" i="4" s="1"/>
  <c r="A54" i="4"/>
  <c r="Q54" i="4" s="1"/>
  <c r="L53" i="4"/>
  <c r="K53" i="4"/>
  <c r="J53" i="4"/>
  <c r="I53" i="4"/>
  <c r="E53" i="4"/>
  <c r="B53" i="4"/>
  <c r="A53" i="4"/>
  <c r="R53" i="4" s="1"/>
  <c r="P52" i="4"/>
  <c r="L52" i="4"/>
  <c r="K52" i="4"/>
  <c r="J52" i="4"/>
  <c r="I52" i="4"/>
  <c r="G52" i="4"/>
  <c r="E52" i="4"/>
  <c r="C52" i="4"/>
  <c r="B52" i="4"/>
  <c r="D52" i="4" s="1"/>
  <c r="A52" i="4"/>
  <c r="R52" i="4" s="1"/>
  <c r="X51" i="4"/>
  <c r="W51" i="4"/>
  <c r="S51" i="4"/>
  <c r="R51" i="4"/>
  <c r="Q51" i="4"/>
  <c r="P51" i="4"/>
  <c r="O51" i="4"/>
  <c r="L51" i="4"/>
  <c r="K51" i="4"/>
  <c r="J51" i="4"/>
  <c r="I51" i="4"/>
  <c r="H51" i="4"/>
  <c r="G51" i="4"/>
  <c r="E51" i="4"/>
  <c r="B51" i="4"/>
  <c r="D51" i="4" s="1"/>
  <c r="A51" i="4"/>
  <c r="X50" i="4"/>
  <c r="T50" i="4"/>
  <c r="Y50" i="4" s="1"/>
  <c r="S50" i="4"/>
  <c r="R50" i="4"/>
  <c r="Q50" i="4"/>
  <c r="M50" i="4"/>
  <c r="L50" i="4"/>
  <c r="K50" i="4"/>
  <c r="J50" i="4"/>
  <c r="I50" i="4"/>
  <c r="H50" i="4"/>
  <c r="E50" i="4"/>
  <c r="B50" i="4"/>
  <c r="D50" i="4" s="1"/>
  <c r="A50" i="4"/>
  <c r="P50" i="4" s="1"/>
  <c r="T49" i="4"/>
  <c r="Y49" i="4" s="1"/>
  <c r="M49" i="4"/>
  <c r="L49" i="4"/>
  <c r="K49" i="4"/>
  <c r="J49" i="4"/>
  <c r="I49" i="4"/>
  <c r="E49" i="4"/>
  <c r="C49" i="4"/>
  <c r="B49" i="4"/>
  <c r="D49" i="4" s="1"/>
  <c r="A49" i="4"/>
  <c r="S49" i="4" s="1"/>
  <c r="W48" i="4"/>
  <c r="V48" i="4"/>
  <c r="U48" i="4"/>
  <c r="T48" i="4"/>
  <c r="Y48" i="4" s="1"/>
  <c r="S48" i="4"/>
  <c r="R48" i="4"/>
  <c r="O48" i="4"/>
  <c r="N48" i="4"/>
  <c r="M48" i="4"/>
  <c r="L48" i="4"/>
  <c r="K48" i="4"/>
  <c r="J48" i="4"/>
  <c r="I48" i="4"/>
  <c r="G48" i="4"/>
  <c r="F48" i="4"/>
  <c r="E48" i="4"/>
  <c r="D48" i="4"/>
  <c r="B48" i="4"/>
  <c r="C48" i="4" s="1"/>
  <c r="A48" i="4"/>
  <c r="Q48" i="4" s="1"/>
  <c r="X47" i="4"/>
  <c r="W47" i="4"/>
  <c r="V47" i="4"/>
  <c r="U47" i="4"/>
  <c r="T47" i="4"/>
  <c r="Y47" i="4" s="1"/>
  <c r="S47" i="4"/>
  <c r="P47" i="4"/>
  <c r="O47" i="4"/>
  <c r="N47" i="4"/>
  <c r="M47" i="4"/>
  <c r="L47" i="4"/>
  <c r="K47" i="4"/>
  <c r="J47" i="4"/>
  <c r="I47" i="4"/>
  <c r="H47" i="4"/>
  <c r="G47" i="4"/>
  <c r="F47" i="4"/>
  <c r="E47" i="4"/>
  <c r="D47" i="4"/>
  <c r="C47" i="4"/>
  <c r="B47" i="4"/>
  <c r="A47" i="4"/>
  <c r="R47" i="4" s="1"/>
  <c r="V46" i="4"/>
  <c r="Q46" i="4"/>
  <c r="L46" i="4"/>
  <c r="K46" i="4"/>
  <c r="J46" i="4"/>
  <c r="I46" i="4"/>
  <c r="E46" i="4"/>
  <c r="D46" i="4"/>
  <c r="B46" i="4"/>
  <c r="C46" i="4" s="1"/>
  <c r="A46" i="4"/>
  <c r="P46" i="4" s="1"/>
  <c r="W45" i="4"/>
  <c r="V45" i="4"/>
  <c r="R45" i="4"/>
  <c r="Q45" i="4"/>
  <c r="P45" i="4"/>
  <c r="O45" i="4"/>
  <c r="M45" i="4"/>
  <c r="L45" i="4"/>
  <c r="K45" i="4"/>
  <c r="J45" i="4"/>
  <c r="I45" i="4"/>
  <c r="H45" i="4"/>
  <c r="G45" i="4"/>
  <c r="E45" i="4"/>
  <c r="B45" i="4"/>
  <c r="A45" i="4"/>
  <c r="X45" i="4" s="1"/>
  <c r="X44" i="4"/>
  <c r="W44" i="4"/>
  <c r="V44" i="4"/>
  <c r="R44" i="4"/>
  <c r="Q44" i="4"/>
  <c r="P44" i="4"/>
  <c r="O44" i="4"/>
  <c r="N44" i="4"/>
  <c r="L44" i="4"/>
  <c r="K44" i="4"/>
  <c r="J44" i="4"/>
  <c r="I44" i="4"/>
  <c r="H44" i="4"/>
  <c r="G44" i="4"/>
  <c r="F44" i="4"/>
  <c r="E44" i="4"/>
  <c r="B44" i="4"/>
  <c r="D44" i="4" s="1"/>
  <c r="A44" i="4"/>
  <c r="Q43" i="4"/>
  <c r="L43" i="4"/>
  <c r="K43" i="4"/>
  <c r="J43" i="4"/>
  <c r="I43" i="4"/>
  <c r="G43" i="4"/>
  <c r="E43" i="4"/>
  <c r="D43" i="4"/>
  <c r="C43" i="4"/>
  <c r="B43" i="4"/>
  <c r="A43" i="4"/>
  <c r="S43" i="4" s="1"/>
  <c r="L42" i="4"/>
  <c r="K42" i="4"/>
  <c r="J42" i="4"/>
  <c r="I42" i="4"/>
  <c r="E42" i="4"/>
  <c r="D42" i="4"/>
  <c r="B42" i="4"/>
  <c r="C42" i="4" s="1"/>
  <c r="A42" i="4"/>
  <c r="T42" i="4" s="1"/>
  <c r="Y42" i="4" s="1"/>
  <c r="S41" i="4"/>
  <c r="N41" i="4"/>
  <c r="L41" i="4"/>
  <c r="K41" i="4"/>
  <c r="J41" i="4"/>
  <c r="I41" i="4"/>
  <c r="E41" i="4"/>
  <c r="D41" i="4"/>
  <c r="B41" i="4"/>
  <c r="C41" i="4" s="1"/>
  <c r="A41" i="4"/>
  <c r="T41" i="4" s="1"/>
  <c r="Y41" i="4" s="1"/>
  <c r="W40" i="4"/>
  <c r="V40" i="4"/>
  <c r="U40" i="4"/>
  <c r="T40" i="4"/>
  <c r="Y40" i="4" s="1"/>
  <c r="S40" i="4"/>
  <c r="R40" i="4"/>
  <c r="O40" i="4"/>
  <c r="N40" i="4"/>
  <c r="M40" i="4"/>
  <c r="L40" i="4"/>
  <c r="K40" i="4"/>
  <c r="J40" i="4"/>
  <c r="I40" i="4"/>
  <c r="G40" i="4"/>
  <c r="F40" i="4"/>
  <c r="E40" i="4"/>
  <c r="C40" i="4"/>
  <c r="B40" i="4"/>
  <c r="D40" i="4" s="1"/>
  <c r="A40" i="4"/>
  <c r="Q40" i="4" s="1"/>
  <c r="X39" i="4"/>
  <c r="W39" i="4"/>
  <c r="V39" i="4"/>
  <c r="U39" i="4"/>
  <c r="T39" i="4"/>
  <c r="Y39" i="4" s="1"/>
  <c r="S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C39" i="4"/>
  <c r="B39" i="4"/>
  <c r="A39" i="4"/>
  <c r="R39" i="4" s="1"/>
  <c r="X38" i="4"/>
  <c r="W38" i="4"/>
  <c r="P38" i="4"/>
  <c r="N38" i="4"/>
  <c r="M38" i="4"/>
  <c r="L38" i="4"/>
  <c r="K38" i="4"/>
  <c r="J38" i="4"/>
  <c r="I38" i="4"/>
  <c r="H38" i="4"/>
  <c r="F38" i="4"/>
  <c r="E38" i="4"/>
  <c r="D38" i="4"/>
  <c r="B38" i="4"/>
  <c r="C38" i="4" s="1"/>
  <c r="A38" i="4"/>
  <c r="Q38" i="4" s="1"/>
  <c r="L37" i="4"/>
  <c r="K37" i="4"/>
  <c r="J37" i="4"/>
  <c r="I37" i="4"/>
  <c r="E37" i="4"/>
  <c r="B37" i="4"/>
  <c r="A37" i="4"/>
  <c r="R37" i="4" s="1"/>
  <c r="P36" i="4"/>
  <c r="L36" i="4"/>
  <c r="K36" i="4"/>
  <c r="J36" i="4"/>
  <c r="I36" i="4"/>
  <c r="G36" i="4"/>
  <c r="E36" i="4"/>
  <c r="C36" i="4"/>
  <c r="B36" i="4"/>
  <c r="D36" i="4" s="1"/>
  <c r="A36" i="4"/>
  <c r="R36" i="4" s="1"/>
  <c r="X35" i="4"/>
  <c r="W35" i="4"/>
  <c r="S35" i="4"/>
  <c r="R35" i="4"/>
  <c r="Q35" i="4"/>
  <c r="P35" i="4"/>
  <c r="O35" i="4"/>
  <c r="L35" i="4"/>
  <c r="K35" i="4"/>
  <c r="J35" i="4"/>
  <c r="I35" i="4"/>
  <c r="H35" i="4"/>
  <c r="G35" i="4"/>
  <c r="E35" i="4"/>
  <c r="B35" i="4"/>
  <c r="D35" i="4" s="1"/>
  <c r="A35" i="4"/>
  <c r="X34" i="4"/>
  <c r="T34" i="4"/>
  <c r="Y34" i="4" s="1"/>
  <c r="S34" i="4"/>
  <c r="R34" i="4"/>
  <c r="Q34" i="4"/>
  <c r="M34" i="4"/>
  <c r="L34" i="4"/>
  <c r="K34" i="4"/>
  <c r="J34" i="4"/>
  <c r="I34" i="4"/>
  <c r="H34" i="4"/>
  <c r="E34" i="4"/>
  <c r="B34" i="4"/>
  <c r="D34" i="4" s="1"/>
  <c r="A34" i="4"/>
  <c r="P34" i="4" s="1"/>
  <c r="T33" i="4"/>
  <c r="Y33" i="4" s="1"/>
  <c r="M33" i="4"/>
  <c r="L33" i="4"/>
  <c r="K33" i="4"/>
  <c r="J33" i="4"/>
  <c r="I33" i="4"/>
  <c r="E33" i="4"/>
  <c r="C33" i="4"/>
  <c r="B33" i="4"/>
  <c r="D33" i="4" s="1"/>
  <c r="A33" i="4"/>
  <c r="S33" i="4" s="1"/>
  <c r="W32" i="4"/>
  <c r="V32" i="4"/>
  <c r="U32" i="4"/>
  <c r="T32" i="4"/>
  <c r="Y32" i="4" s="1"/>
  <c r="S32" i="4"/>
  <c r="R32" i="4"/>
  <c r="O32" i="4"/>
  <c r="N32" i="4"/>
  <c r="M32" i="4"/>
  <c r="L32" i="4"/>
  <c r="K32" i="4"/>
  <c r="J32" i="4"/>
  <c r="I32" i="4"/>
  <c r="G32" i="4"/>
  <c r="F32" i="4"/>
  <c r="E32" i="4"/>
  <c r="D32" i="4"/>
  <c r="B32" i="4"/>
  <c r="C32" i="4" s="1"/>
  <c r="A32" i="4"/>
  <c r="Q32" i="4" s="1"/>
  <c r="W31" i="4"/>
  <c r="T31" i="4"/>
  <c r="Y31" i="4" s="1"/>
  <c r="O31" i="4"/>
  <c r="M31" i="4"/>
  <c r="L31" i="4"/>
  <c r="K31" i="4"/>
  <c r="J31" i="4"/>
  <c r="I31" i="4"/>
  <c r="G31" i="4"/>
  <c r="E31" i="4"/>
  <c r="D31" i="4"/>
  <c r="B31" i="4"/>
  <c r="C31" i="4" s="1"/>
  <c r="A31" i="4"/>
  <c r="Q31" i="4" s="1"/>
  <c r="X30" i="4"/>
  <c r="W30" i="4"/>
  <c r="V30" i="4"/>
  <c r="U30" i="4"/>
  <c r="S30" i="4"/>
  <c r="R30" i="4"/>
  <c r="P30" i="4"/>
  <c r="O30" i="4"/>
  <c r="N30" i="4"/>
  <c r="M30" i="4"/>
  <c r="L30" i="4"/>
  <c r="K30" i="4"/>
  <c r="J30" i="4"/>
  <c r="I30" i="4"/>
  <c r="H30" i="4"/>
  <c r="G30" i="4"/>
  <c r="F30" i="4"/>
  <c r="E30" i="4"/>
  <c r="B30" i="4"/>
  <c r="D30" i="4" s="1"/>
  <c r="A30" i="4"/>
  <c r="Q30" i="4" s="1"/>
  <c r="V29" i="4"/>
  <c r="N29" i="4"/>
  <c r="L29" i="4"/>
  <c r="K29" i="4"/>
  <c r="J29" i="4"/>
  <c r="I29" i="4"/>
  <c r="F29" i="4"/>
  <c r="E29" i="4"/>
  <c r="D29" i="4"/>
  <c r="C29" i="4"/>
  <c r="B29" i="4"/>
  <c r="A29" i="4"/>
  <c r="S29" i="4" s="1"/>
  <c r="X28" i="4"/>
  <c r="W28" i="4"/>
  <c r="U28" i="4"/>
  <c r="T28" i="4"/>
  <c r="Y28" i="4" s="1"/>
  <c r="R28" i="4"/>
  <c r="P28" i="4"/>
  <c r="O28" i="4"/>
  <c r="M28" i="4"/>
  <c r="L28" i="4"/>
  <c r="K28" i="4"/>
  <c r="J28" i="4"/>
  <c r="I28" i="4"/>
  <c r="H28" i="4"/>
  <c r="G28" i="4"/>
  <c r="E28" i="4"/>
  <c r="B28" i="4"/>
  <c r="D28" i="4" s="1"/>
  <c r="A28" i="4"/>
  <c r="S28" i="4" s="1"/>
  <c r="X27" i="4"/>
  <c r="S27" i="4"/>
  <c r="P27" i="4"/>
  <c r="L27" i="4"/>
  <c r="K27" i="4"/>
  <c r="J27" i="4"/>
  <c r="I27" i="4"/>
  <c r="H27" i="4"/>
  <c r="E27" i="4"/>
  <c r="C27" i="4"/>
  <c r="B27" i="4"/>
  <c r="D27" i="4" s="1"/>
  <c r="A27" i="4"/>
  <c r="U27" i="4" s="1"/>
  <c r="L26" i="4"/>
  <c r="K26" i="4"/>
  <c r="J26" i="4"/>
  <c r="I26" i="4"/>
  <c r="E26" i="4"/>
  <c r="D26" i="4"/>
  <c r="B26" i="4"/>
  <c r="C26" i="4" s="1"/>
  <c r="A26" i="4"/>
  <c r="V26" i="4" s="1"/>
  <c r="L25" i="4"/>
  <c r="K25" i="4"/>
  <c r="J25" i="4"/>
  <c r="I25" i="4"/>
  <c r="E25" i="4"/>
  <c r="U25" i="4" s="1"/>
  <c r="B25" i="4"/>
  <c r="D25" i="4" s="1"/>
  <c r="A25" i="4"/>
  <c r="V25" i="4" s="1"/>
  <c r="V24" i="4"/>
  <c r="L24" i="4"/>
  <c r="K24" i="4"/>
  <c r="J24" i="4"/>
  <c r="I24" i="4"/>
  <c r="E24" i="4"/>
  <c r="B24" i="4"/>
  <c r="D24" i="4" s="1"/>
  <c r="A24" i="4"/>
  <c r="X24" i="4" s="1"/>
  <c r="L23" i="4"/>
  <c r="K23" i="4"/>
  <c r="J23" i="4"/>
  <c r="I23" i="4"/>
  <c r="E23" i="4"/>
  <c r="B23" i="4"/>
  <c r="C23" i="4" s="1"/>
  <c r="A23" i="4"/>
  <c r="Q23" i="4" s="1"/>
  <c r="L22" i="4"/>
  <c r="K22" i="4"/>
  <c r="J22" i="4"/>
  <c r="I22" i="4"/>
  <c r="E22" i="4"/>
  <c r="B22" i="4"/>
  <c r="D22" i="4" s="1"/>
  <c r="A22" i="4"/>
  <c r="V21" i="4"/>
  <c r="E21" i="4"/>
  <c r="C21" i="4"/>
  <c r="B21" i="4"/>
  <c r="D21" i="4" s="1"/>
  <c r="A21" i="4"/>
  <c r="S21" i="4" s="1"/>
  <c r="R20" i="4"/>
  <c r="I20" i="4"/>
  <c r="E20" i="4"/>
  <c r="B20" i="4"/>
  <c r="D20" i="4" s="1"/>
  <c r="A20" i="4"/>
  <c r="S20" i="4" s="1"/>
  <c r="I19" i="4"/>
  <c r="E19" i="4"/>
  <c r="B19" i="4"/>
  <c r="D19" i="4" s="1"/>
  <c r="A19" i="4"/>
  <c r="L18" i="4"/>
  <c r="K18" i="4"/>
  <c r="J18" i="4"/>
  <c r="I18" i="4"/>
  <c r="E18" i="4"/>
  <c r="B18" i="4"/>
  <c r="C18" i="4" s="1"/>
  <c r="A18" i="4"/>
  <c r="V18" i="4" s="1"/>
  <c r="L17" i="4"/>
  <c r="S17" i="4" s="1"/>
  <c r="K17" i="4"/>
  <c r="J17" i="4"/>
  <c r="I17" i="4"/>
  <c r="E17" i="4"/>
  <c r="B17" i="4"/>
  <c r="D17" i="4" s="1"/>
  <c r="A17" i="4"/>
  <c r="V17" i="4" s="1"/>
  <c r="L16" i="4"/>
  <c r="K16" i="4"/>
  <c r="J16" i="4"/>
  <c r="I16" i="4"/>
  <c r="E16" i="4"/>
  <c r="C16" i="4"/>
  <c r="B16" i="4"/>
  <c r="D16" i="4" s="1"/>
  <c r="A16" i="4"/>
  <c r="L15" i="4"/>
  <c r="K15" i="4"/>
  <c r="J15" i="4"/>
  <c r="I15" i="4"/>
  <c r="E15" i="4"/>
  <c r="D15" i="4"/>
  <c r="B15" i="4"/>
  <c r="C15" i="4" s="1"/>
  <c r="A15" i="4"/>
  <c r="Q15" i="4" s="1"/>
  <c r="V14" i="4"/>
  <c r="L14" i="4"/>
  <c r="K14" i="4"/>
  <c r="S14" i="4" s="1"/>
  <c r="J14" i="4"/>
  <c r="R14" i="4" s="1"/>
  <c r="I14" i="4"/>
  <c r="E14" i="4"/>
  <c r="U14" i="4" s="1"/>
  <c r="B14" i="4"/>
  <c r="A14" i="4"/>
  <c r="Q14" i="4" s="1"/>
  <c r="L13" i="4"/>
  <c r="K13" i="4"/>
  <c r="J13" i="4"/>
  <c r="I13" i="4"/>
  <c r="E13" i="4"/>
  <c r="D13" i="4"/>
  <c r="C13" i="4"/>
  <c r="B13" i="4"/>
  <c r="A13" i="4"/>
  <c r="S13" i="4" s="1"/>
  <c r="L12" i="4"/>
  <c r="K12" i="4"/>
  <c r="J12" i="4"/>
  <c r="R12" i="4" s="1"/>
  <c r="I12" i="4"/>
  <c r="E12" i="4"/>
  <c r="U12" i="4" s="1"/>
  <c r="B12" i="4"/>
  <c r="D12" i="4" s="1"/>
  <c r="A12" i="4"/>
  <c r="S12" i="4" s="1"/>
  <c r="L11" i="4"/>
  <c r="K11" i="4"/>
  <c r="S11" i="4" s="1"/>
  <c r="J11" i="4"/>
  <c r="I11" i="4"/>
  <c r="E11" i="4"/>
  <c r="C11" i="4"/>
  <c r="B11" i="4"/>
  <c r="D11" i="4" s="1"/>
  <c r="A11" i="4"/>
  <c r="U11" i="4" s="1"/>
  <c r="L10" i="4"/>
  <c r="K10" i="4"/>
  <c r="J10" i="4"/>
  <c r="R10" i="4" s="1"/>
  <c r="I10" i="4"/>
  <c r="E10" i="4"/>
  <c r="D10" i="4"/>
  <c r="B10" i="4"/>
  <c r="C10" i="4" s="1"/>
  <c r="A10" i="4"/>
  <c r="V10" i="4" s="1"/>
  <c r="L9" i="4"/>
  <c r="K9" i="4"/>
  <c r="S9" i="4" s="1"/>
  <c r="J9" i="4"/>
  <c r="I9" i="4"/>
  <c r="E9" i="4"/>
  <c r="U9" i="4" s="1"/>
  <c r="C9" i="4"/>
  <c r="B9" i="4"/>
  <c r="A9" i="4"/>
  <c r="V9" i="4" s="1"/>
  <c r="V8" i="4"/>
  <c r="L8" i="4"/>
  <c r="S8" i="4" s="1"/>
  <c r="K8" i="4"/>
  <c r="J8" i="4"/>
  <c r="I8" i="4"/>
  <c r="E8" i="4"/>
  <c r="D8" i="4"/>
  <c r="C8" i="4"/>
  <c r="B8" i="4"/>
  <c r="A8" i="4"/>
  <c r="L7" i="4"/>
  <c r="K7" i="4"/>
  <c r="J7" i="4"/>
  <c r="I7" i="4"/>
  <c r="E7" i="4"/>
  <c r="U7" i="4" s="1"/>
  <c r="D7" i="4"/>
  <c r="B7" i="4"/>
  <c r="C7" i="4" s="1"/>
  <c r="A7" i="4"/>
  <c r="Q7" i="4" s="1"/>
  <c r="V6" i="4"/>
  <c r="L6" i="4"/>
  <c r="K6" i="4"/>
  <c r="S6" i="4" s="1"/>
  <c r="J6" i="4"/>
  <c r="R6" i="4" s="1"/>
  <c r="I6" i="4"/>
  <c r="E6" i="4"/>
  <c r="U6" i="4" s="1"/>
  <c r="B6" i="4"/>
  <c r="A6" i="4"/>
  <c r="Q6" i="4" s="1"/>
  <c r="L5" i="4"/>
  <c r="K5" i="4"/>
  <c r="J5" i="4"/>
  <c r="I5" i="4"/>
  <c r="E5" i="4"/>
  <c r="D5" i="4"/>
  <c r="C5" i="4"/>
  <c r="B5" i="4"/>
  <c r="A5" i="4"/>
  <c r="W154" i="3"/>
  <c r="E154" i="3"/>
  <c r="D154" i="3"/>
  <c r="A154" i="3"/>
  <c r="X154" i="3" s="1"/>
  <c r="E153" i="3"/>
  <c r="D153" i="3"/>
  <c r="A153" i="3"/>
  <c r="X152" i="3"/>
  <c r="E152" i="3"/>
  <c r="D152" i="3"/>
  <c r="A152" i="3"/>
  <c r="V152" i="3" s="1"/>
  <c r="X151" i="3"/>
  <c r="W151" i="3"/>
  <c r="V151" i="3"/>
  <c r="E151" i="3"/>
  <c r="D151" i="3"/>
  <c r="A151" i="3"/>
  <c r="V150" i="3"/>
  <c r="E150" i="3"/>
  <c r="D150" i="3"/>
  <c r="A150" i="3"/>
  <c r="X150" i="3" s="1"/>
  <c r="E149" i="3"/>
  <c r="D149" i="3"/>
  <c r="A149" i="3"/>
  <c r="W148" i="3"/>
  <c r="E148" i="3"/>
  <c r="D148" i="3"/>
  <c r="A148" i="3"/>
  <c r="V148" i="3" s="1"/>
  <c r="X147" i="3"/>
  <c r="W147" i="3"/>
  <c r="V147" i="3"/>
  <c r="E147" i="3"/>
  <c r="D147" i="3"/>
  <c r="A147" i="3"/>
  <c r="E146" i="3"/>
  <c r="D146" i="3"/>
  <c r="A146" i="3"/>
  <c r="X146" i="3" s="1"/>
  <c r="E145" i="3"/>
  <c r="D145" i="3"/>
  <c r="A145" i="3"/>
  <c r="E144" i="3"/>
  <c r="D144" i="3"/>
  <c r="A144" i="3"/>
  <c r="V144" i="3" s="1"/>
  <c r="X143" i="3"/>
  <c r="W143" i="3"/>
  <c r="V143" i="3"/>
  <c r="E143" i="3"/>
  <c r="D143" i="3"/>
  <c r="A143" i="3"/>
  <c r="V142" i="3"/>
  <c r="E142" i="3"/>
  <c r="D142" i="3"/>
  <c r="A142" i="3"/>
  <c r="X142" i="3" s="1"/>
  <c r="E141" i="3"/>
  <c r="D141" i="3"/>
  <c r="A141" i="3"/>
  <c r="W140" i="3"/>
  <c r="E140" i="3"/>
  <c r="D140" i="3"/>
  <c r="A140" i="3"/>
  <c r="V140" i="3" s="1"/>
  <c r="X139" i="3"/>
  <c r="W139" i="3"/>
  <c r="V139" i="3"/>
  <c r="E139" i="3"/>
  <c r="D139" i="3"/>
  <c r="A139" i="3"/>
  <c r="E138" i="3"/>
  <c r="D138" i="3"/>
  <c r="A138" i="3"/>
  <c r="X138" i="3" s="1"/>
  <c r="E137" i="3"/>
  <c r="D137" i="3"/>
  <c r="A137" i="3"/>
  <c r="E136" i="3"/>
  <c r="D136" i="3"/>
  <c r="A136" i="3"/>
  <c r="V136" i="3" s="1"/>
  <c r="X135" i="3"/>
  <c r="W135" i="3"/>
  <c r="V135" i="3"/>
  <c r="E135" i="3"/>
  <c r="D135" i="3"/>
  <c r="A135" i="3"/>
  <c r="W134" i="3"/>
  <c r="V134" i="3"/>
  <c r="E134" i="3"/>
  <c r="D134" i="3"/>
  <c r="A134" i="3"/>
  <c r="X134" i="3" s="1"/>
  <c r="E133" i="3"/>
  <c r="D133" i="3"/>
  <c r="A133" i="3"/>
  <c r="X132" i="3"/>
  <c r="W132" i="3"/>
  <c r="E132" i="3"/>
  <c r="D132" i="3"/>
  <c r="A132" i="3"/>
  <c r="V132" i="3" s="1"/>
  <c r="X131" i="3"/>
  <c r="W131" i="3"/>
  <c r="V131" i="3"/>
  <c r="E131" i="3"/>
  <c r="D131" i="3"/>
  <c r="A131" i="3"/>
  <c r="W130" i="3"/>
  <c r="E130" i="3"/>
  <c r="D130" i="3"/>
  <c r="A130" i="3"/>
  <c r="X130" i="3" s="1"/>
  <c r="E129" i="3"/>
  <c r="D129" i="3"/>
  <c r="A129" i="3"/>
  <c r="X128" i="3"/>
  <c r="E128" i="3"/>
  <c r="D128" i="3"/>
  <c r="A128" i="3"/>
  <c r="V128" i="3" s="1"/>
  <c r="X127" i="3"/>
  <c r="W127" i="3"/>
  <c r="V127" i="3"/>
  <c r="E127" i="3"/>
  <c r="D127" i="3"/>
  <c r="A127" i="3"/>
  <c r="W126" i="3"/>
  <c r="E126" i="3"/>
  <c r="D126" i="3"/>
  <c r="A126" i="3"/>
  <c r="X126" i="3" s="1"/>
  <c r="E125" i="3"/>
  <c r="D125" i="3"/>
  <c r="A125" i="3"/>
  <c r="X124" i="3"/>
  <c r="E124" i="3"/>
  <c r="D124" i="3"/>
  <c r="A124" i="3"/>
  <c r="V124" i="3" s="1"/>
  <c r="X123" i="3"/>
  <c r="W123" i="3"/>
  <c r="V123" i="3"/>
  <c r="E123" i="3"/>
  <c r="D123" i="3"/>
  <c r="A123" i="3"/>
  <c r="W122" i="3"/>
  <c r="E122" i="3"/>
  <c r="D122" i="3"/>
  <c r="A122" i="3"/>
  <c r="X122" i="3" s="1"/>
  <c r="E121" i="3"/>
  <c r="D121" i="3"/>
  <c r="A121" i="3"/>
  <c r="X120" i="3"/>
  <c r="E120" i="3"/>
  <c r="D120" i="3"/>
  <c r="A120" i="3"/>
  <c r="V120" i="3" s="1"/>
  <c r="X119" i="3"/>
  <c r="W119" i="3"/>
  <c r="V119" i="3"/>
  <c r="E119" i="3"/>
  <c r="D119" i="3"/>
  <c r="A119" i="3"/>
  <c r="V118" i="3"/>
  <c r="E118" i="3"/>
  <c r="D118" i="3"/>
  <c r="A118" i="3"/>
  <c r="X118" i="3" s="1"/>
  <c r="E117" i="3"/>
  <c r="D117" i="3"/>
  <c r="A117" i="3"/>
  <c r="W116" i="3"/>
  <c r="E116" i="3"/>
  <c r="D116" i="3"/>
  <c r="A116" i="3"/>
  <c r="V116" i="3" s="1"/>
  <c r="X115" i="3"/>
  <c r="W115" i="3"/>
  <c r="V115" i="3"/>
  <c r="E115" i="3"/>
  <c r="D115" i="3"/>
  <c r="A115" i="3"/>
  <c r="E114" i="3"/>
  <c r="D114" i="3"/>
  <c r="A114" i="3"/>
  <c r="X114" i="3" s="1"/>
  <c r="E113" i="3"/>
  <c r="D113" i="3"/>
  <c r="A113" i="3"/>
  <c r="E112" i="3"/>
  <c r="D112" i="3"/>
  <c r="A112" i="3"/>
  <c r="V112" i="3" s="1"/>
  <c r="E111" i="3"/>
  <c r="D111" i="3"/>
  <c r="A111" i="3"/>
  <c r="X111" i="3" s="1"/>
  <c r="V110" i="3"/>
  <c r="E110" i="3"/>
  <c r="D110" i="3"/>
  <c r="A110" i="3"/>
  <c r="X110" i="3" s="1"/>
  <c r="E109" i="3"/>
  <c r="D109" i="3"/>
  <c r="A109" i="3"/>
  <c r="X108" i="3"/>
  <c r="E108" i="3"/>
  <c r="D108" i="3"/>
  <c r="A108" i="3"/>
  <c r="V108" i="3" s="1"/>
  <c r="W107" i="3"/>
  <c r="E107" i="3"/>
  <c r="D107" i="3"/>
  <c r="A107" i="3"/>
  <c r="X107" i="3" s="1"/>
  <c r="W106" i="3"/>
  <c r="E106" i="3"/>
  <c r="D106" i="3"/>
  <c r="A106" i="3"/>
  <c r="X106" i="3" s="1"/>
  <c r="W105" i="3"/>
  <c r="E105" i="3"/>
  <c r="D105" i="3"/>
  <c r="A105" i="3"/>
  <c r="E104" i="3"/>
  <c r="D104" i="3"/>
  <c r="A104" i="3"/>
  <c r="V104" i="3" s="1"/>
  <c r="E103" i="3"/>
  <c r="D103" i="3"/>
  <c r="A103" i="3"/>
  <c r="X103" i="3" s="1"/>
  <c r="V102" i="3"/>
  <c r="E102" i="3"/>
  <c r="D102" i="3"/>
  <c r="A102" i="3"/>
  <c r="X102" i="3" s="1"/>
  <c r="E101" i="3"/>
  <c r="D101" i="3"/>
  <c r="A101" i="3"/>
  <c r="X100" i="3"/>
  <c r="E100" i="3"/>
  <c r="D100" i="3"/>
  <c r="A100" i="3"/>
  <c r="V100" i="3" s="1"/>
  <c r="W99" i="3"/>
  <c r="E99" i="3"/>
  <c r="D99" i="3"/>
  <c r="A99" i="3"/>
  <c r="X99" i="3" s="1"/>
  <c r="W98" i="3"/>
  <c r="E98" i="3"/>
  <c r="D98" i="3"/>
  <c r="A98" i="3"/>
  <c r="X98" i="3" s="1"/>
  <c r="W97" i="3"/>
  <c r="E97" i="3"/>
  <c r="D97" i="3"/>
  <c r="A97" i="3"/>
  <c r="E96" i="3"/>
  <c r="D96" i="3"/>
  <c r="A96" i="3"/>
  <c r="V96" i="3" s="1"/>
  <c r="E95" i="3"/>
  <c r="D95" i="3"/>
  <c r="A95" i="3"/>
  <c r="X95" i="3" s="1"/>
  <c r="V94" i="3"/>
  <c r="E94" i="3"/>
  <c r="D94" i="3"/>
  <c r="A94" i="3"/>
  <c r="X94" i="3" s="1"/>
  <c r="E93" i="3"/>
  <c r="D93" i="3"/>
  <c r="A93" i="3"/>
  <c r="X92" i="3"/>
  <c r="E92" i="3"/>
  <c r="D92" i="3"/>
  <c r="A92" i="3"/>
  <c r="V92" i="3" s="1"/>
  <c r="W91" i="3"/>
  <c r="E91" i="3"/>
  <c r="D91" i="3"/>
  <c r="A91" i="3"/>
  <c r="X91" i="3" s="1"/>
  <c r="W90" i="3"/>
  <c r="E90" i="3"/>
  <c r="D90" i="3"/>
  <c r="A90" i="3"/>
  <c r="X90" i="3" s="1"/>
  <c r="W89" i="3"/>
  <c r="E89" i="3"/>
  <c r="D89" i="3"/>
  <c r="A89" i="3"/>
  <c r="E88" i="3"/>
  <c r="D88" i="3"/>
  <c r="A88" i="3"/>
  <c r="V88" i="3" s="1"/>
  <c r="E87" i="3"/>
  <c r="D87" i="3"/>
  <c r="A87" i="3"/>
  <c r="X87" i="3" s="1"/>
  <c r="V86" i="3"/>
  <c r="E86" i="3"/>
  <c r="D86" i="3"/>
  <c r="A86" i="3"/>
  <c r="X86" i="3" s="1"/>
  <c r="E85" i="3"/>
  <c r="D85" i="3"/>
  <c r="A85" i="3"/>
  <c r="X84" i="3"/>
  <c r="E84" i="3"/>
  <c r="D84" i="3"/>
  <c r="A84" i="3"/>
  <c r="V84" i="3" s="1"/>
  <c r="W83" i="3"/>
  <c r="E83" i="3"/>
  <c r="D83" i="3"/>
  <c r="A83" i="3"/>
  <c r="X83" i="3" s="1"/>
  <c r="W82" i="3"/>
  <c r="E82" i="3"/>
  <c r="D82" i="3"/>
  <c r="A82" i="3"/>
  <c r="X82" i="3" s="1"/>
  <c r="W81" i="3"/>
  <c r="E81" i="3"/>
  <c r="D81" i="3"/>
  <c r="A81" i="3"/>
  <c r="E80" i="3"/>
  <c r="D80" i="3"/>
  <c r="A80" i="3"/>
  <c r="V80" i="3" s="1"/>
  <c r="E79" i="3"/>
  <c r="D79" i="3"/>
  <c r="A79" i="3"/>
  <c r="X79" i="3" s="1"/>
  <c r="V78" i="3"/>
  <c r="E78" i="3"/>
  <c r="D78" i="3"/>
  <c r="A78" i="3"/>
  <c r="X78" i="3" s="1"/>
  <c r="E77" i="3"/>
  <c r="D77" i="3"/>
  <c r="A77" i="3"/>
  <c r="X76" i="3"/>
  <c r="E76" i="3"/>
  <c r="D76" i="3"/>
  <c r="A76" i="3"/>
  <c r="V76" i="3" s="1"/>
  <c r="W75" i="3"/>
  <c r="E75" i="3"/>
  <c r="D75" i="3"/>
  <c r="A75" i="3"/>
  <c r="X75" i="3" s="1"/>
  <c r="W74" i="3"/>
  <c r="E74" i="3"/>
  <c r="D74" i="3"/>
  <c r="A74" i="3"/>
  <c r="X74" i="3" s="1"/>
  <c r="W73" i="3"/>
  <c r="E73" i="3"/>
  <c r="D73" i="3"/>
  <c r="A73" i="3"/>
  <c r="E72" i="3"/>
  <c r="D72" i="3"/>
  <c r="A72" i="3"/>
  <c r="V72" i="3" s="1"/>
  <c r="E71" i="3"/>
  <c r="D71" i="3"/>
  <c r="A71" i="3"/>
  <c r="X71" i="3" s="1"/>
  <c r="V70" i="3"/>
  <c r="E70" i="3"/>
  <c r="D70" i="3"/>
  <c r="A70" i="3"/>
  <c r="X70" i="3" s="1"/>
  <c r="E69" i="3"/>
  <c r="D69" i="3"/>
  <c r="A69" i="3"/>
  <c r="X68" i="3"/>
  <c r="E68" i="3"/>
  <c r="D68" i="3"/>
  <c r="A68" i="3"/>
  <c r="V68" i="3" s="1"/>
  <c r="W67" i="3"/>
  <c r="E67" i="3"/>
  <c r="D67" i="3"/>
  <c r="A67" i="3"/>
  <c r="X67" i="3" s="1"/>
  <c r="W66" i="3"/>
  <c r="E66" i="3"/>
  <c r="D66" i="3"/>
  <c r="A66" i="3"/>
  <c r="X66" i="3" s="1"/>
  <c r="W65" i="3"/>
  <c r="E65" i="3"/>
  <c r="D65" i="3"/>
  <c r="A65" i="3"/>
  <c r="E64" i="3"/>
  <c r="D64" i="3"/>
  <c r="A64" i="3"/>
  <c r="V64" i="3" s="1"/>
  <c r="E63" i="3"/>
  <c r="D63" i="3"/>
  <c r="A63" i="3"/>
  <c r="X63" i="3" s="1"/>
  <c r="V62" i="3"/>
  <c r="E62" i="3"/>
  <c r="D62" i="3"/>
  <c r="A62" i="3"/>
  <c r="X62" i="3" s="1"/>
  <c r="E61" i="3"/>
  <c r="D61" i="3"/>
  <c r="A61" i="3"/>
  <c r="X60" i="3"/>
  <c r="E60" i="3"/>
  <c r="D60" i="3"/>
  <c r="A60" i="3"/>
  <c r="V60" i="3" s="1"/>
  <c r="W59" i="3"/>
  <c r="E59" i="3"/>
  <c r="D59" i="3"/>
  <c r="A59" i="3"/>
  <c r="X59" i="3" s="1"/>
  <c r="W58" i="3"/>
  <c r="E58" i="3"/>
  <c r="D58" i="3"/>
  <c r="A58" i="3"/>
  <c r="X58" i="3" s="1"/>
  <c r="W57" i="3"/>
  <c r="E57" i="3"/>
  <c r="D57" i="3"/>
  <c r="A57" i="3"/>
  <c r="E56" i="3"/>
  <c r="D56" i="3"/>
  <c r="A56" i="3"/>
  <c r="V56" i="3" s="1"/>
  <c r="E55" i="3"/>
  <c r="D55" i="3"/>
  <c r="A55" i="3"/>
  <c r="X55" i="3" s="1"/>
  <c r="V54" i="3"/>
  <c r="E54" i="3"/>
  <c r="D54" i="3"/>
  <c r="A54" i="3"/>
  <c r="X54" i="3" s="1"/>
  <c r="E53" i="3"/>
  <c r="D53" i="3"/>
  <c r="A53" i="3"/>
  <c r="X52" i="3"/>
  <c r="E52" i="3"/>
  <c r="D52" i="3"/>
  <c r="A52" i="3"/>
  <c r="V52" i="3" s="1"/>
  <c r="W51" i="3"/>
  <c r="E51" i="3"/>
  <c r="D51" i="3"/>
  <c r="A51" i="3"/>
  <c r="X51" i="3" s="1"/>
  <c r="W50" i="3"/>
  <c r="E50" i="3"/>
  <c r="D50" i="3"/>
  <c r="A50" i="3"/>
  <c r="X50" i="3" s="1"/>
  <c r="W49" i="3"/>
  <c r="E49" i="3"/>
  <c r="D49" i="3"/>
  <c r="A49" i="3"/>
  <c r="E48" i="3"/>
  <c r="D48" i="3"/>
  <c r="A48" i="3"/>
  <c r="V48" i="3" s="1"/>
  <c r="E47" i="3"/>
  <c r="D47" i="3"/>
  <c r="A47" i="3"/>
  <c r="X47" i="3" s="1"/>
  <c r="V46" i="3"/>
  <c r="E46" i="3"/>
  <c r="D46" i="3"/>
  <c r="A46" i="3"/>
  <c r="X46" i="3" s="1"/>
  <c r="E45" i="3"/>
  <c r="D45" i="3"/>
  <c r="A45" i="3"/>
  <c r="X44" i="3"/>
  <c r="E44" i="3"/>
  <c r="D44" i="3"/>
  <c r="A44" i="3"/>
  <c r="V44" i="3" s="1"/>
  <c r="W43" i="3"/>
  <c r="E43" i="3"/>
  <c r="D43" i="3"/>
  <c r="A43" i="3"/>
  <c r="X43" i="3" s="1"/>
  <c r="W42" i="3"/>
  <c r="E42" i="3"/>
  <c r="D42" i="3"/>
  <c r="A42" i="3"/>
  <c r="X42" i="3" s="1"/>
  <c r="W41" i="3"/>
  <c r="E41" i="3"/>
  <c r="D41" i="3"/>
  <c r="A41" i="3"/>
  <c r="E40" i="3"/>
  <c r="D40" i="3"/>
  <c r="A40" i="3"/>
  <c r="V40" i="3" s="1"/>
  <c r="E39" i="3"/>
  <c r="D39" i="3"/>
  <c r="A39" i="3"/>
  <c r="X39" i="3" s="1"/>
  <c r="V38" i="3"/>
  <c r="E38" i="3"/>
  <c r="D38" i="3"/>
  <c r="A38" i="3"/>
  <c r="X38" i="3" s="1"/>
  <c r="E37" i="3"/>
  <c r="D37" i="3"/>
  <c r="A37" i="3"/>
  <c r="X36" i="3"/>
  <c r="E36" i="3"/>
  <c r="D36" i="3"/>
  <c r="A36" i="3"/>
  <c r="V36" i="3" s="1"/>
  <c r="W35" i="3"/>
  <c r="E35" i="3"/>
  <c r="D35" i="3"/>
  <c r="A35" i="3"/>
  <c r="X35" i="3" s="1"/>
  <c r="W34" i="3"/>
  <c r="E34" i="3"/>
  <c r="D34" i="3"/>
  <c r="A34" i="3"/>
  <c r="X34" i="3" s="1"/>
  <c r="W33" i="3"/>
  <c r="E33" i="3"/>
  <c r="D33" i="3"/>
  <c r="A33" i="3"/>
  <c r="E32" i="3"/>
  <c r="D32" i="3"/>
  <c r="A32" i="3"/>
  <c r="V32" i="3" s="1"/>
  <c r="E31" i="3"/>
  <c r="D31" i="3"/>
  <c r="A31" i="3"/>
  <c r="X31" i="3" s="1"/>
  <c r="V30" i="3"/>
  <c r="E30" i="3"/>
  <c r="D30" i="3"/>
  <c r="A30" i="3"/>
  <c r="X30" i="3" s="1"/>
  <c r="E29" i="3"/>
  <c r="D29" i="3"/>
  <c r="A29" i="3"/>
  <c r="X28" i="3"/>
  <c r="E28" i="3"/>
  <c r="D28" i="3"/>
  <c r="A28" i="3"/>
  <c r="V28" i="3" s="1"/>
  <c r="W27" i="3"/>
  <c r="E27" i="3"/>
  <c r="D27" i="3"/>
  <c r="A27" i="3"/>
  <c r="X27" i="3" s="1"/>
  <c r="W26" i="3"/>
  <c r="E26" i="3"/>
  <c r="D26" i="3"/>
  <c r="A26" i="3"/>
  <c r="X26" i="3" s="1"/>
  <c r="E25" i="3"/>
  <c r="D25" i="3"/>
  <c r="A25" i="3"/>
  <c r="E24" i="3"/>
  <c r="D24" i="3"/>
  <c r="A24" i="3"/>
  <c r="E23" i="3"/>
  <c r="D23" i="3"/>
  <c r="A23" i="3"/>
  <c r="E22" i="3"/>
  <c r="D22" i="3"/>
  <c r="A22" i="3"/>
  <c r="E21" i="3"/>
  <c r="D21" i="3"/>
  <c r="A21" i="3"/>
  <c r="E20" i="3"/>
  <c r="D20" i="3"/>
  <c r="X20" i="3" s="1"/>
  <c r="A20" i="3"/>
  <c r="E19" i="3"/>
  <c r="D19" i="3"/>
  <c r="A19" i="3"/>
  <c r="E18" i="3"/>
  <c r="D18" i="3"/>
  <c r="A18" i="3"/>
  <c r="E17" i="3"/>
  <c r="D17" i="3"/>
  <c r="A17" i="3"/>
  <c r="E16" i="3"/>
  <c r="D16" i="3"/>
  <c r="A16" i="3"/>
  <c r="E15" i="3"/>
  <c r="D15" i="3"/>
  <c r="A15" i="3"/>
  <c r="E14" i="3"/>
  <c r="D14" i="3"/>
  <c r="A14" i="3"/>
  <c r="E13" i="3"/>
  <c r="D13" i="3"/>
  <c r="A13" i="3"/>
  <c r="E12" i="3"/>
  <c r="D12" i="3"/>
  <c r="X12" i="3" s="1"/>
  <c r="A12" i="3"/>
  <c r="E11" i="3"/>
  <c r="D11" i="3"/>
  <c r="A11" i="3"/>
  <c r="E10" i="3"/>
  <c r="D10" i="3"/>
  <c r="A10" i="3"/>
  <c r="E9" i="3"/>
  <c r="D9" i="3"/>
  <c r="A9" i="3"/>
  <c r="E8" i="3"/>
  <c r="D8" i="3"/>
  <c r="A8" i="3"/>
  <c r="E7" i="3"/>
  <c r="D7" i="3"/>
  <c r="A7" i="3"/>
  <c r="E6" i="3"/>
  <c r="D6" i="3"/>
  <c r="A6" i="3"/>
  <c r="E5" i="3"/>
  <c r="D5" i="3"/>
  <c r="A5" i="3"/>
  <c r="AF152" i="2"/>
  <c r="AE152" i="2"/>
  <c r="V154" i="11" s="1"/>
  <c r="AD152" i="2"/>
  <c r="AC152" i="2"/>
  <c r="AB152" i="2"/>
  <c r="AA152" i="2"/>
  <c r="Z152" i="2"/>
  <c r="Y152" i="2"/>
  <c r="X152" i="2"/>
  <c r="W152" i="2"/>
  <c r="V152" i="2"/>
  <c r="U152" i="2"/>
  <c r="S152" i="2"/>
  <c r="Q152" i="2"/>
  <c r="P152" i="2"/>
  <c r="J152" i="2"/>
  <c r="F152" i="2"/>
  <c r="AF151" i="2"/>
  <c r="AE151" i="2"/>
  <c r="V153" i="11" s="1"/>
  <c r="AD151" i="2"/>
  <c r="AC151" i="2"/>
  <c r="AB151" i="2"/>
  <c r="AA151" i="2"/>
  <c r="Z151" i="2"/>
  <c r="Y151" i="2"/>
  <c r="X151" i="2"/>
  <c r="W151" i="2"/>
  <c r="V151" i="2"/>
  <c r="U151" i="2"/>
  <c r="S151" i="2"/>
  <c r="Q151" i="2"/>
  <c r="P151" i="2"/>
  <c r="R151" i="2" s="1"/>
  <c r="J151" i="2"/>
  <c r="F151" i="2"/>
  <c r="AF150" i="2"/>
  <c r="AE150" i="2"/>
  <c r="V152" i="11" s="1"/>
  <c r="AD150" i="2"/>
  <c r="AC150" i="2"/>
  <c r="AB150" i="2"/>
  <c r="AA150" i="2"/>
  <c r="Z150" i="2"/>
  <c r="Y150" i="2"/>
  <c r="X150" i="2"/>
  <c r="W150" i="2"/>
  <c r="V150" i="2"/>
  <c r="U150" i="2"/>
  <c r="S150" i="2"/>
  <c r="Q150" i="2"/>
  <c r="P150" i="2"/>
  <c r="J150" i="2"/>
  <c r="F150" i="2"/>
  <c r="AF149" i="2"/>
  <c r="AE149" i="2"/>
  <c r="V151" i="11" s="1"/>
  <c r="AD149" i="2"/>
  <c r="AC149" i="2"/>
  <c r="AB149" i="2"/>
  <c r="AA149" i="2"/>
  <c r="Z149" i="2"/>
  <c r="Y149" i="2"/>
  <c r="X149" i="2"/>
  <c r="W149" i="2"/>
  <c r="V149" i="2"/>
  <c r="U149" i="2"/>
  <c r="S149" i="2"/>
  <c r="Q149" i="2"/>
  <c r="P149" i="2"/>
  <c r="J149" i="2"/>
  <c r="F149" i="2"/>
  <c r="AF148" i="2"/>
  <c r="AE148" i="2"/>
  <c r="V150" i="11" s="1"/>
  <c r="AD148" i="2"/>
  <c r="AC148" i="2"/>
  <c r="AB148" i="2"/>
  <c r="AA148" i="2"/>
  <c r="Z148" i="2"/>
  <c r="Y148" i="2"/>
  <c r="X148" i="2"/>
  <c r="W148" i="2"/>
  <c r="V148" i="2"/>
  <c r="U148" i="2"/>
  <c r="S148" i="2"/>
  <c r="Q148" i="2"/>
  <c r="P148" i="2"/>
  <c r="J148" i="2"/>
  <c r="F148" i="2"/>
  <c r="AF147" i="2"/>
  <c r="AE147" i="2"/>
  <c r="V149" i="11" s="1"/>
  <c r="AD147" i="2"/>
  <c r="AC147" i="2"/>
  <c r="AB147" i="2"/>
  <c r="AA147" i="2"/>
  <c r="Z147" i="2"/>
  <c r="Y147" i="2"/>
  <c r="X147" i="2"/>
  <c r="W147" i="2"/>
  <c r="V147" i="2"/>
  <c r="U147" i="2"/>
  <c r="S147" i="2"/>
  <c r="Q147" i="2"/>
  <c r="P147" i="2"/>
  <c r="J147" i="2"/>
  <c r="F147" i="2"/>
  <c r="AF146" i="2"/>
  <c r="AE146" i="2"/>
  <c r="V148" i="11" s="1"/>
  <c r="AD146" i="2"/>
  <c r="AC146" i="2"/>
  <c r="AB146" i="2"/>
  <c r="AA146" i="2"/>
  <c r="Z146" i="2"/>
  <c r="Y146" i="2"/>
  <c r="X146" i="2"/>
  <c r="W146" i="2"/>
  <c r="V146" i="2"/>
  <c r="U146" i="2"/>
  <c r="S146" i="2"/>
  <c r="Q146" i="2"/>
  <c r="P146" i="2"/>
  <c r="T146" i="2" s="1"/>
  <c r="J146" i="2"/>
  <c r="F146" i="2"/>
  <c r="AF145" i="2"/>
  <c r="AE145" i="2"/>
  <c r="V147" i="11" s="1"/>
  <c r="AD145" i="2"/>
  <c r="AC145" i="2"/>
  <c r="AB145" i="2"/>
  <c r="AA145" i="2"/>
  <c r="Z145" i="2"/>
  <c r="Y145" i="2"/>
  <c r="X145" i="2"/>
  <c r="W145" i="2"/>
  <c r="V145" i="2"/>
  <c r="U145" i="2"/>
  <c r="S145" i="2"/>
  <c r="Q145" i="2"/>
  <c r="P145" i="2"/>
  <c r="J145" i="2"/>
  <c r="F145" i="2"/>
  <c r="AF144" i="2"/>
  <c r="AE144" i="2"/>
  <c r="V146" i="11" s="1"/>
  <c r="AD144" i="2"/>
  <c r="AC144" i="2"/>
  <c r="AB144" i="2"/>
  <c r="AA144" i="2"/>
  <c r="Z144" i="2"/>
  <c r="Y144" i="2"/>
  <c r="X144" i="2"/>
  <c r="W144" i="2"/>
  <c r="V144" i="2"/>
  <c r="U144" i="2"/>
  <c r="S144" i="2"/>
  <c r="Q144" i="2"/>
  <c r="P144" i="2"/>
  <c r="J144" i="2"/>
  <c r="F144" i="2"/>
  <c r="AF143" i="2"/>
  <c r="AE143" i="2"/>
  <c r="V145" i="11" s="1"/>
  <c r="AD143" i="2"/>
  <c r="AC143" i="2"/>
  <c r="AB143" i="2"/>
  <c r="AA143" i="2"/>
  <c r="Z143" i="2"/>
  <c r="Y143" i="2"/>
  <c r="X143" i="2"/>
  <c r="W143" i="2"/>
  <c r="V143" i="2"/>
  <c r="U143" i="2"/>
  <c r="S143" i="2"/>
  <c r="Q143" i="2"/>
  <c r="P143" i="2"/>
  <c r="J143" i="2"/>
  <c r="F143" i="2"/>
  <c r="AF142" i="2"/>
  <c r="AE142" i="2"/>
  <c r="V144" i="11" s="1"/>
  <c r="AD142" i="2"/>
  <c r="AC142" i="2"/>
  <c r="AB142" i="2"/>
  <c r="AA142" i="2"/>
  <c r="Z142" i="2"/>
  <c r="Y142" i="2"/>
  <c r="X142" i="2"/>
  <c r="W142" i="2"/>
  <c r="V142" i="2"/>
  <c r="U142" i="2"/>
  <c r="S142" i="2"/>
  <c r="Q142" i="2"/>
  <c r="P142" i="2"/>
  <c r="J142" i="2"/>
  <c r="F142" i="2"/>
  <c r="AF141" i="2"/>
  <c r="AE141" i="2"/>
  <c r="V143" i="11" s="1"/>
  <c r="AD141" i="2"/>
  <c r="AC141" i="2"/>
  <c r="AB141" i="2"/>
  <c r="AA141" i="2"/>
  <c r="Z141" i="2"/>
  <c r="Y141" i="2"/>
  <c r="X141" i="2"/>
  <c r="W141" i="2"/>
  <c r="V141" i="2"/>
  <c r="U141" i="2"/>
  <c r="S141" i="2"/>
  <c r="Q141" i="2"/>
  <c r="P141" i="2"/>
  <c r="J141" i="2"/>
  <c r="F141" i="2"/>
  <c r="AF140" i="2"/>
  <c r="AE140" i="2"/>
  <c r="V142" i="11" s="1"/>
  <c r="AD140" i="2"/>
  <c r="AC140" i="2"/>
  <c r="AB140" i="2"/>
  <c r="AA140" i="2"/>
  <c r="Z140" i="2"/>
  <c r="Y140" i="2"/>
  <c r="X140" i="2"/>
  <c r="W140" i="2"/>
  <c r="V140" i="2"/>
  <c r="U140" i="2"/>
  <c r="S140" i="2"/>
  <c r="Q140" i="2"/>
  <c r="P140" i="2"/>
  <c r="J140" i="2"/>
  <c r="F140" i="2"/>
  <c r="AF139" i="2"/>
  <c r="AE139" i="2"/>
  <c r="V141" i="11" s="1"/>
  <c r="AD139" i="2"/>
  <c r="AC139" i="2"/>
  <c r="AB139" i="2"/>
  <c r="AA139" i="2"/>
  <c r="Z139" i="2"/>
  <c r="Y139" i="2"/>
  <c r="X139" i="2"/>
  <c r="W139" i="2"/>
  <c r="V139" i="2"/>
  <c r="U139" i="2"/>
  <c r="S139" i="2"/>
  <c r="Q139" i="2"/>
  <c r="P139" i="2"/>
  <c r="J139" i="2"/>
  <c r="F139" i="2"/>
  <c r="AF138" i="2"/>
  <c r="AE138" i="2"/>
  <c r="V140" i="11" s="1"/>
  <c r="AD138" i="2"/>
  <c r="AC138" i="2"/>
  <c r="AB138" i="2"/>
  <c r="AA138" i="2"/>
  <c r="Z138" i="2"/>
  <c r="Y138" i="2"/>
  <c r="X138" i="2"/>
  <c r="W138" i="2"/>
  <c r="V138" i="2"/>
  <c r="U138" i="2"/>
  <c r="S138" i="2"/>
  <c r="Q138" i="2"/>
  <c r="P138" i="2"/>
  <c r="R138" i="2" s="1"/>
  <c r="J138" i="2"/>
  <c r="F138" i="2"/>
  <c r="AF137" i="2"/>
  <c r="AE137" i="2"/>
  <c r="V139" i="11" s="1"/>
  <c r="AD137" i="2"/>
  <c r="AC137" i="2"/>
  <c r="AB137" i="2"/>
  <c r="AA137" i="2"/>
  <c r="Z137" i="2"/>
  <c r="Y137" i="2"/>
  <c r="X137" i="2"/>
  <c r="W137" i="2"/>
  <c r="V137" i="2"/>
  <c r="U137" i="2"/>
  <c r="S137" i="2"/>
  <c r="Q137" i="2"/>
  <c r="P137" i="2"/>
  <c r="J137" i="2"/>
  <c r="F137" i="2"/>
  <c r="AF136" i="2"/>
  <c r="AE136" i="2"/>
  <c r="V138" i="11" s="1"/>
  <c r="AD136" i="2"/>
  <c r="AC136" i="2"/>
  <c r="AB136" i="2"/>
  <c r="AA136" i="2"/>
  <c r="Z136" i="2"/>
  <c r="Y136" i="2"/>
  <c r="X136" i="2"/>
  <c r="W136" i="2"/>
  <c r="V136" i="2"/>
  <c r="U136" i="2"/>
  <c r="S136" i="2"/>
  <c r="Q136" i="2"/>
  <c r="P136" i="2"/>
  <c r="J136" i="2"/>
  <c r="F136" i="2"/>
  <c r="AF135" i="2"/>
  <c r="AE135" i="2"/>
  <c r="V137" i="11" s="1"/>
  <c r="AD135" i="2"/>
  <c r="AC135" i="2"/>
  <c r="AB135" i="2"/>
  <c r="AA135" i="2"/>
  <c r="Z135" i="2"/>
  <c r="Y135" i="2"/>
  <c r="X135" i="2"/>
  <c r="W135" i="2"/>
  <c r="V135" i="2"/>
  <c r="U135" i="2"/>
  <c r="S135" i="2"/>
  <c r="Q135" i="2"/>
  <c r="P135" i="2"/>
  <c r="J135" i="2"/>
  <c r="F135" i="2"/>
  <c r="AF134" i="2"/>
  <c r="AE134" i="2"/>
  <c r="V136" i="11" s="1"/>
  <c r="AD134" i="2"/>
  <c r="AC134" i="2"/>
  <c r="AB134" i="2"/>
  <c r="AA134" i="2"/>
  <c r="Z134" i="2"/>
  <c r="Y134" i="2"/>
  <c r="X134" i="2"/>
  <c r="W134" i="2"/>
  <c r="V134" i="2"/>
  <c r="U134" i="2"/>
  <c r="S134" i="2"/>
  <c r="Q134" i="2"/>
  <c r="P134" i="2"/>
  <c r="J134" i="2"/>
  <c r="F134" i="2"/>
  <c r="AF133" i="2"/>
  <c r="AE133" i="2"/>
  <c r="V135" i="11" s="1"/>
  <c r="AD133" i="2"/>
  <c r="AC133" i="2"/>
  <c r="AB133" i="2"/>
  <c r="AA133" i="2"/>
  <c r="Z133" i="2"/>
  <c r="Y133" i="2"/>
  <c r="X133" i="2"/>
  <c r="W133" i="2"/>
  <c r="V133" i="2"/>
  <c r="U133" i="2"/>
  <c r="S133" i="2"/>
  <c r="Q133" i="2"/>
  <c r="P133" i="2"/>
  <c r="J133" i="2"/>
  <c r="F133" i="2"/>
  <c r="AF132" i="2"/>
  <c r="AE132" i="2"/>
  <c r="V134" i="11" s="1"/>
  <c r="AD132" i="2"/>
  <c r="AC132" i="2"/>
  <c r="AB132" i="2"/>
  <c r="AA132" i="2"/>
  <c r="Z132" i="2"/>
  <c r="Y132" i="2"/>
  <c r="X132" i="2"/>
  <c r="W132" i="2"/>
  <c r="V132" i="2"/>
  <c r="U132" i="2"/>
  <c r="S132" i="2"/>
  <c r="Q132" i="2"/>
  <c r="P132" i="2"/>
  <c r="J132" i="2"/>
  <c r="F132" i="2"/>
  <c r="AF131" i="2"/>
  <c r="AE131" i="2"/>
  <c r="V133" i="11" s="1"/>
  <c r="AD131" i="2"/>
  <c r="AC131" i="2"/>
  <c r="AB131" i="2"/>
  <c r="AA131" i="2"/>
  <c r="Z131" i="2"/>
  <c r="Y131" i="2"/>
  <c r="X131" i="2"/>
  <c r="W131" i="2"/>
  <c r="V131" i="2"/>
  <c r="U131" i="2"/>
  <c r="S131" i="2"/>
  <c r="Q131" i="2"/>
  <c r="P131" i="2"/>
  <c r="J131" i="2"/>
  <c r="F131" i="2"/>
  <c r="AF130" i="2"/>
  <c r="AE130" i="2"/>
  <c r="V132" i="11" s="1"/>
  <c r="AD130" i="2"/>
  <c r="AC130" i="2"/>
  <c r="AB130" i="2"/>
  <c r="AA130" i="2"/>
  <c r="Z130" i="2"/>
  <c r="Y130" i="2"/>
  <c r="X130" i="2"/>
  <c r="W130" i="2"/>
  <c r="V130" i="2"/>
  <c r="U130" i="2"/>
  <c r="S130" i="2"/>
  <c r="Q130" i="2"/>
  <c r="P130" i="2"/>
  <c r="J130" i="2"/>
  <c r="F130" i="2"/>
  <c r="AF129" i="2"/>
  <c r="AE129" i="2"/>
  <c r="V131" i="11" s="1"/>
  <c r="AD129" i="2"/>
  <c r="AC129" i="2"/>
  <c r="AB129" i="2"/>
  <c r="AA129" i="2"/>
  <c r="Z129" i="2"/>
  <c r="Y129" i="2"/>
  <c r="X129" i="2"/>
  <c r="W129" i="2"/>
  <c r="V129" i="2"/>
  <c r="U129" i="2"/>
  <c r="S129" i="2"/>
  <c r="Q129" i="2"/>
  <c r="P129" i="2"/>
  <c r="J129" i="2"/>
  <c r="F129" i="2"/>
  <c r="AF128" i="2"/>
  <c r="AE128" i="2"/>
  <c r="V130" i="11" s="1"/>
  <c r="AD128" i="2"/>
  <c r="AC128" i="2"/>
  <c r="AB128" i="2"/>
  <c r="AA128" i="2"/>
  <c r="Z128" i="2"/>
  <c r="Y128" i="2"/>
  <c r="X128" i="2"/>
  <c r="W128" i="2"/>
  <c r="V128" i="2"/>
  <c r="U128" i="2"/>
  <c r="S128" i="2"/>
  <c r="Q128" i="2"/>
  <c r="P128" i="2"/>
  <c r="J128" i="2"/>
  <c r="F128" i="2"/>
  <c r="AF127" i="2"/>
  <c r="AE127" i="2"/>
  <c r="V129" i="11" s="1"/>
  <c r="AD127" i="2"/>
  <c r="AC127" i="2"/>
  <c r="AB127" i="2"/>
  <c r="AA127" i="2"/>
  <c r="Z127" i="2"/>
  <c r="Y127" i="2"/>
  <c r="X127" i="2"/>
  <c r="W127" i="2"/>
  <c r="V127" i="2"/>
  <c r="U127" i="2"/>
  <c r="S127" i="2"/>
  <c r="Q127" i="2"/>
  <c r="P127" i="2"/>
  <c r="J127" i="2"/>
  <c r="F127" i="2"/>
  <c r="AF126" i="2"/>
  <c r="AE126" i="2"/>
  <c r="V128" i="11" s="1"/>
  <c r="AD126" i="2"/>
  <c r="AC126" i="2"/>
  <c r="AB126" i="2"/>
  <c r="AA126" i="2"/>
  <c r="Z126" i="2"/>
  <c r="Y126" i="2"/>
  <c r="X126" i="2"/>
  <c r="W126" i="2"/>
  <c r="V126" i="2"/>
  <c r="U126" i="2"/>
  <c r="S126" i="2"/>
  <c r="Q126" i="2"/>
  <c r="T126" i="2" s="1"/>
  <c r="P126" i="2"/>
  <c r="J126" i="2"/>
  <c r="F126" i="2"/>
  <c r="AF125" i="2"/>
  <c r="AE125" i="2"/>
  <c r="V127" i="11" s="1"/>
  <c r="AD125" i="2"/>
  <c r="AC125" i="2"/>
  <c r="AB125" i="2"/>
  <c r="AA125" i="2"/>
  <c r="Z125" i="2"/>
  <c r="Y125" i="2"/>
  <c r="X125" i="2"/>
  <c r="W125" i="2"/>
  <c r="V125" i="2"/>
  <c r="U125" i="2"/>
  <c r="S125" i="2"/>
  <c r="Q125" i="2"/>
  <c r="P125" i="2"/>
  <c r="J125" i="2"/>
  <c r="F125" i="2"/>
  <c r="AF124" i="2"/>
  <c r="AE124" i="2"/>
  <c r="V126" i="11" s="1"/>
  <c r="AD124" i="2"/>
  <c r="AC124" i="2"/>
  <c r="AB124" i="2"/>
  <c r="AA124" i="2"/>
  <c r="Z124" i="2"/>
  <c r="Y124" i="2"/>
  <c r="X124" i="2"/>
  <c r="W124" i="2"/>
  <c r="V124" i="2"/>
  <c r="U124" i="2"/>
  <c r="S124" i="2"/>
  <c r="Q124" i="2"/>
  <c r="P124" i="2"/>
  <c r="J124" i="2"/>
  <c r="F124" i="2"/>
  <c r="AF123" i="2"/>
  <c r="AE123" i="2"/>
  <c r="V125" i="11" s="1"/>
  <c r="AD123" i="2"/>
  <c r="AC123" i="2"/>
  <c r="AB123" i="2"/>
  <c r="AA123" i="2"/>
  <c r="Z123" i="2"/>
  <c r="Y123" i="2"/>
  <c r="X123" i="2"/>
  <c r="W123" i="2"/>
  <c r="V123" i="2"/>
  <c r="U123" i="2"/>
  <c r="S123" i="2"/>
  <c r="Q123" i="2"/>
  <c r="P123" i="2"/>
  <c r="J123" i="2"/>
  <c r="F123" i="2"/>
  <c r="AF122" i="2"/>
  <c r="AE122" i="2"/>
  <c r="V124" i="11" s="1"/>
  <c r="AD122" i="2"/>
  <c r="AC122" i="2"/>
  <c r="AB122" i="2"/>
  <c r="AA122" i="2"/>
  <c r="Z122" i="2"/>
  <c r="Y122" i="2"/>
  <c r="X122" i="2"/>
  <c r="W122" i="2"/>
  <c r="V122" i="2"/>
  <c r="U122" i="2"/>
  <c r="S122" i="2"/>
  <c r="Q122" i="2"/>
  <c r="P122" i="2"/>
  <c r="J122" i="2"/>
  <c r="F122" i="2"/>
  <c r="AF121" i="2"/>
  <c r="AE121" i="2"/>
  <c r="V123" i="11" s="1"/>
  <c r="AD121" i="2"/>
  <c r="AC121" i="2"/>
  <c r="AB121" i="2"/>
  <c r="AA121" i="2"/>
  <c r="Z121" i="2"/>
  <c r="Y121" i="2"/>
  <c r="X121" i="2"/>
  <c r="W121" i="2"/>
  <c r="V121" i="2"/>
  <c r="U121" i="2"/>
  <c r="S121" i="2"/>
  <c r="Q121" i="2"/>
  <c r="T121" i="2" s="1"/>
  <c r="P121" i="2"/>
  <c r="J121" i="2"/>
  <c r="F121" i="2"/>
  <c r="AF120" i="2"/>
  <c r="AE120" i="2"/>
  <c r="V122" i="11" s="1"/>
  <c r="AD120" i="2"/>
  <c r="AC120" i="2"/>
  <c r="AB120" i="2"/>
  <c r="AA120" i="2"/>
  <c r="Z120" i="2"/>
  <c r="Y120" i="2"/>
  <c r="X120" i="2"/>
  <c r="W120" i="2"/>
  <c r="V120" i="2"/>
  <c r="U120" i="2"/>
  <c r="S120" i="2"/>
  <c r="Q120" i="2"/>
  <c r="P120" i="2"/>
  <c r="J120" i="2"/>
  <c r="F120" i="2"/>
  <c r="AF119" i="2"/>
  <c r="AE119" i="2"/>
  <c r="V121" i="11" s="1"/>
  <c r="AD119" i="2"/>
  <c r="AC119" i="2"/>
  <c r="AB119" i="2"/>
  <c r="AA119" i="2"/>
  <c r="Z119" i="2"/>
  <c r="Y119" i="2"/>
  <c r="X119" i="2"/>
  <c r="W119" i="2"/>
  <c r="V119" i="2"/>
  <c r="U119" i="2"/>
  <c r="S119" i="2"/>
  <c r="Q119" i="2"/>
  <c r="P119" i="2"/>
  <c r="J119" i="2"/>
  <c r="F119" i="2"/>
  <c r="AF118" i="2"/>
  <c r="AE118" i="2"/>
  <c r="V120" i="11" s="1"/>
  <c r="AD118" i="2"/>
  <c r="AC118" i="2"/>
  <c r="AB118" i="2"/>
  <c r="AA118" i="2"/>
  <c r="Z118" i="2"/>
  <c r="Y118" i="2"/>
  <c r="X118" i="2"/>
  <c r="W118" i="2"/>
  <c r="V118" i="2"/>
  <c r="U118" i="2"/>
  <c r="S118" i="2"/>
  <c r="Q118" i="2"/>
  <c r="P118" i="2"/>
  <c r="J118" i="2"/>
  <c r="F118" i="2"/>
  <c r="AF117" i="2"/>
  <c r="AE117" i="2"/>
  <c r="V119" i="11" s="1"/>
  <c r="AD117" i="2"/>
  <c r="AC117" i="2"/>
  <c r="AB117" i="2"/>
  <c r="AA117" i="2"/>
  <c r="Z117" i="2"/>
  <c r="Y117" i="2"/>
  <c r="X117" i="2"/>
  <c r="W117" i="2"/>
  <c r="V117" i="2"/>
  <c r="U117" i="2"/>
  <c r="S117" i="2"/>
  <c r="Q117" i="2"/>
  <c r="P117" i="2"/>
  <c r="J117" i="2"/>
  <c r="F117" i="2"/>
  <c r="AF116" i="2"/>
  <c r="AE116" i="2"/>
  <c r="V118" i="11" s="1"/>
  <c r="AD116" i="2"/>
  <c r="AC116" i="2"/>
  <c r="AB116" i="2"/>
  <c r="AA116" i="2"/>
  <c r="Z116" i="2"/>
  <c r="Y116" i="2"/>
  <c r="X116" i="2"/>
  <c r="W116" i="2"/>
  <c r="V116" i="2"/>
  <c r="U116" i="2"/>
  <c r="S116" i="2"/>
  <c r="Q116" i="2"/>
  <c r="P116" i="2"/>
  <c r="J116" i="2"/>
  <c r="F116" i="2"/>
  <c r="AF115" i="2"/>
  <c r="AE115" i="2"/>
  <c r="V117" i="11" s="1"/>
  <c r="AD115" i="2"/>
  <c r="AC115" i="2"/>
  <c r="AB115" i="2"/>
  <c r="AA115" i="2"/>
  <c r="Z115" i="2"/>
  <c r="Y115" i="2"/>
  <c r="X115" i="2"/>
  <c r="W115" i="2"/>
  <c r="V115" i="2"/>
  <c r="U115" i="2"/>
  <c r="S115" i="2"/>
  <c r="Q115" i="2"/>
  <c r="P115" i="2"/>
  <c r="J115" i="2"/>
  <c r="F115" i="2"/>
  <c r="AF114" i="2"/>
  <c r="AE114" i="2"/>
  <c r="V116" i="11" s="1"/>
  <c r="AD114" i="2"/>
  <c r="AC114" i="2"/>
  <c r="AB114" i="2"/>
  <c r="AA114" i="2"/>
  <c r="Z114" i="2"/>
  <c r="Y114" i="2"/>
  <c r="X114" i="2"/>
  <c r="W114" i="2"/>
  <c r="V114" i="2"/>
  <c r="U114" i="2"/>
  <c r="S114" i="2"/>
  <c r="Q114" i="2"/>
  <c r="P114" i="2"/>
  <c r="J114" i="2"/>
  <c r="F114" i="2"/>
  <c r="AF113" i="2"/>
  <c r="AE113" i="2"/>
  <c r="V115" i="11" s="1"/>
  <c r="AD113" i="2"/>
  <c r="AC113" i="2"/>
  <c r="AB113" i="2"/>
  <c r="AA113" i="2"/>
  <c r="Z113" i="2"/>
  <c r="Y113" i="2"/>
  <c r="X113" i="2"/>
  <c r="W113" i="2"/>
  <c r="V113" i="2"/>
  <c r="U113" i="2"/>
  <c r="T113" i="2"/>
  <c r="S113" i="2"/>
  <c r="Q113" i="2"/>
  <c r="P113" i="2"/>
  <c r="J113" i="2"/>
  <c r="F113" i="2"/>
  <c r="AF112" i="2"/>
  <c r="AE112" i="2"/>
  <c r="V114" i="11" s="1"/>
  <c r="AD112" i="2"/>
  <c r="AC112" i="2"/>
  <c r="AB112" i="2"/>
  <c r="AA112" i="2"/>
  <c r="Z112" i="2"/>
  <c r="Y112" i="2"/>
  <c r="X112" i="2"/>
  <c r="W112" i="2"/>
  <c r="V112" i="2"/>
  <c r="U112" i="2"/>
  <c r="S112" i="2"/>
  <c r="Q112" i="2"/>
  <c r="P112" i="2"/>
  <c r="J112" i="2"/>
  <c r="F112" i="2"/>
  <c r="AF111" i="2"/>
  <c r="AE111" i="2"/>
  <c r="V113" i="11" s="1"/>
  <c r="AD111" i="2"/>
  <c r="AC111" i="2"/>
  <c r="AB111" i="2"/>
  <c r="AA111" i="2"/>
  <c r="Z111" i="2"/>
  <c r="Y111" i="2"/>
  <c r="X111" i="2"/>
  <c r="W111" i="2"/>
  <c r="V111" i="2"/>
  <c r="U111" i="2"/>
  <c r="S111" i="2"/>
  <c r="Q111" i="2"/>
  <c r="P111" i="2"/>
  <c r="J111" i="2"/>
  <c r="F111" i="2"/>
  <c r="AF110" i="2"/>
  <c r="AE110" i="2"/>
  <c r="V112" i="11" s="1"/>
  <c r="AD110" i="2"/>
  <c r="AC110" i="2"/>
  <c r="AB110" i="2"/>
  <c r="AA110" i="2"/>
  <c r="Z110" i="2"/>
  <c r="Y110" i="2"/>
  <c r="X110" i="2"/>
  <c r="W110" i="2"/>
  <c r="V110" i="2"/>
  <c r="U110" i="2"/>
  <c r="S110" i="2"/>
  <c r="Q110" i="2"/>
  <c r="P110" i="2"/>
  <c r="J110" i="2"/>
  <c r="F110" i="2"/>
  <c r="AF109" i="2"/>
  <c r="AE109" i="2"/>
  <c r="V111" i="11" s="1"/>
  <c r="AD109" i="2"/>
  <c r="AC109" i="2"/>
  <c r="AB109" i="2"/>
  <c r="AA109" i="2"/>
  <c r="Z109" i="2"/>
  <c r="Y109" i="2"/>
  <c r="X109" i="2"/>
  <c r="W109" i="2"/>
  <c r="V109" i="2"/>
  <c r="U109" i="2"/>
  <c r="S109" i="2"/>
  <c r="Q109" i="2"/>
  <c r="P109" i="2"/>
  <c r="J109" i="2"/>
  <c r="F109" i="2"/>
  <c r="AF108" i="2"/>
  <c r="AE108" i="2"/>
  <c r="V110" i="11" s="1"/>
  <c r="AD108" i="2"/>
  <c r="AC108" i="2"/>
  <c r="AB108" i="2"/>
  <c r="AA108" i="2"/>
  <c r="Z108" i="2"/>
  <c r="Y108" i="2"/>
  <c r="X108" i="2"/>
  <c r="W108" i="2"/>
  <c r="V108" i="2"/>
  <c r="U108" i="2"/>
  <c r="S108" i="2"/>
  <c r="Q108" i="2"/>
  <c r="P108" i="2"/>
  <c r="J108" i="2"/>
  <c r="F108" i="2"/>
  <c r="AF107" i="2"/>
  <c r="AE107" i="2"/>
  <c r="V109" i="11" s="1"/>
  <c r="AD107" i="2"/>
  <c r="AC107" i="2"/>
  <c r="AB107" i="2"/>
  <c r="AA107" i="2"/>
  <c r="Z107" i="2"/>
  <c r="Y107" i="2"/>
  <c r="X107" i="2"/>
  <c r="W107" i="2"/>
  <c r="V107" i="2"/>
  <c r="U107" i="2"/>
  <c r="S107" i="2"/>
  <c r="Q107" i="2"/>
  <c r="P107" i="2"/>
  <c r="J107" i="2"/>
  <c r="F107" i="2"/>
  <c r="AF106" i="2"/>
  <c r="AE106" i="2"/>
  <c r="V108" i="11" s="1"/>
  <c r="AD106" i="2"/>
  <c r="AC106" i="2"/>
  <c r="AB106" i="2"/>
  <c r="AA106" i="2"/>
  <c r="Z106" i="2"/>
  <c r="Y106" i="2"/>
  <c r="X106" i="2"/>
  <c r="W106" i="2"/>
  <c r="V106" i="2"/>
  <c r="U106" i="2"/>
  <c r="S106" i="2"/>
  <c r="Q106" i="2"/>
  <c r="T106" i="2" s="1"/>
  <c r="P106" i="2"/>
  <c r="J106" i="2"/>
  <c r="F106" i="2"/>
  <c r="AF105" i="2"/>
  <c r="AE105" i="2"/>
  <c r="V107" i="11" s="1"/>
  <c r="AD105" i="2"/>
  <c r="AC105" i="2"/>
  <c r="AB105" i="2"/>
  <c r="AA105" i="2"/>
  <c r="Z105" i="2"/>
  <c r="Y105" i="2"/>
  <c r="X105" i="2"/>
  <c r="W105" i="2"/>
  <c r="V105" i="2"/>
  <c r="U105" i="2"/>
  <c r="S105" i="2"/>
  <c r="Q105" i="2"/>
  <c r="P105" i="2"/>
  <c r="J105" i="2"/>
  <c r="F105" i="2"/>
  <c r="AF104" i="2"/>
  <c r="AE104" i="2"/>
  <c r="V106" i="11" s="1"/>
  <c r="AD104" i="2"/>
  <c r="AC104" i="2"/>
  <c r="AB104" i="2"/>
  <c r="AA104" i="2"/>
  <c r="Z104" i="2"/>
  <c r="Y104" i="2"/>
  <c r="X104" i="2"/>
  <c r="W104" i="2"/>
  <c r="V104" i="2"/>
  <c r="U104" i="2"/>
  <c r="S104" i="2"/>
  <c r="Q104" i="2"/>
  <c r="P104" i="2"/>
  <c r="J104" i="2"/>
  <c r="F104" i="2"/>
  <c r="AF103" i="2"/>
  <c r="AE103" i="2"/>
  <c r="V105" i="11" s="1"/>
  <c r="AD103" i="2"/>
  <c r="AC103" i="2"/>
  <c r="AB103" i="2"/>
  <c r="AA103" i="2"/>
  <c r="Z103" i="2"/>
  <c r="Y103" i="2"/>
  <c r="X103" i="2"/>
  <c r="W103" i="2"/>
  <c r="V103" i="2"/>
  <c r="U103" i="2"/>
  <c r="S103" i="2"/>
  <c r="Q103" i="2"/>
  <c r="P103" i="2"/>
  <c r="J103" i="2"/>
  <c r="F103" i="2"/>
  <c r="AF102" i="2"/>
  <c r="AE102" i="2"/>
  <c r="V104" i="11" s="1"/>
  <c r="AD102" i="2"/>
  <c r="AC102" i="2"/>
  <c r="AB102" i="2"/>
  <c r="AA102" i="2"/>
  <c r="Z102" i="2"/>
  <c r="Y102" i="2"/>
  <c r="X102" i="2"/>
  <c r="W102" i="2"/>
  <c r="V102" i="2"/>
  <c r="U102" i="2"/>
  <c r="S102" i="2"/>
  <c r="Q102" i="2"/>
  <c r="P102" i="2"/>
  <c r="J102" i="2"/>
  <c r="F102" i="2"/>
  <c r="AF101" i="2"/>
  <c r="AE101" i="2"/>
  <c r="V103" i="11" s="1"/>
  <c r="AD101" i="2"/>
  <c r="AC101" i="2"/>
  <c r="AB101" i="2"/>
  <c r="AA101" i="2"/>
  <c r="Z101" i="2"/>
  <c r="Y101" i="2"/>
  <c r="X101" i="2"/>
  <c r="W101" i="2"/>
  <c r="V101" i="2"/>
  <c r="U101" i="2"/>
  <c r="S101" i="2"/>
  <c r="Q101" i="2"/>
  <c r="P101" i="2"/>
  <c r="J101" i="2"/>
  <c r="F101" i="2"/>
  <c r="AF100" i="2"/>
  <c r="AE100" i="2"/>
  <c r="V102" i="11" s="1"/>
  <c r="AD100" i="2"/>
  <c r="AC100" i="2"/>
  <c r="AB100" i="2"/>
  <c r="AA100" i="2"/>
  <c r="Z100" i="2"/>
  <c r="Y100" i="2"/>
  <c r="X100" i="2"/>
  <c r="W100" i="2"/>
  <c r="V100" i="2"/>
  <c r="U100" i="2"/>
  <c r="S100" i="2"/>
  <c r="Q100" i="2"/>
  <c r="P100" i="2"/>
  <c r="J100" i="2"/>
  <c r="F100" i="2"/>
  <c r="AF99" i="2"/>
  <c r="AE99" i="2"/>
  <c r="V101" i="11" s="1"/>
  <c r="AD99" i="2"/>
  <c r="AC99" i="2"/>
  <c r="AB99" i="2"/>
  <c r="AA99" i="2"/>
  <c r="Z99" i="2"/>
  <c r="Y99" i="2"/>
  <c r="X99" i="2"/>
  <c r="W99" i="2"/>
  <c r="V99" i="2"/>
  <c r="U99" i="2"/>
  <c r="S99" i="2"/>
  <c r="Q99" i="2"/>
  <c r="P99" i="2"/>
  <c r="J99" i="2"/>
  <c r="F99" i="2"/>
  <c r="AF98" i="2"/>
  <c r="AE98" i="2"/>
  <c r="V100" i="11" s="1"/>
  <c r="AD98" i="2"/>
  <c r="AC98" i="2"/>
  <c r="AB98" i="2"/>
  <c r="AA98" i="2"/>
  <c r="Z98" i="2"/>
  <c r="Y98" i="2"/>
  <c r="X98" i="2"/>
  <c r="W98" i="2"/>
  <c r="V98" i="2"/>
  <c r="U98" i="2"/>
  <c r="S98" i="2"/>
  <c r="Q98" i="2"/>
  <c r="T98" i="2" s="1"/>
  <c r="P98" i="2"/>
  <c r="J98" i="2"/>
  <c r="F98" i="2"/>
  <c r="AF97" i="2"/>
  <c r="AE97" i="2"/>
  <c r="V99" i="11" s="1"/>
  <c r="AD97" i="2"/>
  <c r="AC97" i="2"/>
  <c r="AB97" i="2"/>
  <c r="AA97" i="2"/>
  <c r="Z97" i="2"/>
  <c r="Y97" i="2"/>
  <c r="X97" i="2"/>
  <c r="W97" i="2"/>
  <c r="V97" i="2"/>
  <c r="U97" i="2"/>
  <c r="S97" i="2"/>
  <c r="Q97" i="2"/>
  <c r="P97" i="2"/>
  <c r="T97" i="2" s="1"/>
  <c r="J97" i="2"/>
  <c r="F97" i="2"/>
  <c r="AF96" i="2"/>
  <c r="AE96" i="2"/>
  <c r="V98" i="11" s="1"/>
  <c r="AD96" i="2"/>
  <c r="AC96" i="2"/>
  <c r="AB96" i="2"/>
  <c r="AA96" i="2"/>
  <c r="Z96" i="2"/>
  <c r="Y96" i="2"/>
  <c r="X96" i="2"/>
  <c r="W96" i="2"/>
  <c r="V96" i="2"/>
  <c r="U96" i="2"/>
  <c r="S96" i="2"/>
  <c r="Q96" i="2"/>
  <c r="P96" i="2"/>
  <c r="J96" i="2"/>
  <c r="F96" i="2"/>
  <c r="AF95" i="2"/>
  <c r="AE95" i="2"/>
  <c r="V97" i="11" s="1"/>
  <c r="AD95" i="2"/>
  <c r="AC95" i="2"/>
  <c r="AB95" i="2"/>
  <c r="AA95" i="2"/>
  <c r="Z95" i="2"/>
  <c r="Y95" i="2"/>
  <c r="X95" i="2"/>
  <c r="W95" i="2"/>
  <c r="V95" i="2"/>
  <c r="U95" i="2"/>
  <c r="S95" i="2"/>
  <c r="Q95" i="2"/>
  <c r="P95" i="2"/>
  <c r="J95" i="2"/>
  <c r="F95" i="2"/>
  <c r="AF94" i="2"/>
  <c r="AE94" i="2"/>
  <c r="V96" i="11" s="1"/>
  <c r="AD94" i="2"/>
  <c r="AC94" i="2"/>
  <c r="AB94" i="2"/>
  <c r="AA94" i="2"/>
  <c r="Z94" i="2"/>
  <c r="Y94" i="2"/>
  <c r="X94" i="2"/>
  <c r="W94" i="2"/>
  <c r="V94" i="2"/>
  <c r="U94" i="2"/>
  <c r="S94" i="2"/>
  <c r="Q94" i="2"/>
  <c r="P94" i="2"/>
  <c r="J94" i="2"/>
  <c r="F94" i="2"/>
  <c r="AF93" i="2"/>
  <c r="AE93" i="2"/>
  <c r="V95" i="11" s="1"/>
  <c r="AD93" i="2"/>
  <c r="AC93" i="2"/>
  <c r="AB93" i="2"/>
  <c r="AA93" i="2"/>
  <c r="Z93" i="2"/>
  <c r="Y93" i="2"/>
  <c r="X93" i="2"/>
  <c r="W93" i="2"/>
  <c r="V93" i="2"/>
  <c r="U93" i="2"/>
  <c r="S93" i="2"/>
  <c r="Q93" i="2"/>
  <c r="P93" i="2"/>
  <c r="J93" i="2"/>
  <c r="F93" i="2"/>
  <c r="AF92" i="2"/>
  <c r="AE92" i="2"/>
  <c r="V94" i="11" s="1"/>
  <c r="AD92" i="2"/>
  <c r="AC92" i="2"/>
  <c r="AB92" i="2"/>
  <c r="AA92" i="2"/>
  <c r="Z92" i="2"/>
  <c r="Y92" i="2"/>
  <c r="X92" i="2"/>
  <c r="W92" i="2"/>
  <c r="V92" i="2"/>
  <c r="U92" i="2"/>
  <c r="S92" i="2"/>
  <c r="Q92" i="2"/>
  <c r="P92" i="2"/>
  <c r="J92" i="2"/>
  <c r="F92" i="2"/>
  <c r="AF91" i="2"/>
  <c r="AE91" i="2"/>
  <c r="V93" i="11" s="1"/>
  <c r="AD91" i="2"/>
  <c r="AC91" i="2"/>
  <c r="AB91" i="2"/>
  <c r="AA91" i="2"/>
  <c r="Z91" i="2"/>
  <c r="Y91" i="2"/>
  <c r="X91" i="2"/>
  <c r="W91" i="2"/>
  <c r="V91" i="2"/>
  <c r="U91" i="2"/>
  <c r="S91" i="2"/>
  <c r="Q91" i="2"/>
  <c r="R91" i="2" s="1"/>
  <c r="P91" i="2"/>
  <c r="J91" i="2"/>
  <c r="F91" i="2"/>
  <c r="AF90" i="2"/>
  <c r="AE90" i="2"/>
  <c r="V92" i="11" s="1"/>
  <c r="AD90" i="2"/>
  <c r="AC90" i="2"/>
  <c r="AB90" i="2"/>
  <c r="AA90" i="2"/>
  <c r="Z90" i="2"/>
  <c r="Y90" i="2"/>
  <c r="X90" i="2"/>
  <c r="W90" i="2"/>
  <c r="V90" i="2"/>
  <c r="U90" i="2"/>
  <c r="S90" i="2"/>
  <c r="Q90" i="2"/>
  <c r="P90" i="2"/>
  <c r="J90" i="2"/>
  <c r="F90" i="2"/>
  <c r="AF89" i="2"/>
  <c r="AE89" i="2"/>
  <c r="V91" i="11" s="1"/>
  <c r="AD89" i="2"/>
  <c r="AC89" i="2"/>
  <c r="AB89" i="2"/>
  <c r="AA89" i="2"/>
  <c r="Z89" i="2"/>
  <c r="Y89" i="2"/>
  <c r="X89" i="2"/>
  <c r="W89" i="2"/>
  <c r="V89" i="2"/>
  <c r="U89" i="2"/>
  <c r="S89" i="2"/>
  <c r="Q89" i="2"/>
  <c r="P89" i="2"/>
  <c r="J89" i="2"/>
  <c r="F89" i="2"/>
  <c r="AF88" i="2"/>
  <c r="AE88" i="2"/>
  <c r="V90" i="11" s="1"/>
  <c r="AD88" i="2"/>
  <c r="AC88" i="2"/>
  <c r="AB88" i="2"/>
  <c r="AA88" i="2"/>
  <c r="Z88" i="2"/>
  <c r="Y88" i="2"/>
  <c r="X88" i="2"/>
  <c r="W88" i="2"/>
  <c r="V88" i="2"/>
  <c r="U88" i="2"/>
  <c r="S88" i="2"/>
  <c r="Q88" i="2"/>
  <c r="P88" i="2"/>
  <c r="J88" i="2"/>
  <c r="F88" i="2"/>
  <c r="AF87" i="2"/>
  <c r="AE87" i="2"/>
  <c r="V89" i="11" s="1"/>
  <c r="AD87" i="2"/>
  <c r="AC87" i="2"/>
  <c r="AB87" i="2"/>
  <c r="AA87" i="2"/>
  <c r="Z87" i="2"/>
  <c r="Y87" i="2"/>
  <c r="X87" i="2"/>
  <c r="W87" i="2"/>
  <c r="V87" i="2"/>
  <c r="U87" i="2"/>
  <c r="S87" i="2"/>
  <c r="Q87" i="2"/>
  <c r="P87" i="2"/>
  <c r="J87" i="2"/>
  <c r="F87" i="2"/>
  <c r="AF86" i="2"/>
  <c r="AE86" i="2"/>
  <c r="V88" i="11" s="1"/>
  <c r="AD86" i="2"/>
  <c r="AC86" i="2"/>
  <c r="AB86" i="2"/>
  <c r="AA86" i="2"/>
  <c r="Z86" i="2"/>
  <c r="Y86" i="2"/>
  <c r="X86" i="2"/>
  <c r="W86" i="2"/>
  <c r="V86" i="2"/>
  <c r="U86" i="2"/>
  <c r="S86" i="2"/>
  <c r="Q86" i="2"/>
  <c r="P86" i="2"/>
  <c r="J86" i="2"/>
  <c r="F86" i="2"/>
  <c r="AF85" i="2"/>
  <c r="AE85" i="2"/>
  <c r="V87" i="11" s="1"/>
  <c r="AD85" i="2"/>
  <c r="AC85" i="2"/>
  <c r="AB85" i="2"/>
  <c r="AA85" i="2"/>
  <c r="Z85" i="2"/>
  <c r="Y85" i="2"/>
  <c r="X85" i="2"/>
  <c r="W85" i="2"/>
  <c r="V85" i="2"/>
  <c r="U85" i="2"/>
  <c r="S85" i="2"/>
  <c r="Q85" i="2"/>
  <c r="P85" i="2"/>
  <c r="J85" i="2"/>
  <c r="F85" i="2"/>
  <c r="AF84" i="2"/>
  <c r="AE84" i="2"/>
  <c r="V86" i="11" s="1"/>
  <c r="AD84" i="2"/>
  <c r="AC84" i="2"/>
  <c r="AB84" i="2"/>
  <c r="AA84" i="2"/>
  <c r="Z84" i="2"/>
  <c r="Y84" i="2"/>
  <c r="X84" i="2"/>
  <c r="W84" i="2"/>
  <c r="V84" i="2"/>
  <c r="U84" i="2"/>
  <c r="S84" i="2"/>
  <c r="Q84" i="2"/>
  <c r="P84" i="2"/>
  <c r="J84" i="2"/>
  <c r="F84" i="2"/>
  <c r="AF83" i="2"/>
  <c r="AE83" i="2"/>
  <c r="V85" i="11" s="1"/>
  <c r="AD83" i="2"/>
  <c r="AC83" i="2"/>
  <c r="AB83" i="2"/>
  <c r="AA83" i="2"/>
  <c r="Z83" i="2"/>
  <c r="Y83" i="2"/>
  <c r="X83" i="2"/>
  <c r="W83" i="2"/>
  <c r="V83" i="2"/>
  <c r="U83" i="2"/>
  <c r="S83" i="2"/>
  <c r="Q83" i="2"/>
  <c r="P83" i="2"/>
  <c r="J83" i="2"/>
  <c r="F83" i="2"/>
  <c r="AF82" i="2"/>
  <c r="AE82" i="2"/>
  <c r="V84" i="11" s="1"/>
  <c r="AC82" i="2"/>
  <c r="X82" i="2"/>
  <c r="S82" i="2"/>
  <c r="Q82" i="2"/>
  <c r="P82" i="2"/>
  <c r="AF81" i="2"/>
  <c r="AE81" i="2"/>
  <c r="V83" i="11" s="1"/>
  <c r="AC81" i="2"/>
  <c r="AB81" i="2"/>
  <c r="Y81" i="2"/>
  <c r="S81" i="2"/>
  <c r="Q81" i="2"/>
  <c r="P81" i="2"/>
  <c r="AF80" i="2"/>
  <c r="AE80" i="2"/>
  <c r="V82" i="11" s="1"/>
  <c r="AC80" i="2"/>
  <c r="S80" i="2"/>
  <c r="Q80" i="2"/>
  <c r="P80" i="2"/>
  <c r="AF79" i="2"/>
  <c r="AE79" i="2"/>
  <c r="V81" i="11" s="1"/>
  <c r="AC79" i="2"/>
  <c r="S79" i="2"/>
  <c r="Q79" i="2"/>
  <c r="P79" i="2"/>
  <c r="AF78" i="2"/>
  <c r="AE78" i="2"/>
  <c r="V80" i="11" s="1"/>
  <c r="AC78" i="2"/>
  <c r="S78" i="2"/>
  <c r="Q78" i="2"/>
  <c r="P78" i="2"/>
  <c r="AF77" i="2"/>
  <c r="AE77" i="2"/>
  <c r="V79" i="11" s="1"/>
  <c r="AD77" i="2"/>
  <c r="U77" i="2"/>
  <c r="V77" i="2" s="1"/>
  <c r="S77" i="2"/>
  <c r="Q77" i="2"/>
  <c r="P77" i="2"/>
  <c r="AF76" i="2"/>
  <c r="AE76" i="2"/>
  <c r="V78" i="11" s="1"/>
  <c r="AC76" i="2"/>
  <c r="S76" i="2"/>
  <c r="Q76" i="2"/>
  <c r="P76" i="2"/>
  <c r="V77" i="11"/>
  <c r="V76" i="11"/>
  <c r="AF75" i="2"/>
  <c r="AE75" i="2"/>
  <c r="V75" i="11" s="1"/>
  <c r="AC75" i="2"/>
  <c r="Q75" i="2"/>
  <c r="P75" i="2"/>
  <c r="J75" i="2"/>
  <c r="F75" i="2"/>
  <c r="AF74" i="2"/>
  <c r="AE74" i="2"/>
  <c r="V74" i="11" s="1"/>
  <c r="AC74" i="2"/>
  <c r="P74" i="2"/>
  <c r="J74" i="2"/>
  <c r="F74" i="2"/>
  <c r="AF73" i="2"/>
  <c r="AE73" i="2"/>
  <c r="V73" i="11" s="1"/>
  <c r="AC73" i="2"/>
  <c r="P73" i="2"/>
  <c r="J73" i="2"/>
  <c r="F73" i="2"/>
  <c r="AF72" i="2"/>
  <c r="AE72" i="2"/>
  <c r="V72" i="11" s="1"/>
  <c r="AC72" i="2"/>
  <c r="Q72" i="2"/>
  <c r="P72" i="2"/>
  <c r="J72" i="2"/>
  <c r="F72" i="2"/>
  <c r="AF71" i="2"/>
  <c r="AE71" i="2"/>
  <c r="V71" i="11" s="1"/>
  <c r="AC71" i="2"/>
  <c r="P71" i="2"/>
  <c r="J71" i="2"/>
  <c r="F71" i="2"/>
  <c r="AF70" i="2"/>
  <c r="AE70" i="2"/>
  <c r="V70" i="11" s="1"/>
  <c r="AC70" i="2"/>
  <c r="P70" i="2"/>
  <c r="J70" i="2"/>
  <c r="F70" i="2"/>
  <c r="AF69" i="2"/>
  <c r="AE69" i="2"/>
  <c r="V69" i="11" s="1"/>
  <c r="AC69" i="2"/>
  <c r="S69" i="2"/>
  <c r="P69" i="2"/>
  <c r="J69" i="2"/>
  <c r="F69" i="2"/>
  <c r="AF68" i="2"/>
  <c r="AE68" i="2"/>
  <c r="V68" i="11" s="1"/>
  <c r="AC68" i="2"/>
  <c r="P68" i="2"/>
  <c r="J68" i="2"/>
  <c r="F68" i="2"/>
  <c r="AF67" i="2"/>
  <c r="AE67" i="2"/>
  <c r="V67" i="11" s="1"/>
  <c r="AC67" i="2"/>
  <c r="P67" i="2"/>
  <c r="J67" i="2"/>
  <c r="F67" i="2"/>
  <c r="AF66" i="2"/>
  <c r="AE66" i="2"/>
  <c r="V66" i="11" s="1"/>
  <c r="AC66" i="2"/>
  <c r="P66" i="2"/>
  <c r="J66" i="2"/>
  <c r="F66" i="2"/>
  <c r="AF65" i="2"/>
  <c r="AE65" i="2"/>
  <c r="V65" i="11" s="1"/>
  <c r="AC65" i="2"/>
  <c r="P65" i="2"/>
  <c r="J65" i="2"/>
  <c r="F65" i="2"/>
  <c r="AF64" i="2"/>
  <c r="AE64" i="2"/>
  <c r="V64" i="11" s="1"/>
  <c r="AC64" i="2"/>
  <c r="P64" i="2"/>
  <c r="J64" i="2"/>
  <c r="F64" i="2"/>
  <c r="AF63" i="2"/>
  <c r="AE63" i="2"/>
  <c r="V63" i="11" s="1"/>
  <c r="AC63" i="2"/>
  <c r="P63" i="2"/>
  <c r="J63" i="2"/>
  <c r="F63" i="2"/>
  <c r="AF62" i="2"/>
  <c r="AE62" i="2"/>
  <c r="V62" i="11" s="1"/>
  <c r="AC62" i="2"/>
  <c r="Q62" i="2"/>
  <c r="P62" i="2"/>
  <c r="J62" i="2"/>
  <c r="F62" i="2"/>
  <c r="AF61" i="2"/>
  <c r="AE61" i="2"/>
  <c r="V61" i="11" s="1"/>
  <c r="AC61" i="2"/>
  <c r="P61" i="2"/>
  <c r="J61" i="2"/>
  <c r="F61" i="2"/>
  <c r="AF60" i="2"/>
  <c r="AE60" i="2"/>
  <c r="V60" i="11" s="1"/>
  <c r="AC60" i="2"/>
  <c r="P60" i="2"/>
  <c r="J60" i="2"/>
  <c r="F60" i="2"/>
  <c r="AF59" i="2"/>
  <c r="AE59" i="2"/>
  <c r="V59" i="11" s="1"/>
  <c r="AC59" i="2"/>
  <c r="P59" i="2"/>
  <c r="J59" i="2"/>
  <c r="F59" i="2"/>
  <c r="AF58" i="2"/>
  <c r="AE58" i="2"/>
  <c r="V58" i="11" s="1"/>
  <c r="AC58" i="2"/>
  <c r="P58" i="2"/>
  <c r="J58" i="2"/>
  <c r="F58" i="2"/>
  <c r="AF57" i="2"/>
  <c r="AE57" i="2"/>
  <c r="V57" i="11" s="1"/>
  <c r="AC57" i="2"/>
  <c r="P57" i="2"/>
  <c r="J57" i="2"/>
  <c r="F57" i="2"/>
  <c r="AF56" i="2"/>
  <c r="AE56" i="2"/>
  <c r="V56" i="11" s="1"/>
  <c r="AC56" i="2"/>
  <c r="Q56" i="2"/>
  <c r="P56" i="2"/>
  <c r="J56" i="2"/>
  <c r="F56" i="2"/>
  <c r="AF55" i="2"/>
  <c r="AE55" i="2"/>
  <c r="V55" i="11" s="1"/>
  <c r="AC55" i="2"/>
  <c r="P55" i="2"/>
  <c r="J55" i="2"/>
  <c r="F55" i="2"/>
  <c r="AF54" i="2"/>
  <c r="AE54" i="2"/>
  <c r="V54" i="11" s="1"/>
  <c r="AC54" i="2"/>
  <c r="P54" i="2"/>
  <c r="J54" i="2"/>
  <c r="F54" i="2"/>
  <c r="AF53" i="2"/>
  <c r="AE53" i="2"/>
  <c r="V53" i="11" s="1"/>
  <c r="AC53" i="2"/>
  <c r="S53" i="2"/>
  <c r="P53" i="2"/>
  <c r="J53" i="2"/>
  <c r="F53" i="2"/>
  <c r="AF52" i="2"/>
  <c r="AE52" i="2"/>
  <c r="V52" i="11" s="1"/>
  <c r="AC52" i="2"/>
  <c r="P52" i="2"/>
  <c r="J52" i="2"/>
  <c r="F52" i="2"/>
  <c r="AF51" i="2"/>
  <c r="AE51" i="2"/>
  <c r="V51" i="11" s="1"/>
  <c r="AC51" i="2"/>
  <c r="P51" i="2"/>
  <c r="J51" i="2"/>
  <c r="F51" i="2"/>
  <c r="AF50" i="2"/>
  <c r="AE50" i="2"/>
  <c r="V50" i="11" s="1"/>
  <c r="AC50" i="2"/>
  <c r="P50" i="2"/>
  <c r="J50" i="2"/>
  <c r="F50" i="2"/>
  <c r="AF49" i="2"/>
  <c r="AE49" i="2"/>
  <c r="V49" i="11" s="1"/>
  <c r="AC49" i="2"/>
  <c r="P49" i="2"/>
  <c r="J49" i="2"/>
  <c r="F49" i="2"/>
  <c r="AF48" i="2"/>
  <c r="AE48" i="2"/>
  <c r="V48" i="11" s="1"/>
  <c r="AC48" i="2"/>
  <c r="P48" i="2"/>
  <c r="J48" i="2"/>
  <c r="F48" i="2"/>
  <c r="AF47" i="2"/>
  <c r="AE47" i="2"/>
  <c r="V47" i="11" s="1"/>
  <c r="AC47" i="2"/>
  <c r="W47" i="2"/>
  <c r="Z47" i="2" s="1"/>
  <c r="P47" i="2"/>
  <c r="J47" i="2"/>
  <c r="F47" i="2"/>
  <c r="AF46" i="2"/>
  <c r="AE46" i="2"/>
  <c r="V46" i="11" s="1"/>
  <c r="AC46" i="2"/>
  <c r="P46" i="2"/>
  <c r="J46" i="2"/>
  <c r="F46" i="2"/>
  <c r="AF45" i="2"/>
  <c r="AE45" i="2"/>
  <c r="V45" i="11" s="1"/>
  <c r="AC45" i="2"/>
  <c r="P45" i="2"/>
  <c r="J45" i="2"/>
  <c r="F45" i="2"/>
  <c r="AF44" i="2"/>
  <c r="AE44" i="2"/>
  <c r="V44" i="11" s="1"/>
  <c r="AD44" i="2"/>
  <c r="U44" i="2"/>
  <c r="V44" i="2" s="1"/>
  <c r="S44" i="2"/>
  <c r="P44" i="2"/>
  <c r="J44" i="2"/>
  <c r="F44" i="2"/>
  <c r="AF43" i="2"/>
  <c r="AE43" i="2"/>
  <c r="V43" i="11" s="1"/>
  <c r="P43" i="2"/>
  <c r="J43" i="2"/>
  <c r="F43" i="2"/>
  <c r="AF42" i="2"/>
  <c r="AE42" i="2"/>
  <c r="V42" i="11" s="1"/>
  <c r="AD42" i="2"/>
  <c r="U42" i="2"/>
  <c r="V42" i="2" s="1"/>
  <c r="P42" i="2"/>
  <c r="J42" i="2"/>
  <c r="F42" i="2"/>
  <c r="AF41" i="2"/>
  <c r="AE41" i="2"/>
  <c r="V41" i="11" s="1"/>
  <c r="AD41" i="2"/>
  <c r="U41" i="2"/>
  <c r="V41" i="2" s="1"/>
  <c r="P41" i="2"/>
  <c r="J41" i="2"/>
  <c r="F41" i="2"/>
  <c r="AF40" i="2"/>
  <c r="AE40" i="2"/>
  <c r="V40" i="11" s="1"/>
  <c r="AD40" i="2"/>
  <c r="U40" i="2"/>
  <c r="V40" i="2" s="1"/>
  <c r="P40" i="2"/>
  <c r="J40" i="2"/>
  <c r="F40" i="2"/>
  <c r="AF39" i="2"/>
  <c r="AE39" i="2"/>
  <c r="V39" i="11" s="1"/>
  <c r="AD39" i="2"/>
  <c r="U39" i="2"/>
  <c r="V39" i="2" s="1"/>
  <c r="Q39" i="2"/>
  <c r="P39" i="2"/>
  <c r="J39" i="2"/>
  <c r="F39" i="2"/>
  <c r="AF38" i="2"/>
  <c r="AE38" i="2"/>
  <c r="V38" i="11" s="1"/>
  <c r="AD38" i="2"/>
  <c r="U38" i="2"/>
  <c r="V38" i="2" s="1"/>
  <c r="P38" i="2"/>
  <c r="J38" i="2"/>
  <c r="F38" i="2"/>
  <c r="AF37" i="2"/>
  <c r="AE37" i="2"/>
  <c r="V37" i="11" s="1"/>
  <c r="AD37" i="2"/>
  <c r="U37" i="2"/>
  <c r="V37" i="2" s="1"/>
  <c r="P37" i="2"/>
  <c r="J37" i="2"/>
  <c r="F37" i="2"/>
  <c r="AF36" i="2"/>
  <c r="AE36" i="2"/>
  <c r="V36" i="11" s="1"/>
  <c r="AD36" i="2"/>
  <c r="U36" i="2"/>
  <c r="V36" i="2" s="1"/>
  <c r="P36" i="2"/>
  <c r="J36" i="2"/>
  <c r="F36" i="2"/>
  <c r="AF35" i="2"/>
  <c r="AE35" i="2"/>
  <c r="V35" i="11" s="1"/>
  <c r="AD35" i="2"/>
  <c r="U35" i="2"/>
  <c r="V35" i="2" s="1"/>
  <c r="P35" i="2"/>
  <c r="J35" i="2"/>
  <c r="F35" i="2"/>
  <c r="AF34" i="2"/>
  <c r="AE34" i="2"/>
  <c r="V34" i="11" s="1"/>
  <c r="AD34" i="2"/>
  <c r="U34" i="2"/>
  <c r="V34" i="2" s="1"/>
  <c r="P34" i="2"/>
  <c r="J34" i="2"/>
  <c r="F34" i="2"/>
  <c r="AF33" i="2"/>
  <c r="AE33" i="2"/>
  <c r="V33" i="11" s="1"/>
  <c r="AD33" i="2"/>
  <c r="U33" i="2"/>
  <c r="V33" i="2" s="1"/>
  <c r="P33" i="2"/>
  <c r="J33" i="2"/>
  <c r="F33" i="2"/>
  <c r="AF32" i="2"/>
  <c r="AE32" i="2"/>
  <c r="V32" i="11" s="1"/>
  <c r="AD32" i="2"/>
  <c r="U32" i="2"/>
  <c r="V32" i="2" s="1"/>
  <c r="P32" i="2"/>
  <c r="J32" i="2"/>
  <c r="F32" i="2"/>
  <c r="AF31" i="2"/>
  <c r="AE31" i="2"/>
  <c r="V31" i="11" s="1"/>
  <c r="AD31" i="2"/>
  <c r="U31" i="2"/>
  <c r="V31" i="2" s="1"/>
  <c r="P31" i="2"/>
  <c r="J31" i="2"/>
  <c r="F31" i="2"/>
  <c r="AF30" i="2"/>
  <c r="AE30" i="2"/>
  <c r="V30" i="11" s="1"/>
  <c r="P30" i="2"/>
  <c r="J30" i="2"/>
  <c r="F30" i="2"/>
  <c r="AF29" i="2"/>
  <c r="AE29" i="2"/>
  <c r="V29" i="11" s="1"/>
  <c r="AD29" i="2"/>
  <c r="U29" i="2"/>
  <c r="V29" i="2" s="1"/>
  <c r="P29" i="2"/>
  <c r="J29" i="2"/>
  <c r="F29" i="2"/>
  <c r="AF28" i="2"/>
  <c r="AE28" i="2"/>
  <c r="V28" i="11" s="1"/>
  <c r="AD28" i="2"/>
  <c r="U28" i="2"/>
  <c r="V28" i="2" s="1"/>
  <c r="P28" i="2"/>
  <c r="J28" i="2"/>
  <c r="F28" i="2"/>
  <c r="AF27" i="2"/>
  <c r="AE27" i="2"/>
  <c r="V27" i="11" s="1"/>
  <c r="AD27" i="2"/>
  <c r="U27" i="2"/>
  <c r="V27" i="2" s="1"/>
  <c r="P27" i="2"/>
  <c r="J27" i="2"/>
  <c r="F27" i="2"/>
  <c r="AF26" i="2"/>
  <c r="AE26" i="2"/>
  <c r="V26" i="11" s="1"/>
  <c r="AC26" i="2"/>
  <c r="P26" i="2"/>
  <c r="J26" i="2"/>
  <c r="F26" i="2"/>
  <c r="AF25" i="2"/>
  <c r="AE25" i="2"/>
  <c r="V25" i="11" s="1"/>
  <c r="P25" i="2"/>
  <c r="J25" i="2"/>
  <c r="F25" i="2"/>
  <c r="AF24" i="2"/>
  <c r="AE24" i="2"/>
  <c r="V24" i="11" s="1"/>
  <c r="AD24" i="2"/>
  <c r="U24" i="2"/>
  <c r="V24" i="2" s="1"/>
  <c r="P24" i="2"/>
  <c r="J24" i="2"/>
  <c r="F24" i="2"/>
  <c r="AF23" i="2"/>
  <c r="AE23" i="2"/>
  <c r="V23" i="11" s="1"/>
  <c r="AD23" i="2"/>
  <c r="U23" i="2"/>
  <c r="V23" i="2" s="1"/>
  <c r="S23" i="2"/>
  <c r="P23" i="2"/>
  <c r="J23" i="2"/>
  <c r="F23" i="2"/>
  <c r="AF22" i="2"/>
  <c r="AE22" i="2"/>
  <c r="V22" i="11" s="1"/>
  <c r="P22" i="2"/>
  <c r="J22" i="2"/>
  <c r="F22" i="2"/>
  <c r="AF21" i="2"/>
  <c r="AE21" i="2"/>
  <c r="V21" i="11" s="1"/>
  <c r="AC21" i="2"/>
  <c r="P21" i="2"/>
  <c r="J21" i="2"/>
  <c r="F21" i="2"/>
  <c r="AF20" i="2"/>
  <c r="AE20" i="2"/>
  <c r="V20" i="11" s="1"/>
  <c r="AC20" i="2"/>
  <c r="P20" i="2"/>
  <c r="J20" i="2"/>
  <c r="F20" i="2"/>
  <c r="AF19" i="2"/>
  <c r="X17" i="4" s="1"/>
  <c r="AE19" i="2"/>
  <c r="V19" i="11" s="1"/>
  <c r="AC19" i="2"/>
  <c r="P19" i="2"/>
  <c r="J19" i="2"/>
  <c r="F19" i="2"/>
  <c r="AF18" i="2"/>
  <c r="AE18" i="2"/>
  <c r="V18" i="11" s="1"/>
  <c r="P18" i="2"/>
  <c r="J18" i="2"/>
  <c r="F18" i="2"/>
  <c r="AF17" i="2"/>
  <c r="AE17" i="2"/>
  <c r="V17" i="11" s="1"/>
  <c r="AC17" i="2"/>
  <c r="P17" i="2"/>
  <c r="J17" i="2"/>
  <c r="F17" i="2"/>
  <c r="AF16" i="2"/>
  <c r="AE16" i="2"/>
  <c r="V16" i="11" s="1"/>
  <c r="AD16" i="2"/>
  <c r="U16" i="2"/>
  <c r="V16" i="2" s="1"/>
  <c r="P16" i="2"/>
  <c r="J16" i="2"/>
  <c r="F16" i="2"/>
  <c r="AF15" i="2"/>
  <c r="AE15" i="2"/>
  <c r="V15" i="11" s="1"/>
  <c r="AD15" i="2"/>
  <c r="U15" i="2"/>
  <c r="V15" i="2" s="1"/>
  <c r="P15" i="2"/>
  <c r="J15" i="2"/>
  <c r="F15" i="2"/>
  <c r="AF14" i="2"/>
  <c r="AE14" i="2"/>
  <c r="V14" i="11" s="1"/>
  <c r="AD14" i="2"/>
  <c r="U14" i="2"/>
  <c r="V14" i="2" s="1"/>
  <c r="P14" i="2"/>
  <c r="J14" i="2"/>
  <c r="F14" i="2"/>
  <c r="AF13" i="2"/>
  <c r="AE13" i="2"/>
  <c r="V13" i="11" s="1"/>
  <c r="AC13" i="2"/>
  <c r="P13" i="2"/>
  <c r="J13" i="2"/>
  <c r="F13" i="2"/>
  <c r="AF12" i="2"/>
  <c r="AE12" i="2"/>
  <c r="V12" i="11" s="1"/>
  <c r="AD12" i="2"/>
  <c r="U12" i="2"/>
  <c r="V12" i="2" s="1"/>
  <c r="P12" i="2"/>
  <c r="J12" i="2"/>
  <c r="F12" i="2"/>
  <c r="AF11" i="2"/>
  <c r="AE11" i="2"/>
  <c r="V11" i="11" s="1"/>
  <c r="P11" i="2"/>
  <c r="J11" i="2"/>
  <c r="F11" i="2"/>
  <c r="AF10" i="2"/>
  <c r="AE10" i="2"/>
  <c r="V10" i="11" s="1"/>
  <c r="P10" i="2"/>
  <c r="J10" i="2"/>
  <c r="AF9" i="2"/>
  <c r="AE9" i="2"/>
  <c r="V9" i="11" s="1"/>
  <c r="P9" i="2"/>
  <c r="J9" i="2"/>
  <c r="F9" i="2"/>
  <c r="AF8" i="2"/>
  <c r="X14" i="4" s="1"/>
  <c r="AE8" i="2"/>
  <c r="AC8" i="2"/>
  <c r="P8" i="2"/>
  <c r="J8" i="2"/>
  <c r="F8" i="2"/>
  <c r="AF7" i="2"/>
  <c r="AE7" i="2"/>
  <c r="S7" i="2"/>
  <c r="P7" i="2"/>
  <c r="J7" i="2"/>
  <c r="F7" i="2"/>
  <c r="AF6" i="2"/>
  <c r="AE6" i="2"/>
  <c r="S6" i="2"/>
  <c r="P6" i="2"/>
  <c r="J6" i="2"/>
  <c r="F6" i="2"/>
  <c r="X6" i="4"/>
  <c r="AH1" i="2"/>
  <c r="B19" i="10" s="1"/>
  <c r="AG1" i="2"/>
  <c r="B7" i="10" s="1"/>
  <c r="X25" i="4" l="1"/>
  <c r="W25" i="4"/>
  <c r="X42" i="2"/>
  <c r="G25" i="4"/>
  <c r="G15" i="4"/>
  <c r="R25" i="4"/>
  <c r="S25" i="4"/>
  <c r="J14" i="5"/>
  <c r="K14" i="5" s="1"/>
  <c r="J15" i="5"/>
  <c r="K24" i="5"/>
  <c r="L24" i="5"/>
  <c r="N24" i="5"/>
  <c r="G53" i="8"/>
  <c r="H53" i="8" s="1"/>
  <c r="G24" i="8"/>
  <c r="I24" i="8" s="1"/>
  <c r="G30" i="8"/>
  <c r="H30" i="8" s="1"/>
  <c r="G13" i="8"/>
  <c r="I13" i="8" s="1"/>
  <c r="G17" i="8"/>
  <c r="I17" i="8" s="1"/>
  <c r="G23" i="8"/>
  <c r="I23" i="8" s="1"/>
  <c r="G38" i="8"/>
  <c r="H38" i="8" s="1"/>
  <c r="G40" i="8"/>
  <c r="H40" i="8" s="1"/>
  <c r="G14" i="8"/>
  <c r="I14" i="8" s="1"/>
  <c r="G31" i="8"/>
  <c r="I31" i="8" s="1"/>
  <c r="G9" i="8"/>
  <c r="I9" i="8" s="1"/>
  <c r="C24" i="4"/>
  <c r="G11" i="8"/>
  <c r="I11" i="8" s="1"/>
  <c r="G21" i="8"/>
  <c r="I21" i="8" s="1"/>
  <c r="G28" i="8"/>
  <c r="I28" i="8" s="1"/>
  <c r="G8" i="8"/>
  <c r="I8" i="8" s="1"/>
  <c r="G16" i="8"/>
  <c r="I16" i="8" s="1"/>
  <c r="G37" i="8"/>
  <c r="H37" i="8" s="1"/>
  <c r="G48" i="8"/>
  <c r="H48" i="8" s="1"/>
  <c r="G50" i="8"/>
  <c r="H50" i="8" s="1"/>
  <c r="G10" i="8"/>
  <c r="H10" i="8" s="1"/>
  <c r="G20" i="8"/>
  <c r="I20" i="8" s="1"/>
  <c r="G15" i="8"/>
  <c r="I15" i="8" s="1"/>
  <c r="G32" i="8"/>
  <c r="H32" i="8" s="1"/>
  <c r="G47" i="8"/>
  <c r="I47" i="8" s="1"/>
  <c r="G12" i="8"/>
  <c r="I12" i="8" s="1"/>
  <c r="G22" i="8"/>
  <c r="I22" i="8" s="1"/>
  <c r="G29" i="8"/>
  <c r="H29" i="8" s="1"/>
  <c r="Y76" i="2"/>
  <c r="AA78" i="2"/>
  <c r="Y79" i="2"/>
  <c r="AB76" i="2"/>
  <c r="W77" i="2"/>
  <c r="Z77" i="2" s="1"/>
  <c r="AB69" i="2"/>
  <c r="W79" i="2"/>
  <c r="Z79" i="2" s="1"/>
  <c r="W37" i="2"/>
  <c r="Z37" i="2" s="1"/>
  <c r="X49" i="2"/>
  <c r="F24" i="4"/>
  <c r="S24" i="4"/>
  <c r="AB36" i="2"/>
  <c r="X68" i="2"/>
  <c r="G19" i="8"/>
  <c r="I19" i="8" s="1"/>
  <c r="G27" i="8"/>
  <c r="I27" i="8" s="1"/>
  <c r="G35" i="8"/>
  <c r="H35" i="8" s="1"/>
  <c r="G43" i="8"/>
  <c r="H43" i="8" s="1"/>
  <c r="G18" i="8"/>
  <c r="H18" i="8" s="1"/>
  <c r="G26" i="8"/>
  <c r="H26" i="8" s="1"/>
  <c r="G34" i="8"/>
  <c r="H34" i="8" s="1"/>
  <c r="G42" i="8"/>
  <c r="H42" i="8" s="1"/>
  <c r="G39" i="8"/>
  <c r="I39" i="8" s="1"/>
  <c r="G49" i="8"/>
  <c r="I49" i="8" s="1"/>
  <c r="G54" i="8"/>
  <c r="H54" i="8" s="1"/>
  <c r="G36" i="8"/>
  <c r="I36" i="8" s="1"/>
  <c r="G46" i="8"/>
  <c r="H46" i="8" s="1"/>
  <c r="G25" i="8"/>
  <c r="H25" i="8" s="1"/>
  <c r="G33" i="8"/>
  <c r="H33" i="8" s="1"/>
  <c r="G41" i="8"/>
  <c r="H41" i="8" s="1"/>
  <c r="G51" i="8"/>
  <c r="H51" i="8" s="1"/>
  <c r="P7" i="11"/>
  <c r="P10" i="11"/>
  <c r="P6" i="11"/>
  <c r="G59" i="8"/>
  <c r="I59" i="8" s="1"/>
  <c r="G56" i="8"/>
  <c r="H56" i="8" s="1"/>
  <c r="G58" i="8"/>
  <c r="H58" i="8" s="1"/>
  <c r="G45" i="8"/>
  <c r="I45" i="8" s="1"/>
  <c r="G55" i="8"/>
  <c r="H55" i="8" s="1"/>
  <c r="G44" i="8"/>
  <c r="H44" i="8" s="1"/>
  <c r="G52" i="8"/>
  <c r="H52" i="8" s="1"/>
  <c r="G60" i="8"/>
  <c r="I60" i="8" s="1"/>
  <c r="P15" i="11"/>
  <c r="G57" i="8"/>
  <c r="H57" i="8" s="1"/>
  <c r="H67" i="8"/>
  <c r="I67" i="8"/>
  <c r="H107" i="8"/>
  <c r="H136" i="8"/>
  <c r="H62" i="8"/>
  <c r="I62" i="8"/>
  <c r="H66" i="8"/>
  <c r="I66" i="8"/>
  <c r="H70" i="8"/>
  <c r="I70" i="8"/>
  <c r="H74" i="8"/>
  <c r="I74" i="8"/>
  <c r="H63" i="8"/>
  <c r="I63" i="8"/>
  <c r="H71" i="8"/>
  <c r="I71" i="8"/>
  <c r="R96" i="2"/>
  <c r="R150" i="2"/>
  <c r="H61" i="8"/>
  <c r="I61" i="8"/>
  <c r="H65" i="8"/>
  <c r="I65" i="8"/>
  <c r="H69" i="8"/>
  <c r="I69" i="8"/>
  <c r="H73" i="8"/>
  <c r="I73" i="8"/>
  <c r="H77" i="8"/>
  <c r="I77" i="8"/>
  <c r="H75" i="8"/>
  <c r="I75" i="8"/>
  <c r="T151" i="2"/>
  <c r="H64" i="8"/>
  <c r="I64" i="8"/>
  <c r="H68" i="8"/>
  <c r="I68" i="8"/>
  <c r="H72" i="8"/>
  <c r="I72" i="8"/>
  <c r="H76" i="8"/>
  <c r="I76" i="8"/>
  <c r="I78" i="8"/>
  <c r="I79" i="8"/>
  <c r="I80" i="8"/>
  <c r="I81" i="8"/>
  <c r="I82" i="8"/>
  <c r="I83" i="8"/>
  <c r="I84" i="8"/>
  <c r="I85" i="8"/>
  <c r="I86" i="8"/>
  <c r="I87" i="8"/>
  <c r="I88" i="8"/>
  <c r="I89" i="8"/>
  <c r="I90" i="8"/>
  <c r="I91" i="8"/>
  <c r="I92" i="8"/>
  <c r="I93" i="8"/>
  <c r="I94" i="8"/>
  <c r="I95" i="8"/>
  <c r="I96" i="8"/>
  <c r="I97" i="8"/>
  <c r="I98" i="8"/>
  <c r="I99" i="8"/>
  <c r="I100" i="8"/>
  <c r="I101" i="8"/>
  <c r="I102" i="8"/>
  <c r="I103" i="8"/>
  <c r="H104" i="8"/>
  <c r="T123" i="2"/>
  <c r="T131" i="2"/>
  <c r="T124" i="2"/>
  <c r="R125" i="2"/>
  <c r="T132" i="2"/>
  <c r="R88" i="2"/>
  <c r="R136" i="2"/>
  <c r="R145" i="2"/>
  <c r="R152" i="2"/>
  <c r="K23" i="5"/>
  <c r="L23" i="5"/>
  <c r="N23" i="5"/>
  <c r="D23" i="4"/>
  <c r="G23" i="4"/>
  <c r="X23" i="3"/>
  <c r="W23" i="4"/>
  <c r="Q22" i="4"/>
  <c r="N22" i="6"/>
  <c r="L22" i="5"/>
  <c r="N22" i="5"/>
  <c r="X22" i="3"/>
  <c r="G22" i="4"/>
  <c r="F22" i="4"/>
  <c r="X22" i="4"/>
  <c r="R22" i="4"/>
  <c r="S22" i="4"/>
  <c r="U22" i="4"/>
  <c r="V22" i="4"/>
  <c r="W22" i="4"/>
  <c r="G20" i="4"/>
  <c r="F6" i="4"/>
  <c r="M6" i="4" s="1"/>
  <c r="F21" i="4"/>
  <c r="M21" i="4" s="1"/>
  <c r="F8" i="4"/>
  <c r="L18" i="5"/>
  <c r="L20" i="5"/>
  <c r="U20" i="4"/>
  <c r="W20" i="4"/>
  <c r="X20" i="4"/>
  <c r="L21" i="5"/>
  <c r="N21" i="5"/>
  <c r="J19" i="5"/>
  <c r="K19" i="5" s="1"/>
  <c r="L19" i="5"/>
  <c r="N19" i="5"/>
  <c r="U19" i="4"/>
  <c r="X19" i="3"/>
  <c r="X17" i="2"/>
  <c r="AB16" i="2"/>
  <c r="AB29" i="2"/>
  <c r="AB50" i="2"/>
  <c r="Y57" i="2"/>
  <c r="AA63" i="2"/>
  <c r="X72" i="2"/>
  <c r="X76" i="2"/>
  <c r="Y78" i="2"/>
  <c r="AB80" i="2"/>
  <c r="X81" i="2"/>
  <c r="Y13" i="2"/>
  <c r="W26" i="2"/>
  <c r="Z26" i="2" s="1"/>
  <c r="Y40" i="2"/>
  <c r="AB48" i="2"/>
  <c r="Y55" i="2"/>
  <c r="AA61" i="2"/>
  <c r="X70" i="2"/>
  <c r="AA76" i="2"/>
  <c r="AB78" i="2"/>
  <c r="X79" i="2"/>
  <c r="AA81" i="2"/>
  <c r="W82" i="2"/>
  <c r="Z82" i="2" s="1"/>
  <c r="Y25" i="2"/>
  <c r="AA46" i="2"/>
  <c r="AB67" i="2"/>
  <c r="X77" i="2"/>
  <c r="AA79" i="2"/>
  <c r="W80" i="2"/>
  <c r="Z80" i="2" s="1"/>
  <c r="Y82" i="2"/>
  <c r="S19" i="4"/>
  <c r="X53" i="2"/>
  <c r="Y59" i="2"/>
  <c r="X66" i="2"/>
  <c r="Y74" i="2"/>
  <c r="Y77" i="2"/>
  <c r="AB79" i="2"/>
  <c r="X80" i="2"/>
  <c r="AA82" i="2"/>
  <c r="X19" i="4"/>
  <c r="AB18" i="2"/>
  <c r="Y22" i="2"/>
  <c r="Y23" i="2"/>
  <c r="AB31" i="2"/>
  <c r="W32" i="2"/>
  <c r="Z32" i="2" s="1"/>
  <c r="AA77" i="2"/>
  <c r="W78" i="2"/>
  <c r="Z78" i="2" s="1"/>
  <c r="Y80" i="2"/>
  <c r="AB82" i="2"/>
  <c r="X30" i="2"/>
  <c r="W44" i="2"/>
  <c r="Z44" i="2" s="1"/>
  <c r="X51" i="2"/>
  <c r="W64" i="2"/>
  <c r="Z64" i="2" s="1"/>
  <c r="W76" i="2"/>
  <c r="Z76" i="2" s="1"/>
  <c r="AB77" i="2"/>
  <c r="X78" i="2"/>
  <c r="AA80" i="2"/>
  <c r="W81" i="2"/>
  <c r="Z81" i="2" s="1"/>
  <c r="C19" i="4"/>
  <c r="N18" i="6"/>
  <c r="N18" i="5"/>
  <c r="D18" i="4"/>
  <c r="W6" i="2" s="1"/>
  <c r="Z6" i="2" s="1"/>
  <c r="X18" i="3"/>
  <c r="G6" i="4"/>
  <c r="T138" i="2"/>
  <c r="H115" i="8"/>
  <c r="T103" i="2"/>
  <c r="H123" i="8"/>
  <c r="T119" i="2"/>
  <c r="T105" i="2"/>
  <c r="T128" i="2"/>
  <c r="T83" i="2"/>
  <c r="R121" i="2"/>
  <c r="T129" i="2"/>
  <c r="T137" i="2"/>
  <c r="R144" i="2"/>
  <c r="H131" i="8"/>
  <c r="R94" i="2"/>
  <c r="H126" i="8"/>
  <c r="T130" i="2"/>
  <c r="T87" i="2"/>
  <c r="R110" i="2"/>
  <c r="R133" i="2"/>
  <c r="T147" i="2"/>
  <c r="T141" i="2"/>
  <c r="R89" i="2"/>
  <c r="R97" i="2"/>
  <c r="R104" i="2"/>
  <c r="R112" i="2"/>
  <c r="T127" i="2"/>
  <c r="R105" i="2"/>
  <c r="R113" i="2"/>
  <c r="R120" i="2"/>
  <c r="H110" i="8"/>
  <c r="H142" i="8"/>
  <c r="R80" i="2"/>
  <c r="R78" i="2"/>
  <c r="R81" i="2"/>
  <c r="H11" i="1"/>
  <c r="B11" i="1"/>
  <c r="R17" i="4"/>
  <c r="G17" i="4"/>
  <c r="G7" i="4"/>
  <c r="F75" i="7"/>
  <c r="F77" i="7"/>
  <c r="G9" i="4"/>
  <c r="G14" i="4"/>
  <c r="N14" i="4" s="1"/>
  <c r="U17" i="4"/>
  <c r="W17" i="4"/>
  <c r="G129" i="7"/>
  <c r="H129" i="7" s="1"/>
  <c r="N16" i="6"/>
  <c r="F43" i="7"/>
  <c r="L16" i="5"/>
  <c r="N16" i="5"/>
  <c r="K16" i="5"/>
  <c r="F27" i="7"/>
  <c r="D121" i="7"/>
  <c r="L9" i="5"/>
  <c r="L8" i="5"/>
  <c r="AA75" i="2"/>
  <c r="Y69" i="2"/>
  <c r="Y67" i="2"/>
  <c r="AB64" i="2"/>
  <c r="W63" i="2"/>
  <c r="Z63" i="2" s="1"/>
  <c r="AA62" i="2"/>
  <c r="W61" i="2"/>
  <c r="Z61" i="2" s="1"/>
  <c r="AA60" i="2"/>
  <c r="AA58" i="2"/>
  <c r="Y56" i="2"/>
  <c r="Y54" i="2"/>
  <c r="Y52" i="2"/>
  <c r="X50" i="2"/>
  <c r="X48" i="2"/>
  <c r="AB47" i="2"/>
  <c r="W46" i="2"/>
  <c r="Z46" i="2" s="1"/>
  <c r="AA45" i="2"/>
  <c r="Y38" i="2"/>
  <c r="X37" i="2"/>
  <c r="X26" i="2"/>
  <c r="AA25" i="2"/>
  <c r="AA23" i="2"/>
  <c r="W9" i="2"/>
  <c r="Z9" i="2" s="1"/>
  <c r="X75" i="2"/>
  <c r="X73" i="2"/>
  <c r="AB72" i="2"/>
  <c r="X71" i="2"/>
  <c r="AB70" i="2"/>
  <c r="W69" i="2"/>
  <c r="Z69" i="2" s="1"/>
  <c r="AB68" i="2"/>
  <c r="W67" i="2"/>
  <c r="Z67" i="2" s="1"/>
  <c r="AA66" i="2"/>
  <c r="Y62" i="2"/>
  <c r="Y60" i="2"/>
  <c r="X58" i="2"/>
  <c r="AB57" i="2"/>
  <c r="W56" i="2"/>
  <c r="Z56" i="2" s="1"/>
  <c r="AB55" i="2"/>
  <c r="W54" i="2"/>
  <c r="Z54" i="2" s="1"/>
  <c r="AA53" i="2"/>
  <c r="W52" i="2"/>
  <c r="Z52" i="2" s="1"/>
  <c r="AA51" i="2"/>
  <c r="AA49" i="2"/>
  <c r="Y45" i="2"/>
  <c r="AA36" i="2"/>
  <c r="Y35" i="2"/>
  <c r="X22" i="2"/>
  <c r="AB21" i="2"/>
  <c r="W20" i="2"/>
  <c r="Z20" i="2" s="1"/>
  <c r="Y19" i="2"/>
  <c r="AA18" i="2"/>
  <c r="W17" i="2"/>
  <c r="Z17" i="2" s="1"/>
  <c r="AA16" i="2"/>
  <c r="AA11" i="2"/>
  <c r="AB10" i="2"/>
  <c r="W75" i="2"/>
  <c r="Z75" i="2" s="1"/>
  <c r="AB74" i="2"/>
  <c r="W73" i="2"/>
  <c r="Z73" i="2" s="1"/>
  <c r="AA72" i="2"/>
  <c r="W71" i="2"/>
  <c r="Z71" i="2" s="1"/>
  <c r="AA70" i="2"/>
  <c r="AA68" i="2"/>
  <c r="Y64" i="2"/>
  <c r="X62" i="2"/>
  <c r="X60" i="2"/>
  <c r="AB59" i="2"/>
  <c r="W58" i="2"/>
  <c r="Z58" i="2" s="1"/>
  <c r="AA57" i="2"/>
  <c r="AA55" i="2"/>
  <c r="Y47" i="2"/>
  <c r="X45" i="2"/>
  <c r="Y44" i="2"/>
  <c r="AA42" i="2"/>
  <c r="X35" i="2"/>
  <c r="AB33" i="2"/>
  <c r="W22" i="2"/>
  <c r="Z22" i="2" s="1"/>
  <c r="AA21" i="2"/>
  <c r="Y16" i="2"/>
  <c r="X15" i="2"/>
  <c r="AB13" i="2"/>
  <c r="Y11" i="2"/>
  <c r="V16" i="4"/>
  <c r="AA74" i="2"/>
  <c r="Y72" i="2"/>
  <c r="Y70" i="2"/>
  <c r="Y68" i="2"/>
  <c r="Y66" i="2"/>
  <c r="X64" i="2"/>
  <c r="AB63" i="2"/>
  <c r="W62" i="2"/>
  <c r="Z62" i="2" s="1"/>
  <c r="AB61" i="2"/>
  <c r="W60" i="2"/>
  <c r="Z60" i="2" s="1"/>
  <c r="AA59" i="2"/>
  <c r="Y53" i="2"/>
  <c r="Y51" i="2"/>
  <c r="Y49" i="2"/>
  <c r="X47" i="2"/>
  <c r="AB46" i="2"/>
  <c r="W45" i="2"/>
  <c r="Z45" i="2" s="1"/>
  <c r="X44" i="2"/>
  <c r="Y42" i="2"/>
  <c r="AA40" i="2"/>
  <c r="W35" i="2"/>
  <c r="Z35" i="2" s="1"/>
  <c r="AA33" i="2"/>
  <c r="X32" i="2"/>
  <c r="W15" i="2"/>
  <c r="Z15" i="2" s="1"/>
  <c r="AA13" i="2"/>
  <c r="X11" i="2"/>
  <c r="X74" i="2"/>
  <c r="AB73" i="2"/>
  <c r="W72" i="2"/>
  <c r="Z72" i="2" s="1"/>
  <c r="AB71" i="2"/>
  <c r="W70" i="2"/>
  <c r="Z70" i="2" s="1"/>
  <c r="AA69" i="2"/>
  <c r="W68" i="2"/>
  <c r="Z68" i="2" s="1"/>
  <c r="AA67" i="2"/>
  <c r="W66" i="2"/>
  <c r="Z66" i="2" s="1"/>
  <c r="AA65" i="2"/>
  <c r="Y63" i="2"/>
  <c r="Y61" i="2"/>
  <c r="X59" i="2"/>
  <c r="X57" i="2"/>
  <c r="AB56" i="2"/>
  <c r="X55" i="2"/>
  <c r="AB54" i="2"/>
  <c r="W53" i="2"/>
  <c r="Z53" i="2" s="1"/>
  <c r="AB52" i="2"/>
  <c r="W51" i="2"/>
  <c r="Z51" i="2" s="1"/>
  <c r="AA50" i="2"/>
  <c r="W49" i="2"/>
  <c r="Z49" i="2" s="1"/>
  <c r="AA48" i="2"/>
  <c r="Y46" i="2"/>
  <c r="X40" i="2"/>
  <c r="AB38" i="2"/>
  <c r="AA31" i="2"/>
  <c r="W30" i="2"/>
  <c r="Z30" i="2" s="1"/>
  <c r="AA29" i="2"/>
  <c r="X28" i="2"/>
  <c r="AB75" i="2"/>
  <c r="W74" i="2"/>
  <c r="Z74" i="2" s="1"/>
  <c r="AA73" i="2"/>
  <c r="AA71" i="2"/>
  <c r="Y65" i="2"/>
  <c r="X63" i="2"/>
  <c r="AB62" i="2"/>
  <c r="X61" i="2"/>
  <c r="AB60" i="2"/>
  <c r="W59" i="2"/>
  <c r="Z59" i="2" s="1"/>
  <c r="AB58" i="2"/>
  <c r="W57" i="2"/>
  <c r="Z57" i="2" s="1"/>
  <c r="AA56" i="2"/>
  <c r="W55" i="2"/>
  <c r="Z55" i="2" s="1"/>
  <c r="AA54" i="2"/>
  <c r="AA52" i="2"/>
  <c r="Y50" i="2"/>
  <c r="Y48" i="2"/>
  <c r="X46" i="2"/>
  <c r="AB45" i="2"/>
  <c r="AA38" i="2"/>
  <c r="W28" i="2"/>
  <c r="Z28" i="2" s="1"/>
  <c r="AB27" i="2"/>
  <c r="Y26" i="2"/>
  <c r="AB25" i="2"/>
  <c r="AB23" i="2"/>
  <c r="Y75" i="2"/>
  <c r="Y73" i="2"/>
  <c r="Y71" i="2"/>
  <c r="X69" i="2"/>
  <c r="X67" i="2"/>
  <c r="AB66" i="2"/>
  <c r="W65" i="2"/>
  <c r="Z65" i="2" s="1"/>
  <c r="AA64" i="2"/>
  <c r="Y58" i="2"/>
  <c r="X56" i="2"/>
  <c r="X54" i="2"/>
  <c r="AB53" i="2"/>
  <c r="X52" i="2"/>
  <c r="AB51" i="2"/>
  <c r="W50" i="2"/>
  <c r="Z50" i="2" s="1"/>
  <c r="AB49" i="2"/>
  <c r="W48" i="2"/>
  <c r="Z48" i="2" s="1"/>
  <c r="AA47" i="2"/>
  <c r="F61" i="7"/>
  <c r="D53" i="7"/>
  <c r="S50" i="2"/>
  <c r="Q59" i="2"/>
  <c r="R59" i="2" s="1"/>
  <c r="D21" i="7"/>
  <c r="D113" i="7"/>
  <c r="F21" i="7"/>
  <c r="O113" i="7"/>
  <c r="Q14" i="2"/>
  <c r="T14" i="2" s="1"/>
  <c r="S24" i="2"/>
  <c r="Q45" i="2"/>
  <c r="T45" i="2" s="1"/>
  <c r="S52" i="2"/>
  <c r="S55" i="2"/>
  <c r="Q58" i="2"/>
  <c r="R58" i="2" s="1"/>
  <c r="Q61" i="2"/>
  <c r="T61" i="2" s="1"/>
  <c r="U61" i="2" s="1"/>
  <c r="V61" i="2" s="1"/>
  <c r="Q64" i="2"/>
  <c r="R64" i="2" s="1"/>
  <c r="S68" i="2"/>
  <c r="S71" i="2"/>
  <c r="Q74" i="2"/>
  <c r="R74" i="2" s="1"/>
  <c r="S14" i="2"/>
  <c r="S45" i="2"/>
  <c r="Q48" i="2"/>
  <c r="R48" i="2" s="1"/>
  <c r="Q51" i="2"/>
  <c r="R51" i="2" s="1"/>
  <c r="S58" i="2"/>
  <c r="S61" i="2"/>
  <c r="S64" i="2"/>
  <c r="Q67" i="2"/>
  <c r="T67" i="2" s="1"/>
  <c r="S74" i="2"/>
  <c r="S9" i="2"/>
  <c r="S48" i="2"/>
  <c r="S51" i="2"/>
  <c r="Q54" i="2"/>
  <c r="T54" i="2" s="1"/>
  <c r="Q57" i="2"/>
  <c r="T57" i="2" s="1"/>
  <c r="U57" i="2" s="1"/>
  <c r="V57" i="2" s="1"/>
  <c r="Q60" i="2"/>
  <c r="T60" i="2" s="1"/>
  <c r="U60" i="2" s="1"/>
  <c r="V60" i="2" s="1"/>
  <c r="S67" i="2"/>
  <c r="Q70" i="2"/>
  <c r="R70" i="2" s="1"/>
  <c r="Q73" i="2"/>
  <c r="T73" i="2" s="1"/>
  <c r="S8" i="2"/>
  <c r="Q30" i="2"/>
  <c r="T30" i="2" s="1"/>
  <c r="U30" i="2" s="1"/>
  <c r="V30" i="2" s="1"/>
  <c r="Q47" i="2"/>
  <c r="R47" i="2" s="1"/>
  <c r="S54" i="2"/>
  <c r="S57" i="2"/>
  <c r="S60" i="2"/>
  <c r="Q63" i="2"/>
  <c r="T63" i="2" s="1"/>
  <c r="U63" i="2" s="1"/>
  <c r="V63" i="2" s="1"/>
  <c r="Q66" i="2"/>
  <c r="R66" i="2" s="1"/>
  <c r="S70" i="2"/>
  <c r="S73" i="2"/>
  <c r="Q7" i="2"/>
  <c r="T7" i="2" s="1"/>
  <c r="Q18" i="2"/>
  <c r="T18" i="2" s="1"/>
  <c r="U18" i="2" s="1"/>
  <c r="V18" i="2" s="1"/>
  <c r="Q23" i="2"/>
  <c r="T23" i="2" s="1"/>
  <c r="S47" i="2"/>
  <c r="Q50" i="2"/>
  <c r="R50" i="2" s="1"/>
  <c r="Q53" i="2"/>
  <c r="R53" i="2" s="1"/>
  <c r="S63" i="2"/>
  <c r="S66" i="2"/>
  <c r="Q69" i="2"/>
  <c r="R69" i="2" s="1"/>
  <c r="Q34" i="2"/>
  <c r="T34" i="2" s="1"/>
  <c r="Q46" i="2"/>
  <c r="R46" i="2" s="1"/>
  <c r="Q49" i="2"/>
  <c r="T49" i="2" s="1"/>
  <c r="S56" i="2"/>
  <c r="S59" i="2"/>
  <c r="S62" i="2"/>
  <c r="Q65" i="2"/>
  <c r="T65" i="2" s="1"/>
  <c r="S72" i="2"/>
  <c r="S75" i="2"/>
  <c r="S11" i="2"/>
  <c r="S34" i="2"/>
  <c r="S46" i="2"/>
  <c r="S49" i="2"/>
  <c r="Q52" i="2"/>
  <c r="T52" i="2" s="1"/>
  <c r="Q55" i="2"/>
  <c r="R55" i="2" s="1"/>
  <c r="S65" i="2"/>
  <c r="Q68" i="2"/>
  <c r="R68" i="2" s="1"/>
  <c r="R75" i="2"/>
  <c r="T75" i="2"/>
  <c r="U75" i="2" s="1"/>
  <c r="V75" i="2" s="1"/>
  <c r="T72" i="2"/>
  <c r="F37" i="7"/>
  <c r="F51" i="7"/>
  <c r="D61" i="7"/>
  <c r="G119" i="7"/>
  <c r="H119" i="7" s="1"/>
  <c r="D129" i="7"/>
  <c r="W16" i="4"/>
  <c r="X9" i="2"/>
  <c r="AB11" i="2"/>
  <c r="W12" i="2"/>
  <c r="Z12" i="2" s="1"/>
  <c r="Y15" i="2"/>
  <c r="Y17" i="2"/>
  <c r="X20" i="2"/>
  <c r="AA22" i="2"/>
  <c r="W24" i="2"/>
  <c r="Z24" i="2" s="1"/>
  <c r="AA26" i="2"/>
  <c r="Y28" i="2"/>
  <c r="Y30" i="2"/>
  <c r="Y32" i="2"/>
  <c r="W34" i="2"/>
  <c r="Z34" i="2" s="1"/>
  <c r="AA35" i="2"/>
  <c r="Y37" i="2"/>
  <c r="W39" i="2"/>
  <c r="Z39" i="2" s="1"/>
  <c r="AB40" i="2"/>
  <c r="W41" i="2"/>
  <c r="Z41" i="2" s="1"/>
  <c r="AB42" i="2"/>
  <c r="W43" i="2"/>
  <c r="Z43" i="2" s="1"/>
  <c r="AA44" i="2"/>
  <c r="F45" i="7"/>
  <c r="F59" i="7"/>
  <c r="D69" i="7"/>
  <c r="O123" i="7"/>
  <c r="Y9" i="2"/>
  <c r="W10" i="2"/>
  <c r="Z10" i="2" s="1"/>
  <c r="X12" i="2"/>
  <c r="W14" i="2"/>
  <c r="Z14" i="2" s="1"/>
  <c r="AA17" i="2"/>
  <c r="Y20" i="2"/>
  <c r="AB22" i="2"/>
  <c r="X24" i="2"/>
  <c r="AB26" i="2"/>
  <c r="W27" i="2"/>
  <c r="Z27" i="2" s="1"/>
  <c r="AA28" i="2"/>
  <c r="AA30" i="2"/>
  <c r="AA32" i="2"/>
  <c r="X34" i="2"/>
  <c r="AB35" i="2"/>
  <c r="AA37" i="2"/>
  <c r="X39" i="2"/>
  <c r="X41" i="2"/>
  <c r="X43" i="2"/>
  <c r="AB44" i="2"/>
  <c r="F19" i="7"/>
  <c r="D29" i="7"/>
  <c r="F69" i="7"/>
  <c r="AA9" i="2"/>
  <c r="X10" i="2"/>
  <c r="Y12" i="2"/>
  <c r="X14" i="2"/>
  <c r="AA15" i="2"/>
  <c r="AB17" i="2"/>
  <c r="W18" i="2"/>
  <c r="Z18" i="2" s="1"/>
  <c r="AA20" i="2"/>
  <c r="W21" i="2"/>
  <c r="Z21" i="2" s="1"/>
  <c r="Y24" i="2"/>
  <c r="X27" i="2"/>
  <c r="AB28" i="2"/>
  <c r="W29" i="2"/>
  <c r="Z29" i="2" s="1"/>
  <c r="AB30" i="2"/>
  <c r="W31" i="2"/>
  <c r="Z31" i="2" s="1"/>
  <c r="AB32" i="2"/>
  <c r="W33" i="2"/>
  <c r="Z33" i="2" s="1"/>
  <c r="Y34" i="2"/>
  <c r="W36" i="2"/>
  <c r="Z36" i="2" s="1"/>
  <c r="AB37" i="2"/>
  <c r="Y39" i="2"/>
  <c r="Y41" i="2"/>
  <c r="Y43" i="2"/>
  <c r="AC43" i="2" s="1"/>
  <c r="F29" i="7"/>
  <c r="D45" i="7"/>
  <c r="AB9" i="2"/>
  <c r="Y10" i="2"/>
  <c r="AA12" i="2"/>
  <c r="W13" i="2"/>
  <c r="Z13" i="2" s="1"/>
  <c r="Y14" i="2"/>
  <c r="AB15" i="2"/>
  <c r="W16" i="2"/>
  <c r="Z16" i="2" s="1"/>
  <c r="X18" i="2"/>
  <c r="AB20" i="2"/>
  <c r="X21" i="2"/>
  <c r="W23" i="2"/>
  <c r="Z23" i="2" s="1"/>
  <c r="AA24" i="2"/>
  <c r="W25" i="2"/>
  <c r="Z25" i="2" s="1"/>
  <c r="Y27" i="2"/>
  <c r="X29" i="2"/>
  <c r="X31" i="2"/>
  <c r="X33" i="2"/>
  <c r="AA34" i="2"/>
  <c r="X36" i="2"/>
  <c r="W38" i="2"/>
  <c r="Z38" i="2" s="1"/>
  <c r="AA39" i="2"/>
  <c r="AA41" i="2"/>
  <c r="AA43" i="2"/>
  <c r="F53" i="7"/>
  <c r="F67" i="7"/>
  <c r="D77" i="7"/>
  <c r="O121" i="7"/>
  <c r="X16" i="4"/>
  <c r="F35" i="7"/>
  <c r="AA10" i="2"/>
  <c r="W11" i="2"/>
  <c r="Z11" i="2" s="1"/>
  <c r="AB12" i="2"/>
  <c r="X13" i="2"/>
  <c r="AA14" i="2"/>
  <c r="X16" i="2"/>
  <c r="Y18" i="2"/>
  <c r="W19" i="2"/>
  <c r="Z19" i="2" s="1"/>
  <c r="Y21" i="2"/>
  <c r="X23" i="2"/>
  <c r="AB24" i="2"/>
  <c r="X25" i="2"/>
  <c r="AA27" i="2"/>
  <c r="Y29" i="2"/>
  <c r="Y31" i="2"/>
  <c r="Y33" i="2"/>
  <c r="AB34" i="2"/>
  <c r="Y36" i="2"/>
  <c r="X38" i="2"/>
  <c r="AB39" i="2"/>
  <c r="W40" i="2"/>
  <c r="Z40" i="2" s="1"/>
  <c r="AB41" i="2"/>
  <c r="W42" i="2"/>
  <c r="Z42" i="2" s="1"/>
  <c r="AB43" i="2"/>
  <c r="F16" i="4"/>
  <c r="M16" i="4" s="1"/>
  <c r="S16" i="4"/>
  <c r="D37" i="7"/>
  <c r="S5" i="2"/>
  <c r="Q5" i="2"/>
  <c r="S41" i="2"/>
  <c r="R39" i="2"/>
  <c r="T62" i="2"/>
  <c r="U62" i="2" s="1"/>
  <c r="V62" i="2" s="1"/>
  <c r="T135" i="2"/>
  <c r="T139" i="2"/>
  <c r="Q26" i="2"/>
  <c r="T26" i="2" s="1"/>
  <c r="T86" i="2"/>
  <c r="T92" i="2"/>
  <c r="T120" i="2"/>
  <c r="T56" i="2"/>
  <c r="T88" i="2"/>
  <c r="R107" i="2"/>
  <c r="T114" i="2"/>
  <c r="T122" i="2"/>
  <c r="T145" i="2"/>
  <c r="R129" i="2"/>
  <c r="R146" i="2"/>
  <c r="T152" i="2"/>
  <c r="Q11" i="2"/>
  <c r="R11" i="2" s="1"/>
  <c r="S21" i="2"/>
  <c r="Q43" i="2"/>
  <c r="R43" i="2" s="1"/>
  <c r="T81" i="2"/>
  <c r="T82" i="2"/>
  <c r="T89" i="2"/>
  <c r="T76" i="2"/>
  <c r="U76" i="2" s="1"/>
  <c r="V76" i="2" s="1"/>
  <c r="R137" i="2"/>
  <c r="R141" i="2"/>
  <c r="H5" i="8"/>
  <c r="K15" i="1" s="1"/>
  <c r="T90" i="2"/>
  <c r="T118" i="2"/>
  <c r="T102" i="2"/>
  <c r="S40" i="2"/>
  <c r="Q6" i="2"/>
  <c r="T6" i="2" s="1"/>
  <c r="S12" i="2"/>
  <c r="S17" i="2"/>
  <c r="S22" i="2"/>
  <c r="Q25" i="2"/>
  <c r="T25" i="2" s="1"/>
  <c r="U25" i="2" s="1"/>
  <c r="V25" i="2" s="1"/>
  <c r="S28" i="2"/>
  <c r="Q31" i="2"/>
  <c r="T31" i="2" s="1"/>
  <c r="S32" i="2"/>
  <c r="S37" i="2"/>
  <c r="Q41" i="2"/>
  <c r="R41" i="2" s="1"/>
  <c r="Q8" i="2"/>
  <c r="T8" i="2" s="1"/>
  <c r="U8" i="2" s="1"/>
  <c r="V8" i="2" s="1"/>
  <c r="Q9" i="2"/>
  <c r="T9" i="2" s="1"/>
  <c r="S15" i="2"/>
  <c r="S16" i="2"/>
  <c r="Q21" i="2"/>
  <c r="R21" i="2" s="1"/>
  <c r="Q24" i="2"/>
  <c r="R24" i="2" s="1"/>
  <c r="S27" i="2"/>
  <c r="S35" i="2"/>
  <c r="Q40" i="2"/>
  <c r="T40" i="2" s="1"/>
  <c r="Q44" i="2"/>
  <c r="R44" i="2" s="1"/>
  <c r="S18" i="2"/>
  <c r="Q20" i="2"/>
  <c r="R20" i="2" s="1"/>
  <c r="S26" i="2"/>
  <c r="S30" i="2"/>
  <c r="Q33" i="2"/>
  <c r="T33" i="2" s="1"/>
  <c r="Q38" i="2"/>
  <c r="R38" i="2" s="1"/>
  <c r="S39" i="2"/>
  <c r="S43" i="2"/>
  <c r="Q13" i="2"/>
  <c r="T13" i="2" s="1"/>
  <c r="S20" i="2"/>
  <c r="Q29" i="2"/>
  <c r="R29" i="2" s="1"/>
  <c r="S33" i="2"/>
  <c r="S38" i="2"/>
  <c r="Q42" i="2"/>
  <c r="T42" i="2" s="1"/>
  <c r="Q10" i="2"/>
  <c r="T10" i="2" s="1"/>
  <c r="U10" i="2" s="1"/>
  <c r="V10" i="2" s="1"/>
  <c r="Q12" i="2"/>
  <c r="R12" i="2" s="1"/>
  <c r="S13" i="2"/>
  <c r="Q17" i="2"/>
  <c r="T17" i="2" s="1"/>
  <c r="U17" i="2" s="1"/>
  <c r="V17" i="2" s="1"/>
  <c r="Q22" i="2"/>
  <c r="R22" i="2" s="1"/>
  <c r="Q28" i="2"/>
  <c r="T28" i="2" s="1"/>
  <c r="S29" i="2"/>
  <c r="Q32" i="2"/>
  <c r="T32" i="2" s="1"/>
  <c r="Q37" i="2"/>
  <c r="T37" i="2" s="1"/>
  <c r="S42" i="2"/>
  <c r="O2" i="1"/>
  <c r="S10" i="2"/>
  <c r="Q19" i="2"/>
  <c r="R19" i="2" s="1"/>
  <c r="Q36" i="2"/>
  <c r="R36" i="2" s="1"/>
  <c r="Q15" i="2"/>
  <c r="T15" i="2" s="1"/>
  <c r="Q16" i="2"/>
  <c r="T16" i="2" s="1"/>
  <c r="S19" i="2"/>
  <c r="S25" i="2"/>
  <c r="Q27" i="2"/>
  <c r="T27" i="2" s="1"/>
  <c r="S31" i="2"/>
  <c r="Q35" i="2"/>
  <c r="R35" i="2" s="1"/>
  <c r="S36" i="2"/>
  <c r="T78" i="2"/>
  <c r="T79" i="2"/>
  <c r="R83" i="2"/>
  <c r="T94" i="2"/>
  <c r="T95" i="2"/>
  <c r="R99" i="2"/>
  <c r="T110" i="2"/>
  <c r="T111" i="2"/>
  <c r="R115" i="2"/>
  <c r="R126" i="2"/>
  <c r="R130" i="2"/>
  <c r="R135" i="2"/>
  <c r="R139" i="2"/>
  <c r="R148" i="2"/>
  <c r="R149" i="2"/>
  <c r="D19" i="7"/>
  <c r="D27" i="7"/>
  <c r="D35" i="7"/>
  <c r="D43" i="7"/>
  <c r="D51" i="7"/>
  <c r="D59" i="7"/>
  <c r="D67" i="7"/>
  <c r="D75" i="7"/>
  <c r="O99" i="7"/>
  <c r="D119" i="7"/>
  <c r="R71" i="2"/>
  <c r="T80" i="2"/>
  <c r="T84" i="2"/>
  <c r="R85" i="2"/>
  <c r="R90" i="2"/>
  <c r="T96" i="2"/>
  <c r="T99" i="2"/>
  <c r="T100" i="2"/>
  <c r="R101" i="2"/>
  <c r="R106" i="2"/>
  <c r="T112" i="2"/>
  <c r="T115" i="2"/>
  <c r="T116" i="2"/>
  <c r="R117" i="2"/>
  <c r="R131" i="2"/>
  <c r="T136" i="2"/>
  <c r="R140" i="2"/>
  <c r="D17" i="7"/>
  <c r="D25" i="7"/>
  <c r="D33" i="7"/>
  <c r="D41" i="7"/>
  <c r="D49" i="7"/>
  <c r="D57" i="7"/>
  <c r="D65" i="7"/>
  <c r="D73" i="7"/>
  <c r="D85" i="7"/>
  <c r="O103" i="7"/>
  <c r="H109" i="8"/>
  <c r="H125" i="8"/>
  <c r="H141" i="8"/>
  <c r="R56" i="2"/>
  <c r="R72" i="2"/>
  <c r="R86" i="2"/>
  <c r="R102" i="2"/>
  <c r="R118" i="2"/>
  <c r="R122" i="2"/>
  <c r="R127" i="2"/>
  <c r="F17" i="7"/>
  <c r="F25" i="7"/>
  <c r="F33" i="7"/>
  <c r="F41" i="7"/>
  <c r="F49" i="7"/>
  <c r="F57" i="7"/>
  <c r="F65" i="7"/>
  <c r="F73" i="7"/>
  <c r="G85" i="7"/>
  <c r="H85" i="7" s="1"/>
  <c r="G125" i="7"/>
  <c r="H125" i="7" s="1"/>
  <c r="E131" i="7"/>
  <c r="D23" i="7"/>
  <c r="D31" i="7"/>
  <c r="D39" i="7"/>
  <c r="D47" i="7"/>
  <c r="D55" i="7"/>
  <c r="D63" i="7"/>
  <c r="D71" i="7"/>
  <c r="D79" i="7"/>
  <c r="O125" i="7"/>
  <c r="H118" i="8"/>
  <c r="H134" i="8"/>
  <c r="H150" i="8"/>
  <c r="R123" i="2"/>
  <c r="R128" i="2"/>
  <c r="R134" i="2"/>
  <c r="F23" i="7"/>
  <c r="F31" i="7"/>
  <c r="F39" i="7"/>
  <c r="F47" i="7"/>
  <c r="F55" i="7"/>
  <c r="F63" i="7"/>
  <c r="F71" i="7"/>
  <c r="G79" i="7"/>
  <c r="H79" i="7" s="1"/>
  <c r="O101" i="7"/>
  <c r="G123" i="7"/>
  <c r="H123" i="7" s="1"/>
  <c r="R77" i="2"/>
  <c r="R82" i="2"/>
  <c r="T91" i="2"/>
  <c r="R93" i="2"/>
  <c r="R98" i="2"/>
  <c r="T104" i="2"/>
  <c r="T107" i="2"/>
  <c r="T108" i="2"/>
  <c r="R109" i="2"/>
  <c r="R114" i="2"/>
  <c r="R119" i="2"/>
  <c r="T142" i="2"/>
  <c r="R143" i="2"/>
  <c r="R147" i="2"/>
  <c r="I5" i="8"/>
  <c r="H106" i="8"/>
  <c r="H112" i="8"/>
  <c r="H122" i="8"/>
  <c r="H128" i="8"/>
  <c r="H138" i="8"/>
  <c r="H144" i="8"/>
  <c r="H154" i="8"/>
  <c r="D107" i="7"/>
  <c r="D117" i="7"/>
  <c r="D83" i="7"/>
  <c r="E107" i="7"/>
  <c r="D115" i="7"/>
  <c r="G117" i="7"/>
  <c r="H117" i="7" s="1"/>
  <c r="O119" i="7"/>
  <c r="G131" i="7"/>
  <c r="H131" i="7" s="1"/>
  <c r="X11" i="3"/>
  <c r="G83" i="7"/>
  <c r="H83" i="7" s="1"/>
  <c r="G107" i="7"/>
  <c r="H107" i="7" s="1"/>
  <c r="G115" i="7"/>
  <c r="H115" i="7" s="1"/>
  <c r="O117" i="7"/>
  <c r="X14" i="3"/>
  <c r="D18" i="7"/>
  <c r="D20" i="7"/>
  <c r="D22" i="7"/>
  <c r="D24" i="7"/>
  <c r="D26" i="7"/>
  <c r="D28" i="7"/>
  <c r="D30" i="7"/>
  <c r="D32" i="7"/>
  <c r="D34" i="7"/>
  <c r="D36" i="7"/>
  <c r="D38" i="7"/>
  <c r="D40" i="7"/>
  <c r="D42" i="7"/>
  <c r="D44" i="7"/>
  <c r="D46" i="7"/>
  <c r="D48" i="7"/>
  <c r="D50" i="7"/>
  <c r="D52" i="7"/>
  <c r="D54" i="7"/>
  <c r="D56" i="7"/>
  <c r="D58" i="7"/>
  <c r="D60" i="7"/>
  <c r="D62" i="7"/>
  <c r="D64" i="7"/>
  <c r="D66" i="7"/>
  <c r="D68" i="7"/>
  <c r="D70" i="7"/>
  <c r="D72" i="7"/>
  <c r="D74" i="7"/>
  <c r="D76" i="7"/>
  <c r="D78" i="7"/>
  <c r="D93" i="7"/>
  <c r="D99" i="7"/>
  <c r="D101" i="7"/>
  <c r="D103" i="7"/>
  <c r="O107" i="7"/>
  <c r="O115" i="7"/>
  <c r="F18" i="7"/>
  <c r="F20" i="7"/>
  <c r="F22" i="7"/>
  <c r="F24" i="7"/>
  <c r="F26" i="7"/>
  <c r="F28" i="7"/>
  <c r="F30" i="7"/>
  <c r="F32" i="7"/>
  <c r="F34" i="7"/>
  <c r="F36" i="7"/>
  <c r="F38" i="7"/>
  <c r="F40" i="7"/>
  <c r="F42" i="7"/>
  <c r="F44" i="7"/>
  <c r="F46" i="7"/>
  <c r="F48" i="7"/>
  <c r="F50" i="7"/>
  <c r="F52" i="7"/>
  <c r="F54" i="7"/>
  <c r="F56" i="7"/>
  <c r="F58" i="7"/>
  <c r="F60" i="7"/>
  <c r="F62" i="7"/>
  <c r="F64" i="7"/>
  <c r="F66" i="7"/>
  <c r="F68" i="7"/>
  <c r="F70" i="7"/>
  <c r="F72" i="7"/>
  <c r="F74" i="7"/>
  <c r="F76" i="7"/>
  <c r="F78" i="7"/>
  <c r="E93" i="7"/>
  <c r="E99" i="7"/>
  <c r="E101" i="7"/>
  <c r="E103" i="7"/>
  <c r="D125" i="7"/>
  <c r="E127" i="7"/>
  <c r="G93" i="7"/>
  <c r="H93" i="7" s="1"/>
  <c r="G99" i="7"/>
  <c r="H99" i="7" s="1"/>
  <c r="G101" i="7"/>
  <c r="H101" i="7" s="1"/>
  <c r="G103" i="7"/>
  <c r="H103" i="7" s="1"/>
  <c r="D123" i="7"/>
  <c r="E125" i="7"/>
  <c r="G127" i="7"/>
  <c r="H127" i="7" s="1"/>
  <c r="X7" i="3"/>
  <c r="F109" i="7"/>
  <c r="O109" i="7"/>
  <c r="G109" i="7"/>
  <c r="H109" i="7" s="1"/>
  <c r="E109" i="7"/>
  <c r="D109" i="7"/>
  <c r="F81" i="7"/>
  <c r="O81" i="7"/>
  <c r="D81" i="7"/>
  <c r="G81" i="7"/>
  <c r="H81" i="7" s="1"/>
  <c r="F87" i="7"/>
  <c r="O87" i="7"/>
  <c r="G87" i="7"/>
  <c r="H87" i="7" s="1"/>
  <c r="D87" i="7"/>
  <c r="F95" i="7"/>
  <c r="O95" i="7"/>
  <c r="G95" i="7"/>
  <c r="H95" i="7" s="1"/>
  <c r="E95" i="7"/>
  <c r="D95" i="7"/>
  <c r="F105" i="7"/>
  <c r="O105" i="7"/>
  <c r="G105" i="7"/>
  <c r="H105" i="7" s="1"/>
  <c r="D105" i="7"/>
  <c r="F91" i="7"/>
  <c r="O91" i="7"/>
  <c r="G91" i="7"/>
  <c r="H91" i="7" s="1"/>
  <c r="D91" i="7"/>
  <c r="E91" i="7"/>
  <c r="F97" i="7"/>
  <c r="O97" i="7"/>
  <c r="G97" i="7"/>
  <c r="H97" i="7" s="1"/>
  <c r="D97" i="7"/>
  <c r="F89" i="7"/>
  <c r="O89" i="7"/>
  <c r="D89" i="7"/>
  <c r="X6" i="3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67" i="7"/>
  <c r="E68" i="7"/>
  <c r="E69" i="7"/>
  <c r="E70" i="7"/>
  <c r="E71" i="7"/>
  <c r="E72" i="7"/>
  <c r="E73" i="7"/>
  <c r="E74" i="7"/>
  <c r="E75" i="7"/>
  <c r="E76" i="7"/>
  <c r="E77" i="7"/>
  <c r="E78" i="7"/>
  <c r="E79" i="7"/>
  <c r="E83" i="7"/>
  <c r="E85" i="7"/>
  <c r="O127" i="7"/>
  <c r="O129" i="7"/>
  <c r="O131" i="7"/>
  <c r="G17" i="7"/>
  <c r="H17" i="7" s="1"/>
  <c r="G18" i="7"/>
  <c r="H18" i="7" s="1"/>
  <c r="G19" i="7"/>
  <c r="H19" i="7" s="1"/>
  <c r="G20" i="7"/>
  <c r="H20" i="7" s="1"/>
  <c r="G21" i="7"/>
  <c r="H21" i="7" s="1"/>
  <c r="G22" i="7"/>
  <c r="H22" i="7" s="1"/>
  <c r="G23" i="7"/>
  <c r="H23" i="7" s="1"/>
  <c r="G24" i="7"/>
  <c r="H24" i="7" s="1"/>
  <c r="G25" i="7"/>
  <c r="H25" i="7" s="1"/>
  <c r="G26" i="7"/>
  <c r="H26" i="7" s="1"/>
  <c r="G27" i="7"/>
  <c r="H27" i="7" s="1"/>
  <c r="G28" i="7"/>
  <c r="H28" i="7" s="1"/>
  <c r="G29" i="7"/>
  <c r="H29" i="7" s="1"/>
  <c r="G30" i="7"/>
  <c r="H30" i="7" s="1"/>
  <c r="G31" i="7"/>
  <c r="H31" i="7" s="1"/>
  <c r="G32" i="7"/>
  <c r="H32" i="7" s="1"/>
  <c r="G33" i="7"/>
  <c r="H33" i="7" s="1"/>
  <c r="G34" i="7"/>
  <c r="H34" i="7" s="1"/>
  <c r="G35" i="7"/>
  <c r="H35" i="7" s="1"/>
  <c r="G36" i="7"/>
  <c r="H36" i="7" s="1"/>
  <c r="G37" i="7"/>
  <c r="H37" i="7" s="1"/>
  <c r="G38" i="7"/>
  <c r="H38" i="7" s="1"/>
  <c r="G39" i="7"/>
  <c r="H39" i="7" s="1"/>
  <c r="G40" i="7"/>
  <c r="H40" i="7" s="1"/>
  <c r="G41" i="7"/>
  <c r="H41" i="7" s="1"/>
  <c r="G42" i="7"/>
  <c r="H42" i="7" s="1"/>
  <c r="G43" i="7"/>
  <c r="H43" i="7" s="1"/>
  <c r="G44" i="7"/>
  <c r="H44" i="7" s="1"/>
  <c r="G45" i="7"/>
  <c r="H45" i="7" s="1"/>
  <c r="G46" i="7"/>
  <c r="H46" i="7" s="1"/>
  <c r="G47" i="7"/>
  <c r="H47" i="7" s="1"/>
  <c r="G48" i="7"/>
  <c r="H48" i="7" s="1"/>
  <c r="G49" i="7"/>
  <c r="H49" i="7" s="1"/>
  <c r="G50" i="7"/>
  <c r="H50" i="7" s="1"/>
  <c r="G51" i="7"/>
  <c r="H51" i="7" s="1"/>
  <c r="G52" i="7"/>
  <c r="H52" i="7" s="1"/>
  <c r="G53" i="7"/>
  <c r="H53" i="7" s="1"/>
  <c r="G54" i="7"/>
  <c r="H54" i="7" s="1"/>
  <c r="G55" i="7"/>
  <c r="H55" i="7" s="1"/>
  <c r="G56" i="7"/>
  <c r="H56" i="7" s="1"/>
  <c r="G57" i="7"/>
  <c r="H57" i="7" s="1"/>
  <c r="G58" i="7"/>
  <c r="H58" i="7" s="1"/>
  <c r="G59" i="7"/>
  <c r="H59" i="7" s="1"/>
  <c r="G60" i="7"/>
  <c r="H60" i="7" s="1"/>
  <c r="G61" i="7"/>
  <c r="H61" i="7" s="1"/>
  <c r="G62" i="7"/>
  <c r="H62" i="7" s="1"/>
  <c r="G63" i="7"/>
  <c r="H63" i="7" s="1"/>
  <c r="G64" i="7"/>
  <c r="H64" i="7" s="1"/>
  <c r="G65" i="7"/>
  <c r="H65" i="7" s="1"/>
  <c r="G66" i="7"/>
  <c r="H66" i="7" s="1"/>
  <c r="G67" i="7"/>
  <c r="H67" i="7" s="1"/>
  <c r="G68" i="7"/>
  <c r="H68" i="7" s="1"/>
  <c r="G69" i="7"/>
  <c r="H69" i="7" s="1"/>
  <c r="G70" i="7"/>
  <c r="H70" i="7" s="1"/>
  <c r="G71" i="7"/>
  <c r="H71" i="7" s="1"/>
  <c r="G72" i="7"/>
  <c r="H72" i="7" s="1"/>
  <c r="G73" i="7"/>
  <c r="H73" i="7" s="1"/>
  <c r="G74" i="7"/>
  <c r="H74" i="7" s="1"/>
  <c r="G75" i="7"/>
  <c r="H75" i="7" s="1"/>
  <c r="G76" i="7"/>
  <c r="H76" i="7" s="1"/>
  <c r="G77" i="7"/>
  <c r="H77" i="7" s="1"/>
  <c r="G78" i="7"/>
  <c r="H78" i="7" s="1"/>
  <c r="O79" i="7"/>
  <c r="O83" i="7"/>
  <c r="O85" i="7"/>
  <c r="D111" i="7"/>
  <c r="X15" i="3"/>
  <c r="O93" i="7"/>
  <c r="E111" i="7"/>
  <c r="G111" i="7"/>
  <c r="H111" i="7" s="1"/>
  <c r="G113" i="7"/>
  <c r="H113" i="7" s="1"/>
  <c r="E115" i="7"/>
  <c r="E117" i="7"/>
  <c r="E119" i="7"/>
  <c r="G121" i="7"/>
  <c r="H121" i="7" s="1"/>
  <c r="E123" i="7"/>
  <c r="D127" i="7"/>
  <c r="D131" i="7"/>
  <c r="O111" i="7"/>
  <c r="AD6" i="2"/>
  <c r="X9" i="3"/>
  <c r="X17" i="3"/>
  <c r="X25" i="3"/>
  <c r="V31" i="3"/>
  <c r="X33" i="3"/>
  <c r="V33" i="3"/>
  <c r="V39" i="3"/>
  <c r="X41" i="3"/>
  <c r="V41" i="3"/>
  <c r="V47" i="3"/>
  <c r="X49" i="3"/>
  <c r="V49" i="3"/>
  <c r="V55" i="3"/>
  <c r="X57" i="3"/>
  <c r="V57" i="3"/>
  <c r="V63" i="3"/>
  <c r="X65" i="3"/>
  <c r="V65" i="3"/>
  <c r="V71" i="3"/>
  <c r="X73" i="3"/>
  <c r="V73" i="3"/>
  <c r="V79" i="3"/>
  <c r="X81" i="3"/>
  <c r="V81" i="3"/>
  <c r="V87" i="3"/>
  <c r="X89" i="3"/>
  <c r="V89" i="3"/>
  <c r="V95" i="3"/>
  <c r="X97" i="3"/>
  <c r="V97" i="3"/>
  <c r="V103" i="3"/>
  <c r="X105" i="3"/>
  <c r="V105" i="3"/>
  <c r="V111" i="3"/>
  <c r="X113" i="3"/>
  <c r="W113" i="3"/>
  <c r="V113" i="3"/>
  <c r="W136" i="3"/>
  <c r="V138" i="3"/>
  <c r="X145" i="3"/>
  <c r="W145" i="3"/>
  <c r="V145" i="3"/>
  <c r="V6" i="11"/>
  <c r="W7" i="4"/>
  <c r="T39" i="2"/>
  <c r="T71" i="2"/>
  <c r="T77" i="2"/>
  <c r="T85" i="2"/>
  <c r="T93" i="2"/>
  <c r="T101" i="2"/>
  <c r="T109" i="2"/>
  <c r="T117" i="2"/>
  <c r="T125" i="2"/>
  <c r="T133" i="2"/>
  <c r="T134" i="2"/>
  <c r="T143" i="2"/>
  <c r="T144" i="2"/>
  <c r="T149" i="2"/>
  <c r="T150" i="2"/>
  <c r="W31" i="3"/>
  <c r="W39" i="3"/>
  <c r="W47" i="3"/>
  <c r="W55" i="3"/>
  <c r="W63" i="3"/>
  <c r="W71" i="3"/>
  <c r="W79" i="3"/>
  <c r="W87" i="3"/>
  <c r="W95" i="3"/>
  <c r="W103" i="3"/>
  <c r="W111" i="3"/>
  <c r="X125" i="3"/>
  <c r="W125" i="3"/>
  <c r="V125" i="3"/>
  <c r="X136" i="3"/>
  <c r="W138" i="3"/>
  <c r="W8" i="4"/>
  <c r="T140" i="2"/>
  <c r="W28" i="3"/>
  <c r="W36" i="3"/>
  <c r="W44" i="3"/>
  <c r="W52" i="3"/>
  <c r="W60" i="3"/>
  <c r="W68" i="3"/>
  <c r="W76" i="3"/>
  <c r="W84" i="3"/>
  <c r="W92" i="3"/>
  <c r="W100" i="3"/>
  <c r="W108" i="3"/>
  <c r="X116" i="3"/>
  <c r="W118" i="3"/>
  <c r="W128" i="3"/>
  <c r="V130" i="3"/>
  <c r="X137" i="3"/>
  <c r="W137" i="3"/>
  <c r="V137" i="3"/>
  <c r="X148" i="3"/>
  <c r="W150" i="3"/>
  <c r="X117" i="3"/>
  <c r="W117" i="3"/>
  <c r="V117" i="3"/>
  <c r="X149" i="3"/>
  <c r="W149" i="3"/>
  <c r="V149" i="3"/>
  <c r="V7" i="11"/>
  <c r="W9" i="4"/>
  <c r="W12" i="4"/>
  <c r="R62" i="2"/>
  <c r="R76" i="2"/>
  <c r="R84" i="2"/>
  <c r="R92" i="2"/>
  <c r="R100" i="2"/>
  <c r="R108" i="2"/>
  <c r="R116" i="2"/>
  <c r="R124" i="2"/>
  <c r="R132" i="2"/>
  <c r="R142" i="2"/>
  <c r="B9" i="10"/>
  <c r="X5" i="3"/>
  <c r="X10" i="3"/>
  <c r="X13" i="3"/>
  <c r="X21" i="3"/>
  <c r="V27" i="3"/>
  <c r="X29" i="3"/>
  <c r="V29" i="3"/>
  <c r="W30" i="3"/>
  <c r="V35" i="3"/>
  <c r="X37" i="3"/>
  <c r="V37" i="3"/>
  <c r="W38" i="3"/>
  <c r="V43" i="3"/>
  <c r="X45" i="3"/>
  <c r="V45" i="3"/>
  <c r="W46" i="3"/>
  <c r="V51" i="3"/>
  <c r="X53" i="3"/>
  <c r="V53" i="3"/>
  <c r="W54" i="3"/>
  <c r="V59" i="3"/>
  <c r="X61" i="3"/>
  <c r="V61" i="3"/>
  <c r="W62" i="3"/>
  <c r="V67" i="3"/>
  <c r="X69" i="3"/>
  <c r="V69" i="3"/>
  <c r="W70" i="3"/>
  <c r="V75" i="3"/>
  <c r="X77" i="3"/>
  <c r="V77" i="3"/>
  <c r="W78" i="3"/>
  <c r="V83" i="3"/>
  <c r="X85" i="3"/>
  <c r="V85" i="3"/>
  <c r="W86" i="3"/>
  <c r="V91" i="3"/>
  <c r="X93" i="3"/>
  <c r="V93" i="3"/>
  <c r="W94" i="3"/>
  <c r="V99" i="3"/>
  <c r="X101" i="3"/>
  <c r="V101" i="3"/>
  <c r="W102" i="3"/>
  <c r="V107" i="3"/>
  <c r="X109" i="3"/>
  <c r="V109" i="3"/>
  <c r="W110" i="3"/>
  <c r="W120" i="3"/>
  <c r="V122" i="3"/>
  <c r="X129" i="3"/>
  <c r="W129" i="3"/>
  <c r="V129" i="3"/>
  <c r="X140" i="3"/>
  <c r="W142" i="3"/>
  <c r="W152" i="3"/>
  <c r="V154" i="3"/>
  <c r="X8" i="4"/>
  <c r="X12" i="4"/>
  <c r="X9" i="4"/>
  <c r="R79" i="2"/>
  <c r="R87" i="2"/>
  <c r="R95" i="2"/>
  <c r="R103" i="2"/>
  <c r="R111" i="2"/>
  <c r="X141" i="3"/>
  <c r="W141" i="3"/>
  <c r="V141" i="3"/>
  <c r="L13" i="11"/>
  <c r="L10" i="11"/>
  <c r="L5" i="11"/>
  <c r="L8" i="11"/>
  <c r="L14" i="11"/>
  <c r="L11" i="11"/>
  <c r="L6" i="11"/>
  <c r="L9" i="11"/>
  <c r="V5" i="11"/>
  <c r="L15" i="11"/>
  <c r="L12" i="11"/>
  <c r="L7" i="11"/>
  <c r="W6" i="4"/>
  <c r="T148" i="2"/>
  <c r="W32" i="3"/>
  <c r="W40" i="3"/>
  <c r="W48" i="3"/>
  <c r="W56" i="3"/>
  <c r="W64" i="3"/>
  <c r="W72" i="3"/>
  <c r="W80" i="3"/>
  <c r="W88" i="3"/>
  <c r="W96" i="3"/>
  <c r="W104" i="3"/>
  <c r="W112" i="3"/>
  <c r="V114" i="3"/>
  <c r="X121" i="3"/>
  <c r="W121" i="3"/>
  <c r="V121" i="3"/>
  <c r="W144" i="3"/>
  <c r="V146" i="3"/>
  <c r="X153" i="3"/>
  <c r="W153" i="3"/>
  <c r="V153" i="3"/>
  <c r="S5" i="4"/>
  <c r="R5" i="4"/>
  <c r="Q5" i="4"/>
  <c r="X5" i="4"/>
  <c r="W5" i="4"/>
  <c r="G5" i="4"/>
  <c r="AC1" i="4"/>
  <c r="B14" i="10" s="1"/>
  <c r="V5" i="4"/>
  <c r="F5" i="4"/>
  <c r="U5" i="4"/>
  <c r="V8" i="11"/>
  <c r="W15" i="4"/>
  <c r="W14" i="4"/>
  <c r="X8" i="3"/>
  <c r="X16" i="3"/>
  <c r="X24" i="3"/>
  <c r="V26" i="3"/>
  <c r="W29" i="3"/>
  <c r="X32" i="3"/>
  <c r="V34" i="3"/>
  <c r="W37" i="3"/>
  <c r="X40" i="3"/>
  <c r="V42" i="3"/>
  <c r="W45" i="3"/>
  <c r="X48" i="3"/>
  <c r="V50" i="3"/>
  <c r="W53" i="3"/>
  <c r="X56" i="3"/>
  <c r="V58" i="3"/>
  <c r="W61" i="3"/>
  <c r="X64" i="3"/>
  <c r="V66" i="3"/>
  <c r="W69" i="3"/>
  <c r="X72" i="3"/>
  <c r="V74" i="3"/>
  <c r="W77" i="3"/>
  <c r="X80" i="3"/>
  <c r="V82" i="3"/>
  <c r="W85" i="3"/>
  <c r="X88" i="3"/>
  <c r="V90" i="3"/>
  <c r="W93" i="3"/>
  <c r="X96" i="3"/>
  <c r="V98" i="3"/>
  <c r="W101" i="3"/>
  <c r="X104" i="3"/>
  <c r="V106" i="3"/>
  <c r="W109" i="3"/>
  <c r="X112" i="3"/>
  <c r="W114" i="3"/>
  <c r="W124" i="3"/>
  <c r="V126" i="3"/>
  <c r="X133" i="3"/>
  <c r="W133" i="3"/>
  <c r="V133" i="3"/>
  <c r="X144" i="3"/>
  <c r="W146" i="3"/>
  <c r="C6" i="4"/>
  <c r="R7" i="4"/>
  <c r="Q8" i="4"/>
  <c r="G10" i="4"/>
  <c r="W10" i="4"/>
  <c r="F11" i="4"/>
  <c r="M11" i="4" s="1"/>
  <c r="V11" i="4"/>
  <c r="C14" i="4"/>
  <c r="R15" i="4"/>
  <c r="Q16" i="4"/>
  <c r="G18" i="4"/>
  <c r="W18" i="4"/>
  <c r="F19" i="4"/>
  <c r="M19" i="4" s="1"/>
  <c r="V19" i="4"/>
  <c r="C22" i="4"/>
  <c r="R23" i="4"/>
  <c r="Q24" i="4"/>
  <c r="G26" i="4"/>
  <c r="O26" i="4"/>
  <c r="W26" i="4"/>
  <c r="F27" i="4"/>
  <c r="N27" i="4"/>
  <c r="V27" i="4"/>
  <c r="T29" i="4"/>
  <c r="Y29" i="4" s="1"/>
  <c r="C30" i="4"/>
  <c r="R31" i="4"/>
  <c r="F33" i="4"/>
  <c r="R33" i="4"/>
  <c r="C34" i="4"/>
  <c r="N36" i="4"/>
  <c r="X36" i="4"/>
  <c r="Q37" i="4"/>
  <c r="U38" i="4"/>
  <c r="V41" i="4"/>
  <c r="S42" i="4"/>
  <c r="O43" i="4"/>
  <c r="G46" i="4"/>
  <c r="O46" i="4"/>
  <c r="F49" i="4"/>
  <c r="R49" i="4"/>
  <c r="C50" i="4"/>
  <c r="N52" i="4"/>
  <c r="X52" i="4"/>
  <c r="Q53" i="4"/>
  <c r="U54" i="4"/>
  <c r="O60" i="4"/>
  <c r="D61" i="4"/>
  <c r="C61" i="4"/>
  <c r="M61" i="4"/>
  <c r="T66" i="4"/>
  <c r="Y66" i="4" s="1"/>
  <c r="R66" i="4"/>
  <c r="X66" i="4"/>
  <c r="P66" i="4"/>
  <c r="H66" i="4"/>
  <c r="W66" i="4"/>
  <c r="O66" i="4"/>
  <c r="G66" i="4"/>
  <c r="V66" i="4"/>
  <c r="N66" i="4"/>
  <c r="F66" i="4"/>
  <c r="U66" i="4"/>
  <c r="W68" i="4"/>
  <c r="T82" i="4"/>
  <c r="Y82" i="4" s="1"/>
  <c r="R82" i="4"/>
  <c r="X82" i="4"/>
  <c r="P82" i="4"/>
  <c r="H82" i="4"/>
  <c r="W82" i="4"/>
  <c r="O82" i="4"/>
  <c r="G82" i="4"/>
  <c r="V82" i="4"/>
  <c r="N82" i="4"/>
  <c r="F82" i="4"/>
  <c r="U82" i="4"/>
  <c r="M82" i="4"/>
  <c r="C118" i="4"/>
  <c r="D118" i="4"/>
  <c r="D6" i="4"/>
  <c r="Y5" i="2" s="1"/>
  <c r="S7" i="4"/>
  <c r="R8" i="4"/>
  <c r="Q9" i="4"/>
  <c r="X10" i="4"/>
  <c r="G11" i="4"/>
  <c r="W11" i="4"/>
  <c r="F12" i="4"/>
  <c r="M12" i="4" s="1"/>
  <c r="V12" i="4"/>
  <c r="U13" i="4"/>
  <c r="D14" i="4"/>
  <c r="S15" i="4"/>
  <c r="R16" i="4"/>
  <c r="Q17" i="4"/>
  <c r="X18" i="4"/>
  <c r="G19" i="4"/>
  <c r="W19" i="4"/>
  <c r="F20" i="4"/>
  <c r="M20" i="4" s="1"/>
  <c r="V20" i="4"/>
  <c r="U21" i="4"/>
  <c r="S23" i="4"/>
  <c r="R24" i="4"/>
  <c r="Q25" i="4"/>
  <c r="H26" i="4"/>
  <c r="P26" i="4"/>
  <c r="X26" i="4"/>
  <c r="G27" i="4"/>
  <c r="O27" i="4"/>
  <c r="W27" i="4"/>
  <c r="F28" i="4"/>
  <c r="N28" i="4"/>
  <c r="V28" i="4"/>
  <c r="M29" i="4"/>
  <c r="U29" i="4"/>
  <c r="T30" i="4"/>
  <c r="Y30" i="4" s="1"/>
  <c r="S31" i="4"/>
  <c r="V35" i="4"/>
  <c r="N35" i="4"/>
  <c r="F35" i="4"/>
  <c r="U35" i="4"/>
  <c r="M35" i="4"/>
  <c r="T35" i="4"/>
  <c r="Y35" i="4" s="1"/>
  <c r="F36" i="4"/>
  <c r="O36" i="4"/>
  <c r="V38" i="4"/>
  <c r="M41" i="4"/>
  <c r="P43" i="4"/>
  <c r="U44" i="4"/>
  <c r="M44" i="4"/>
  <c r="T44" i="4"/>
  <c r="Y44" i="4" s="1"/>
  <c r="S44" i="4"/>
  <c r="F45" i="4"/>
  <c r="N45" i="4"/>
  <c r="H46" i="4"/>
  <c r="V51" i="4"/>
  <c r="N51" i="4"/>
  <c r="F51" i="4"/>
  <c r="U51" i="4"/>
  <c r="M51" i="4"/>
  <c r="T51" i="4"/>
  <c r="Y51" i="4" s="1"/>
  <c r="F52" i="4"/>
  <c r="O52" i="4"/>
  <c r="V54" i="4"/>
  <c r="M57" i="4"/>
  <c r="R58" i="4"/>
  <c r="W58" i="4"/>
  <c r="O58" i="4"/>
  <c r="G58" i="4"/>
  <c r="V58" i="4"/>
  <c r="N58" i="4"/>
  <c r="F58" i="4"/>
  <c r="X58" i="4"/>
  <c r="F60" i="4"/>
  <c r="Q60" i="4"/>
  <c r="N61" i="4"/>
  <c r="X62" i="4"/>
  <c r="P62" i="4"/>
  <c r="V62" i="4"/>
  <c r="N62" i="4"/>
  <c r="F62" i="4"/>
  <c r="S62" i="4"/>
  <c r="R62" i="4"/>
  <c r="M66" i="4"/>
  <c r="R76" i="4"/>
  <c r="X76" i="4"/>
  <c r="P76" i="4"/>
  <c r="H76" i="4"/>
  <c r="V76" i="4"/>
  <c r="N76" i="4"/>
  <c r="F76" i="4"/>
  <c r="U76" i="4"/>
  <c r="M76" i="4"/>
  <c r="T76" i="4"/>
  <c r="Y76" i="4" s="1"/>
  <c r="S76" i="4"/>
  <c r="Q82" i="4"/>
  <c r="R9" i="4"/>
  <c r="Q10" i="4"/>
  <c r="X11" i="4"/>
  <c r="G12" i="4"/>
  <c r="F13" i="4"/>
  <c r="M13" i="4" s="1"/>
  <c r="V13" i="4"/>
  <c r="Q18" i="4"/>
  <c r="Q26" i="4"/>
  <c r="T37" i="4"/>
  <c r="Y37" i="4" s="1"/>
  <c r="S37" i="4"/>
  <c r="U37" i="4"/>
  <c r="W42" i="4"/>
  <c r="O42" i="4"/>
  <c r="G42" i="4"/>
  <c r="V42" i="4"/>
  <c r="N42" i="4"/>
  <c r="F42" i="4"/>
  <c r="U42" i="4"/>
  <c r="T53" i="4"/>
  <c r="Y53" i="4" s="1"/>
  <c r="S53" i="4"/>
  <c r="U53" i="4"/>
  <c r="D73" i="4"/>
  <c r="C75" i="4"/>
  <c r="D75" i="4"/>
  <c r="O76" i="4"/>
  <c r="S82" i="4"/>
  <c r="Q11" i="4"/>
  <c r="G13" i="4"/>
  <c r="W13" i="4"/>
  <c r="U15" i="4"/>
  <c r="C17" i="4"/>
  <c r="R18" i="4"/>
  <c r="Q19" i="4"/>
  <c r="G21" i="4"/>
  <c r="W21" i="4"/>
  <c r="U23" i="4"/>
  <c r="C25" i="4"/>
  <c r="R26" i="4"/>
  <c r="Q27" i="4"/>
  <c r="G29" i="4"/>
  <c r="O29" i="4"/>
  <c r="W29" i="4"/>
  <c r="U31" i="4"/>
  <c r="X33" i="4"/>
  <c r="P33" i="4"/>
  <c r="H33" i="4"/>
  <c r="W33" i="4"/>
  <c r="O33" i="4"/>
  <c r="G33" i="4"/>
  <c r="U33" i="4"/>
  <c r="C35" i="4"/>
  <c r="H36" i="4"/>
  <c r="Q36" i="4"/>
  <c r="D37" i="4"/>
  <c r="C37" i="4"/>
  <c r="V37" i="4"/>
  <c r="Q41" i="4"/>
  <c r="X42" i="4"/>
  <c r="H43" i="4"/>
  <c r="R43" i="4"/>
  <c r="C44" i="4"/>
  <c r="S46" i="4"/>
  <c r="R46" i="4"/>
  <c r="T46" i="4"/>
  <c r="Y46" i="4" s="1"/>
  <c r="X49" i="4"/>
  <c r="P49" i="4"/>
  <c r="H49" i="4"/>
  <c r="W49" i="4"/>
  <c r="O49" i="4"/>
  <c r="G49" i="4"/>
  <c r="U49" i="4"/>
  <c r="C51" i="4"/>
  <c r="H52" i="4"/>
  <c r="Q52" i="4"/>
  <c r="D53" i="4"/>
  <c r="C53" i="4"/>
  <c r="V53" i="4"/>
  <c r="Q57" i="4"/>
  <c r="S60" i="4"/>
  <c r="H61" i="4"/>
  <c r="Q61" i="4"/>
  <c r="S66" i="4"/>
  <c r="Q76" i="4"/>
  <c r="F7" i="4"/>
  <c r="M7" i="4" s="1"/>
  <c r="V7" i="4"/>
  <c r="M8" i="4"/>
  <c r="U8" i="4"/>
  <c r="D9" i="4"/>
  <c r="S10" i="4"/>
  <c r="R11" i="4"/>
  <c r="Q12" i="4"/>
  <c r="X13" i="4"/>
  <c r="F15" i="4"/>
  <c r="M15" i="4" s="1"/>
  <c r="V15" i="4"/>
  <c r="U16" i="4"/>
  <c r="S18" i="4"/>
  <c r="R19" i="4"/>
  <c r="Q20" i="4"/>
  <c r="X21" i="4"/>
  <c r="F23" i="4"/>
  <c r="M23" i="4" s="1"/>
  <c r="V23" i="4"/>
  <c r="M24" i="4"/>
  <c r="U24" i="4"/>
  <c r="S26" i="4"/>
  <c r="R27" i="4"/>
  <c r="Q28" i="4"/>
  <c r="H29" i="4"/>
  <c r="P29" i="4"/>
  <c r="X29" i="4"/>
  <c r="F31" i="4"/>
  <c r="N31" i="4"/>
  <c r="V31" i="4"/>
  <c r="V33" i="4"/>
  <c r="M37" i="4"/>
  <c r="W37" i="4"/>
  <c r="G38" i="4"/>
  <c r="O38" i="4"/>
  <c r="F41" i="4"/>
  <c r="R41" i="4"/>
  <c r="M42" i="4"/>
  <c r="U46" i="4"/>
  <c r="V49" i="4"/>
  <c r="M53" i="4"/>
  <c r="W53" i="4"/>
  <c r="G54" i="4"/>
  <c r="O54" i="4"/>
  <c r="F57" i="4"/>
  <c r="R57" i="4"/>
  <c r="R61" i="4"/>
  <c r="W76" i="4"/>
  <c r="R84" i="4"/>
  <c r="X84" i="4"/>
  <c r="P84" i="4"/>
  <c r="H84" i="4"/>
  <c r="V84" i="4"/>
  <c r="N84" i="4"/>
  <c r="F84" i="4"/>
  <c r="U84" i="4"/>
  <c r="M84" i="4"/>
  <c r="T84" i="4"/>
  <c r="Y84" i="4" s="1"/>
  <c r="S84" i="4"/>
  <c r="D89" i="4"/>
  <c r="Q13" i="4"/>
  <c r="Q21" i="4"/>
  <c r="T26" i="4"/>
  <c r="Y26" i="4" s="1"/>
  <c r="Q29" i="4"/>
  <c r="U36" i="4"/>
  <c r="M36" i="4"/>
  <c r="T36" i="4"/>
  <c r="Y36" i="4" s="1"/>
  <c r="S36" i="4"/>
  <c r="F37" i="4"/>
  <c r="N37" i="4"/>
  <c r="X37" i="4"/>
  <c r="P42" i="4"/>
  <c r="V43" i="4"/>
  <c r="N43" i="4"/>
  <c r="F43" i="4"/>
  <c r="U43" i="4"/>
  <c r="M43" i="4"/>
  <c r="T43" i="4"/>
  <c r="Y43" i="4" s="1"/>
  <c r="U52" i="4"/>
  <c r="M52" i="4"/>
  <c r="T52" i="4"/>
  <c r="Y52" i="4" s="1"/>
  <c r="S52" i="4"/>
  <c r="F53" i="4"/>
  <c r="N53" i="4"/>
  <c r="X53" i="4"/>
  <c r="X60" i="4"/>
  <c r="P60" i="4"/>
  <c r="H60" i="4"/>
  <c r="U60" i="4"/>
  <c r="M60" i="4"/>
  <c r="T60" i="4"/>
  <c r="Y60" i="4" s="1"/>
  <c r="W60" i="4"/>
  <c r="R68" i="4"/>
  <c r="X68" i="4"/>
  <c r="P68" i="4"/>
  <c r="H68" i="4"/>
  <c r="V68" i="4"/>
  <c r="N68" i="4"/>
  <c r="F68" i="4"/>
  <c r="U68" i="4"/>
  <c r="M68" i="4"/>
  <c r="T68" i="4"/>
  <c r="Y68" i="4" s="1"/>
  <c r="S68" i="4"/>
  <c r="T74" i="4"/>
  <c r="Y74" i="4" s="1"/>
  <c r="R74" i="4"/>
  <c r="X74" i="4"/>
  <c r="P74" i="4"/>
  <c r="H74" i="4"/>
  <c r="W74" i="4"/>
  <c r="O74" i="4"/>
  <c r="G74" i="4"/>
  <c r="V74" i="4"/>
  <c r="N74" i="4"/>
  <c r="F74" i="4"/>
  <c r="U74" i="4"/>
  <c r="M74" i="4"/>
  <c r="C83" i="4"/>
  <c r="D83" i="4"/>
  <c r="C88" i="4"/>
  <c r="D88" i="4"/>
  <c r="R93" i="4"/>
  <c r="S93" i="4"/>
  <c r="P93" i="4"/>
  <c r="H93" i="4"/>
  <c r="X93" i="4"/>
  <c r="O93" i="4"/>
  <c r="G93" i="4"/>
  <c r="W93" i="4"/>
  <c r="N93" i="4"/>
  <c r="F93" i="4"/>
  <c r="V93" i="4"/>
  <c r="M93" i="4"/>
  <c r="U93" i="4"/>
  <c r="T93" i="4"/>
  <c r="Y93" i="4" s="1"/>
  <c r="X102" i="4"/>
  <c r="P102" i="4"/>
  <c r="H102" i="4"/>
  <c r="U102" i="4"/>
  <c r="T102" i="4"/>
  <c r="Y102" i="4" s="1"/>
  <c r="W102" i="4"/>
  <c r="S102" i="4"/>
  <c r="R102" i="4"/>
  <c r="Q102" i="4"/>
  <c r="G102" i="4"/>
  <c r="O102" i="4"/>
  <c r="F102" i="4"/>
  <c r="N102" i="4"/>
  <c r="M102" i="4"/>
  <c r="V102" i="4"/>
  <c r="S107" i="4"/>
  <c r="P107" i="4"/>
  <c r="H107" i="4"/>
  <c r="U107" i="4"/>
  <c r="T107" i="4"/>
  <c r="Y107" i="4" s="1"/>
  <c r="M107" i="4"/>
  <c r="W107" i="4"/>
  <c r="V107" i="4"/>
  <c r="R107" i="4"/>
  <c r="Q107" i="4"/>
  <c r="G107" i="4"/>
  <c r="O107" i="4"/>
  <c r="F107" i="4"/>
  <c r="N107" i="4"/>
  <c r="X7" i="4"/>
  <c r="G8" i="4"/>
  <c r="N8" i="4" s="1"/>
  <c r="F9" i="4"/>
  <c r="M9" i="4" s="1"/>
  <c r="U10" i="4"/>
  <c r="C12" i="4"/>
  <c r="R13" i="4"/>
  <c r="X15" i="4"/>
  <c r="G16" i="4"/>
  <c r="F17" i="4"/>
  <c r="M17" i="4" s="1"/>
  <c r="U18" i="4"/>
  <c r="C20" i="4"/>
  <c r="R21" i="4"/>
  <c r="X23" i="4"/>
  <c r="G24" i="4"/>
  <c r="N24" i="4" s="1"/>
  <c r="W24" i="4"/>
  <c r="F25" i="4"/>
  <c r="M25" i="4" s="1"/>
  <c r="M26" i="4"/>
  <c r="U26" i="4"/>
  <c r="T27" i="4"/>
  <c r="Y27" i="4" s="1"/>
  <c r="C28" i="4"/>
  <c r="R29" i="4"/>
  <c r="H31" i="4"/>
  <c r="P31" i="4"/>
  <c r="X31" i="4"/>
  <c r="N33" i="4"/>
  <c r="W34" i="4"/>
  <c r="O34" i="4"/>
  <c r="G34" i="4"/>
  <c r="V34" i="4"/>
  <c r="N34" i="4"/>
  <c r="F34" i="4"/>
  <c r="U34" i="4"/>
  <c r="V36" i="4"/>
  <c r="G37" i="4"/>
  <c r="O37" i="4"/>
  <c r="Q42" i="4"/>
  <c r="W43" i="4"/>
  <c r="T45" i="4"/>
  <c r="Y45" i="4" s="1"/>
  <c r="S45" i="4"/>
  <c r="U45" i="4"/>
  <c r="M46" i="4"/>
  <c r="W46" i="4"/>
  <c r="N49" i="4"/>
  <c r="W50" i="4"/>
  <c r="O50" i="4"/>
  <c r="G50" i="4"/>
  <c r="V50" i="4"/>
  <c r="N50" i="4"/>
  <c r="F50" i="4"/>
  <c r="U50" i="4"/>
  <c r="V52" i="4"/>
  <c r="G53" i="4"/>
  <c r="O53" i="4"/>
  <c r="H58" i="4"/>
  <c r="S58" i="4"/>
  <c r="H62" i="4"/>
  <c r="T62" i="4"/>
  <c r="Y62" i="4" s="1"/>
  <c r="C67" i="4"/>
  <c r="D67" i="4"/>
  <c r="O68" i="4"/>
  <c r="Q74" i="4"/>
  <c r="D81" i="4"/>
  <c r="Q84" i="4"/>
  <c r="Q93" i="4"/>
  <c r="C95" i="4"/>
  <c r="D95" i="4"/>
  <c r="U121" i="4"/>
  <c r="M121" i="4"/>
  <c r="R121" i="4"/>
  <c r="X121" i="4"/>
  <c r="P121" i="4"/>
  <c r="H121" i="4"/>
  <c r="S121" i="4"/>
  <c r="G121" i="4"/>
  <c r="Q121" i="4"/>
  <c r="F121" i="4"/>
  <c r="O121" i="4"/>
  <c r="W121" i="4"/>
  <c r="V121" i="4"/>
  <c r="T121" i="4"/>
  <c r="Y121" i="4" s="1"/>
  <c r="F10" i="4"/>
  <c r="M10" i="4" s="1"/>
  <c r="F18" i="4"/>
  <c r="M18" i="4" s="1"/>
  <c r="F26" i="4"/>
  <c r="N26" i="4"/>
  <c r="M27" i="4"/>
  <c r="Q33" i="4"/>
  <c r="W36" i="4"/>
  <c r="H37" i="4"/>
  <c r="P37" i="4"/>
  <c r="S38" i="4"/>
  <c r="R38" i="4"/>
  <c r="T38" i="4"/>
  <c r="Y38" i="4" s="1"/>
  <c r="X41" i="4"/>
  <c r="P41" i="4"/>
  <c r="H41" i="4"/>
  <c r="W41" i="4"/>
  <c r="O41" i="4"/>
  <c r="G41" i="4"/>
  <c r="U41" i="4"/>
  <c r="H42" i="4"/>
  <c r="R42" i="4"/>
  <c r="X43" i="4"/>
  <c r="D45" i="4"/>
  <c r="C45" i="4"/>
  <c r="F46" i="4"/>
  <c r="N46" i="4"/>
  <c r="X46" i="4"/>
  <c r="Q49" i="4"/>
  <c r="W52" i="4"/>
  <c r="H53" i="4"/>
  <c r="P53" i="4"/>
  <c r="S54" i="4"/>
  <c r="R54" i="4"/>
  <c r="T54" i="4"/>
  <c r="Y54" i="4" s="1"/>
  <c r="S57" i="4"/>
  <c r="X57" i="4"/>
  <c r="P57" i="4"/>
  <c r="H57" i="4"/>
  <c r="W57" i="4"/>
  <c r="O57" i="4"/>
  <c r="G57" i="4"/>
  <c r="V57" i="4"/>
  <c r="N60" i="4"/>
  <c r="W61" i="4"/>
  <c r="O61" i="4"/>
  <c r="G61" i="4"/>
  <c r="T61" i="4"/>
  <c r="Y61" i="4" s="1"/>
  <c r="S61" i="4"/>
  <c r="X61" i="4"/>
  <c r="Q68" i="4"/>
  <c r="S74" i="4"/>
  <c r="W84" i="4"/>
  <c r="R116" i="4"/>
  <c r="U116" i="4"/>
  <c r="M116" i="4"/>
  <c r="W116" i="4"/>
  <c r="Q116" i="4"/>
  <c r="H116" i="4"/>
  <c r="P116" i="4"/>
  <c r="G116" i="4"/>
  <c r="X116" i="4"/>
  <c r="V116" i="4"/>
  <c r="T116" i="4"/>
  <c r="Y116" i="4" s="1"/>
  <c r="F116" i="4"/>
  <c r="S116" i="4"/>
  <c r="O116" i="4"/>
  <c r="N116" i="4"/>
  <c r="Q70" i="4"/>
  <c r="Q78" i="4"/>
  <c r="V81" i="4"/>
  <c r="R86" i="4"/>
  <c r="G89" i="4"/>
  <c r="P89" i="4"/>
  <c r="R91" i="4"/>
  <c r="N95" i="4"/>
  <c r="W96" i="4"/>
  <c r="O96" i="4"/>
  <c r="G96" i="4"/>
  <c r="V96" i="4"/>
  <c r="N96" i="4"/>
  <c r="F96" i="4"/>
  <c r="U96" i="4"/>
  <c r="G97" i="4"/>
  <c r="Q97" i="4"/>
  <c r="V98" i="4"/>
  <c r="G99" i="4"/>
  <c r="O99" i="4"/>
  <c r="W108" i="4"/>
  <c r="N111" i="4"/>
  <c r="C112" i="4"/>
  <c r="T114" i="4"/>
  <c r="Y114" i="4" s="1"/>
  <c r="W114" i="4"/>
  <c r="O114" i="4"/>
  <c r="G114" i="4"/>
  <c r="N114" i="4"/>
  <c r="S114" i="4"/>
  <c r="R114" i="4"/>
  <c r="S115" i="4"/>
  <c r="V115" i="4"/>
  <c r="N115" i="4"/>
  <c r="F115" i="4"/>
  <c r="T115" i="4"/>
  <c r="Y115" i="4" s="1"/>
  <c r="O115" i="4"/>
  <c r="X115" i="4"/>
  <c r="M115" i="4"/>
  <c r="F118" i="4"/>
  <c r="R118" i="4"/>
  <c r="F119" i="4"/>
  <c r="U119" i="4"/>
  <c r="D121" i="4"/>
  <c r="G126" i="4"/>
  <c r="G134" i="4"/>
  <c r="C143" i="4"/>
  <c r="D143" i="4"/>
  <c r="H32" i="4"/>
  <c r="P32" i="4"/>
  <c r="X32" i="4"/>
  <c r="Q39" i="4"/>
  <c r="H40" i="4"/>
  <c r="P40" i="4"/>
  <c r="X40" i="4"/>
  <c r="Q47" i="4"/>
  <c r="H48" i="4"/>
  <c r="P48" i="4"/>
  <c r="X48" i="4"/>
  <c r="Q55" i="4"/>
  <c r="H56" i="4"/>
  <c r="P56" i="4"/>
  <c r="X56" i="4"/>
  <c r="M59" i="4"/>
  <c r="U59" i="4"/>
  <c r="Q63" i="4"/>
  <c r="H64" i="4"/>
  <c r="P64" i="4"/>
  <c r="X64" i="4"/>
  <c r="G65" i="4"/>
  <c r="O65" i="4"/>
  <c r="W65" i="4"/>
  <c r="M67" i="4"/>
  <c r="U67" i="4"/>
  <c r="C69" i="4"/>
  <c r="S69" i="4"/>
  <c r="R70" i="4"/>
  <c r="Q71" i="4"/>
  <c r="H72" i="4"/>
  <c r="P72" i="4"/>
  <c r="X72" i="4"/>
  <c r="G73" i="4"/>
  <c r="O73" i="4"/>
  <c r="W73" i="4"/>
  <c r="M75" i="4"/>
  <c r="U75" i="4"/>
  <c r="C77" i="4"/>
  <c r="S77" i="4"/>
  <c r="R78" i="4"/>
  <c r="Q79" i="4"/>
  <c r="H80" i="4"/>
  <c r="P80" i="4"/>
  <c r="X80" i="4"/>
  <c r="G81" i="4"/>
  <c r="O81" i="4"/>
  <c r="W81" i="4"/>
  <c r="M83" i="4"/>
  <c r="U83" i="4"/>
  <c r="C85" i="4"/>
  <c r="S85" i="4"/>
  <c r="S86" i="4"/>
  <c r="C87" i="4"/>
  <c r="U87" i="4"/>
  <c r="N88" i="4"/>
  <c r="X88" i="4"/>
  <c r="H89" i="4"/>
  <c r="Q89" i="4"/>
  <c r="U90" i="4"/>
  <c r="M90" i="4"/>
  <c r="R90" i="4"/>
  <c r="S91" i="4"/>
  <c r="D92" i="4"/>
  <c r="U92" i="4"/>
  <c r="Q95" i="4"/>
  <c r="X96" i="4"/>
  <c r="H97" i="4"/>
  <c r="R97" i="4"/>
  <c r="C98" i="4"/>
  <c r="W98" i="4"/>
  <c r="H99" i="4"/>
  <c r="P99" i="4"/>
  <c r="S100" i="4"/>
  <c r="R100" i="4"/>
  <c r="T100" i="4"/>
  <c r="Y100" i="4" s="1"/>
  <c r="W103" i="4"/>
  <c r="O103" i="4"/>
  <c r="G103" i="4"/>
  <c r="X103" i="4"/>
  <c r="N103" i="4"/>
  <c r="V103" i="4"/>
  <c r="M103" i="4"/>
  <c r="X108" i="4"/>
  <c r="C110" i="4"/>
  <c r="D111" i="4"/>
  <c r="R111" i="4"/>
  <c r="C115" i="4"/>
  <c r="D115" i="4"/>
  <c r="P115" i="4"/>
  <c r="G118" i="4"/>
  <c r="U118" i="4"/>
  <c r="V129" i="4"/>
  <c r="Q146" i="4"/>
  <c r="L6" i="5"/>
  <c r="N6" i="5"/>
  <c r="J6" i="5"/>
  <c r="K6" i="5" s="1"/>
  <c r="F59" i="4"/>
  <c r="N59" i="4"/>
  <c r="V59" i="4"/>
  <c r="H65" i="4"/>
  <c r="P65" i="4"/>
  <c r="X65" i="4"/>
  <c r="F67" i="4"/>
  <c r="N67" i="4"/>
  <c r="V67" i="4"/>
  <c r="T69" i="4"/>
  <c r="Y69" i="4" s="1"/>
  <c r="S70" i="4"/>
  <c r="H73" i="4"/>
  <c r="P73" i="4"/>
  <c r="X73" i="4"/>
  <c r="F75" i="4"/>
  <c r="N75" i="4"/>
  <c r="V75" i="4"/>
  <c r="T77" i="4"/>
  <c r="Y77" i="4" s="1"/>
  <c r="S78" i="4"/>
  <c r="H81" i="4"/>
  <c r="P81" i="4"/>
  <c r="X81" i="4"/>
  <c r="F83" i="4"/>
  <c r="N83" i="4"/>
  <c r="V83" i="4"/>
  <c r="T85" i="4"/>
  <c r="Y85" i="4" s="1"/>
  <c r="T86" i="4"/>
  <c r="Y86" i="4" s="1"/>
  <c r="M87" i="4"/>
  <c r="V87" i="4"/>
  <c r="F88" i="4"/>
  <c r="S90" i="4"/>
  <c r="C91" i="4"/>
  <c r="U91" i="4"/>
  <c r="M92" i="4"/>
  <c r="V92" i="4"/>
  <c r="F95" i="4"/>
  <c r="M96" i="4"/>
  <c r="N98" i="4"/>
  <c r="X98" i="4"/>
  <c r="Q99" i="4"/>
  <c r="U100" i="4"/>
  <c r="V104" i="4"/>
  <c r="N104" i="4"/>
  <c r="F104" i="4"/>
  <c r="Q104" i="4"/>
  <c r="H104" i="4"/>
  <c r="P104" i="4"/>
  <c r="G104" i="4"/>
  <c r="X104" i="4"/>
  <c r="M108" i="4"/>
  <c r="S111" i="4"/>
  <c r="U113" i="4"/>
  <c r="M113" i="4"/>
  <c r="X113" i="4"/>
  <c r="P113" i="4"/>
  <c r="H113" i="4"/>
  <c r="S113" i="4"/>
  <c r="N113" i="4"/>
  <c r="W113" i="4"/>
  <c r="M114" i="4"/>
  <c r="Q115" i="4"/>
  <c r="W127" i="4"/>
  <c r="O127" i="4"/>
  <c r="G127" i="4"/>
  <c r="T127" i="4"/>
  <c r="Y127" i="4" s="1"/>
  <c r="R127" i="4"/>
  <c r="V127" i="4"/>
  <c r="P127" i="4"/>
  <c r="F127" i="4"/>
  <c r="N127" i="4"/>
  <c r="W135" i="4"/>
  <c r="O135" i="4"/>
  <c r="G135" i="4"/>
  <c r="T135" i="4"/>
  <c r="Y135" i="4" s="1"/>
  <c r="R135" i="4"/>
  <c r="V135" i="4"/>
  <c r="U135" i="4"/>
  <c r="P135" i="4"/>
  <c r="F135" i="4"/>
  <c r="N135" i="4"/>
  <c r="D138" i="4"/>
  <c r="C138" i="4"/>
  <c r="Q65" i="4"/>
  <c r="T70" i="4"/>
  <c r="Y70" i="4" s="1"/>
  <c r="Q73" i="4"/>
  <c r="T78" i="4"/>
  <c r="Y78" i="4" s="1"/>
  <c r="Q81" i="4"/>
  <c r="U86" i="4"/>
  <c r="V89" i="4"/>
  <c r="N89" i="4"/>
  <c r="F89" i="4"/>
  <c r="S89" i="4"/>
  <c r="M91" i="4"/>
  <c r="V91" i="4"/>
  <c r="V97" i="4"/>
  <c r="N97" i="4"/>
  <c r="F97" i="4"/>
  <c r="U97" i="4"/>
  <c r="M97" i="4"/>
  <c r="T97" i="4"/>
  <c r="Y97" i="4" s="1"/>
  <c r="N108" i="4"/>
  <c r="D109" i="4"/>
  <c r="C109" i="4"/>
  <c r="T111" i="4"/>
  <c r="Y111" i="4" s="1"/>
  <c r="D113" i="4"/>
  <c r="C113" i="4"/>
  <c r="W119" i="4"/>
  <c r="O119" i="4"/>
  <c r="G119" i="4"/>
  <c r="R119" i="4"/>
  <c r="X119" i="4"/>
  <c r="M119" i="4"/>
  <c r="S119" i="4"/>
  <c r="Q119" i="4"/>
  <c r="H119" i="4"/>
  <c r="X126" i="4"/>
  <c r="P126" i="4"/>
  <c r="H126" i="4"/>
  <c r="U126" i="4"/>
  <c r="M126" i="4"/>
  <c r="S126" i="4"/>
  <c r="O126" i="4"/>
  <c r="V126" i="4"/>
  <c r="T126" i="4"/>
  <c r="Y126" i="4" s="1"/>
  <c r="X134" i="4"/>
  <c r="P134" i="4"/>
  <c r="H134" i="4"/>
  <c r="U134" i="4"/>
  <c r="M134" i="4"/>
  <c r="S134" i="4"/>
  <c r="O134" i="4"/>
  <c r="V134" i="4"/>
  <c r="T134" i="4"/>
  <c r="Y134" i="4" s="1"/>
  <c r="T99" i="4"/>
  <c r="Y99" i="4" s="1"/>
  <c r="S99" i="4"/>
  <c r="U99" i="4"/>
  <c r="D122" i="4"/>
  <c r="C122" i="4"/>
  <c r="D130" i="4"/>
  <c r="C130" i="4"/>
  <c r="U137" i="4"/>
  <c r="M137" i="4"/>
  <c r="R137" i="4"/>
  <c r="X137" i="4"/>
  <c r="P137" i="4"/>
  <c r="H137" i="4"/>
  <c r="W137" i="4"/>
  <c r="S137" i="4"/>
  <c r="G137" i="4"/>
  <c r="Q137" i="4"/>
  <c r="F137" i="4"/>
  <c r="S65" i="4"/>
  <c r="G69" i="4"/>
  <c r="O69" i="4"/>
  <c r="W69" i="4"/>
  <c r="F70" i="4"/>
  <c r="N70" i="4"/>
  <c r="V70" i="4"/>
  <c r="S73" i="4"/>
  <c r="G77" i="4"/>
  <c r="O77" i="4"/>
  <c r="W77" i="4"/>
  <c r="F78" i="4"/>
  <c r="N78" i="4"/>
  <c r="V78" i="4"/>
  <c r="S81" i="4"/>
  <c r="G85" i="4"/>
  <c r="O85" i="4"/>
  <c r="W85" i="4"/>
  <c r="F86" i="4"/>
  <c r="N86" i="4"/>
  <c r="W86" i="4"/>
  <c r="G87" i="4"/>
  <c r="W88" i="4"/>
  <c r="O88" i="4"/>
  <c r="G88" i="4"/>
  <c r="S88" i="4"/>
  <c r="U89" i="4"/>
  <c r="G91" i="4"/>
  <c r="O91" i="4"/>
  <c r="X91" i="4"/>
  <c r="H92" i="4"/>
  <c r="P92" i="4"/>
  <c r="X95" i="4"/>
  <c r="P95" i="4"/>
  <c r="H95" i="4"/>
  <c r="W95" i="4"/>
  <c r="O95" i="4"/>
  <c r="G95" i="4"/>
  <c r="U95" i="4"/>
  <c r="H96" i="4"/>
  <c r="R96" i="4"/>
  <c r="X97" i="4"/>
  <c r="H98" i="4"/>
  <c r="D99" i="4"/>
  <c r="C99" i="4"/>
  <c r="V99" i="4"/>
  <c r="G108" i="4"/>
  <c r="U114" i="4"/>
  <c r="X118" i="4"/>
  <c r="P118" i="4"/>
  <c r="H118" i="4"/>
  <c r="S118" i="4"/>
  <c r="T118" i="4"/>
  <c r="Y118" i="4" s="1"/>
  <c r="N118" i="4"/>
  <c r="W118" i="4"/>
  <c r="M118" i="4"/>
  <c r="N119" i="4"/>
  <c r="D126" i="4"/>
  <c r="N126" i="4"/>
  <c r="U129" i="4"/>
  <c r="M129" i="4"/>
  <c r="R129" i="4"/>
  <c r="X129" i="4"/>
  <c r="P129" i="4"/>
  <c r="H129" i="4"/>
  <c r="S129" i="4"/>
  <c r="G129" i="4"/>
  <c r="Q129" i="4"/>
  <c r="F129" i="4"/>
  <c r="D134" i="4"/>
  <c r="N134" i="4"/>
  <c r="N137" i="4"/>
  <c r="D149" i="4"/>
  <c r="C149" i="4"/>
  <c r="E13" i="5"/>
  <c r="J13" i="5"/>
  <c r="K13" i="5" s="1"/>
  <c r="M65" i="4"/>
  <c r="H70" i="4"/>
  <c r="P70" i="4"/>
  <c r="M73" i="4"/>
  <c r="H78" i="4"/>
  <c r="P78" i="4"/>
  <c r="M81" i="4"/>
  <c r="H86" i="4"/>
  <c r="P86" i="4"/>
  <c r="X87" i="4"/>
  <c r="P87" i="4"/>
  <c r="H87" i="4"/>
  <c r="S87" i="4"/>
  <c r="O89" i="4"/>
  <c r="X89" i="4"/>
  <c r="Q91" i="4"/>
  <c r="R92" i="4"/>
  <c r="M95" i="4"/>
  <c r="T96" i="4"/>
  <c r="Y96" i="4" s="1"/>
  <c r="P97" i="4"/>
  <c r="U98" i="4"/>
  <c r="M98" i="4"/>
  <c r="T98" i="4"/>
  <c r="Y98" i="4" s="1"/>
  <c r="S98" i="4"/>
  <c r="F99" i="4"/>
  <c r="N99" i="4"/>
  <c r="X99" i="4"/>
  <c r="R108" i="4"/>
  <c r="P108" i="4"/>
  <c r="H108" i="4"/>
  <c r="U108" i="4"/>
  <c r="T108" i="4"/>
  <c r="Y108" i="4" s="1"/>
  <c r="V108" i="4"/>
  <c r="W111" i="4"/>
  <c r="O111" i="4"/>
  <c r="G111" i="4"/>
  <c r="U111" i="4"/>
  <c r="Q111" i="4"/>
  <c r="H111" i="4"/>
  <c r="P111" i="4"/>
  <c r="F111" i="4"/>
  <c r="M111" i="4"/>
  <c r="F134" i="4"/>
  <c r="R134" i="4"/>
  <c r="T137" i="4"/>
  <c r="Y137" i="4" s="1"/>
  <c r="X146" i="4"/>
  <c r="P146" i="4"/>
  <c r="H146" i="4"/>
  <c r="O146" i="4"/>
  <c r="W146" i="4"/>
  <c r="N146" i="4"/>
  <c r="U146" i="4"/>
  <c r="T146" i="4"/>
  <c r="Y146" i="4" s="1"/>
  <c r="R146" i="4"/>
  <c r="M146" i="4"/>
  <c r="V146" i="4"/>
  <c r="G146" i="4"/>
  <c r="R106" i="4"/>
  <c r="M110" i="4"/>
  <c r="V110" i="4"/>
  <c r="S123" i="4"/>
  <c r="X123" i="4"/>
  <c r="P123" i="4"/>
  <c r="H123" i="4"/>
  <c r="V123" i="4"/>
  <c r="N123" i="4"/>
  <c r="F123" i="4"/>
  <c r="S131" i="4"/>
  <c r="X131" i="4"/>
  <c r="P131" i="4"/>
  <c r="H131" i="4"/>
  <c r="V131" i="4"/>
  <c r="N131" i="4"/>
  <c r="F131" i="4"/>
  <c r="S139" i="4"/>
  <c r="X139" i="4"/>
  <c r="P139" i="4"/>
  <c r="H139" i="4"/>
  <c r="V139" i="4"/>
  <c r="N139" i="4"/>
  <c r="F139" i="4"/>
  <c r="X154" i="4"/>
  <c r="P154" i="4"/>
  <c r="H154" i="4"/>
  <c r="R154" i="4"/>
  <c r="Q154" i="4"/>
  <c r="G154" i="4"/>
  <c r="W154" i="4"/>
  <c r="N154" i="4"/>
  <c r="V154" i="4"/>
  <c r="M154" i="4"/>
  <c r="T154" i="4"/>
  <c r="Y154" i="4" s="1"/>
  <c r="N11" i="5"/>
  <c r="L11" i="5"/>
  <c r="J11" i="5"/>
  <c r="K11" i="5" s="1"/>
  <c r="L15" i="5"/>
  <c r="K15" i="5"/>
  <c r="N15" i="5"/>
  <c r="U105" i="4"/>
  <c r="M105" i="4"/>
  <c r="R105" i="4"/>
  <c r="S106" i="4"/>
  <c r="D107" i="4"/>
  <c r="N110" i="4"/>
  <c r="V112" i="4"/>
  <c r="N112" i="4"/>
  <c r="F112" i="4"/>
  <c r="S112" i="4"/>
  <c r="M123" i="4"/>
  <c r="R124" i="4"/>
  <c r="W124" i="4"/>
  <c r="O124" i="4"/>
  <c r="G124" i="4"/>
  <c r="U124" i="4"/>
  <c r="M124" i="4"/>
  <c r="V124" i="4"/>
  <c r="M131" i="4"/>
  <c r="R132" i="4"/>
  <c r="W132" i="4"/>
  <c r="O132" i="4"/>
  <c r="G132" i="4"/>
  <c r="U132" i="4"/>
  <c r="M132" i="4"/>
  <c r="V132" i="4"/>
  <c r="M139" i="4"/>
  <c r="R140" i="4"/>
  <c r="W140" i="4"/>
  <c r="O140" i="4"/>
  <c r="G140" i="4"/>
  <c r="U140" i="4"/>
  <c r="M140" i="4"/>
  <c r="V140" i="4"/>
  <c r="T142" i="4"/>
  <c r="Y142" i="4" s="1"/>
  <c r="S142" i="4"/>
  <c r="P142" i="4"/>
  <c r="H142" i="4"/>
  <c r="W142" i="4"/>
  <c r="N142" i="4"/>
  <c r="F142" i="4"/>
  <c r="W147" i="4"/>
  <c r="O147" i="4"/>
  <c r="G147" i="4"/>
  <c r="R147" i="4"/>
  <c r="Q147" i="4"/>
  <c r="H147" i="4"/>
  <c r="X147" i="4"/>
  <c r="N147" i="4"/>
  <c r="V147" i="4"/>
  <c r="M147" i="4"/>
  <c r="T147" i="4"/>
  <c r="Y147" i="4" s="1"/>
  <c r="S151" i="4"/>
  <c r="X151" i="4"/>
  <c r="O151" i="4"/>
  <c r="G151" i="4"/>
  <c r="W151" i="4"/>
  <c r="N151" i="4"/>
  <c r="F151" i="4"/>
  <c r="U151" i="4"/>
  <c r="T151" i="4"/>
  <c r="Y151" i="4" s="1"/>
  <c r="Q151" i="4"/>
  <c r="L14" i="5"/>
  <c r="E14" i="5"/>
  <c r="N12" i="5"/>
  <c r="L12" i="5"/>
  <c r="J12" i="5"/>
  <c r="K12" i="5" s="1"/>
  <c r="K71" i="5"/>
  <c r="O71" i="5"/>
  <c r="N71" i="5"/>
  <c r="M71" i="5"/>
  <c r="L71" i="5"/>
  <c r="N100" i="5"/>
  <c r="M100" i="5"/>
  <c r="L100" i="5"/>
  <c r="O100" i="5"/>
  <c r="K100" i="5"/>
  <c r="J100" i="5"/>
  <c r="D153" i="4"/>
  <c r="C153" i="4"/>
  <c r="X110" i="4"/>
  <c r="P110" i="4"/>
  <c r="H110" i="4"/>
  <c r="S110" i="4"/>
  <c r="F154" i="4"/>
  <c r="N13" i="5"/>
  <c r="L13" i="5"/>
  <c r="N36" i="5"/>
  <c r="M36" i="5"/>
  <c r="L36" i="5"/>
  <c r="K36" i="5"/>
  <c r="O36" i="5"/>
  <c r="O69" i="5"/>
  <c r="N69" i="5"/>
  <c r="M69" i="5"/>
  <c r="L69" i="5"/>
  <c r="J69" i="5"/>
  <c r="L7" i="5"/>
  <c r="L17" i="5"/>
  <c r="J17" i="5"/>
  <c r="K17" i="5" s="1"/>
  <c r="O51" i="5"/>
  <c r="M51" i="5"/>
  <c r="L51" i="5"/>
  <c r="K51" i="5"/>
  <c r="J51" i="5"/>
  <c r="Q120" i="4"/>
  <c r="G122" i="4"/>
  <c r="O122" i="4"/>
  <c r="W122" i="4"/>
  <c r="Q128" i="4"/>
  <c r="G130" i="4"/>
  <c r="O130" i="4"/>
  <c r="W130" i="4"/>
  <c r="Q136" i="4"/>
  <c r="G138" i="4"/>
  <c r="O138" i="4"/>
  <c r="W138" i="4"/>
  <c r="G143" i="4"/>
  <c r="O143" i="4"/>
  <c r="X143" i="4"/>
  <c r="G144" i="4"/>
  <c r="O144" i="4"/>
  <c r="X144" i="4"/>
  <c r="F149" i="4"/>
  <c r="O149" i="4"/>
  <c r="X149" i="4"/>
  <c r="H150" i="4"/>
  <c r="P150" i="4"/>
  <c r="Q152" i="4"/>
  <c r="L5" i="5"/>
  <c r="J9" i="5"/>
  <c r="K9" i="5" s="1"/>
  <c r="J21" i="5"/>
  <c r="K21" i="5" s="1"/>
  <c r="J26" i="5"/>
  <c r="L31" i="5"/>
  <c r="J38" i="5"/>
  <c r="L39" i="5"/>
  <c r="N68" i="5"/>
  <c r="M68" i="5"/>
  <c r="L68" i="5"/>
  <c r="J68" i="5"/>
  <c r="O83" i="5"/>
  <c r="M83" i="5"/>
  <c r="L83" i="5"/>
  <c r="K83" i="5"/>
  <c r="N83" i="5"/>
  <c r="O101" i="5"/>
  <c r="N101" i="5"/>
  <c r="M101" i="5"/>
  <c r="K101" i="5"/>
  <c r="K103" i="5"/>
  <c r="O103" i="5"/>
  <c r="J103" i="5"/>
  <c r="N121" i="5"/>
  <c r="M121" i="5"/>
  <c r="L121" i="5"/>
  <c r="O121" i="5"/>
  <c r="J121" i="5"/>
  <c r="N129" i="5"/>
  <c r="M129" i="5"/>
  <c r="L129" i="5"/>
  <c r="K129" i="5"/>
  <c r="J29" i="5"/>
  <c r="J34" i="5"/>
  <c r="O45" i="5"/>
  <c r="N45" i="5"/>
  <c r="M45" i="5"/>
  <c r="K45" i="5"/>
  <c r="K47" i="5"/>
  <c r="O47" i="5"/>
  <c r="J47" i="5"/>
  <c r="N76" i="5"/>
  <c r="M76" i="5"/>
  <c r="L76" i="5"/>
  <c r="J76" i="5"/>
  <c r="O91" i="5"/>
  <c r="M91" i="5"/>
  <c r="L91" i="5"/>
  <c r="K91" i="5"/>
  <c r="N91" i="5"/>
  <c r="O109" i="5"/>
  <c r="N109" i="5"/>
  <c r="M109" i="5"/>
  <c r="K109" i="5"/>
  <c r="K111" i="5"/>
  <c r="O111" i="5"/>
  <c r="J111" i="5"/>
  <c r="O122" i="5"/>
  <c r="N122" i="5"/>
  <c r="M122" i="5"/>
  <c r="K122" i="5"/>
  <c r="O73" i="6"/>
  <c r="N73" i="6"/>
  <c r="L73" i="6"/>
  <c r="K73" i="6"/>
  <c r="M73" i="6"/>
  <c r="J73" i="6"/>
  <c r="Q122" i="4"/>
  <c r="Q130" i="4"/>
  <c r="Q138" i="4"/>
  <c r="Q143" i="4"/>
  <c r="Q144" i="4"/>
  <c r="H149" i="4"/>
  <c r="R150" i="4"/>
  <c r="J8" i="5"/>
  <c r="K8" i="5" s="1"/>
  <c r="J20" i="5"/>
  <c r="K20" i="5" s="1"/>
  <c r="J25" i="5"/>
  <c r="K25" i="5" s="1"/>
  <c r="K29" i="5"/>
  <c r="K34" i="5"/>
  <c r="J37" i="5"/>
  <c r="M41" i="5"/>
  <c r="K41" i="5"/>
  <c r="L41" i="5"/>
  <c r="L45" i="5"/>
  <c r="L47" i="5"/>
  <c r="O53" i="5"/>
  <c r="N53" i="5"/>
  <c r="M53" i="5"/>
  <c r="K53" i="5"/>
  <c r="K55" i="5"/>
  <c r="O55" i="5"/>
  <c r="J55" i="5"/>
  <c r="K76" i="5"/>
  <c r="N84" i="5"/>
  <c r="M84" i="5"/>
  <c r="L84" i="5"/>
  <c r="J84" i="5"/>
  <c r="O99" i="5"/>
  <c r="M99" i="5"/>
  <c r="L99" i="5"/>
  <c r="K99" i="5"/>
  <c r="N99" i="5"/>
  <c r="L109" i="5"/>
  <c r="L111" i="5"/>
  <c r="O115" i="5"/>
  <c r="N115" i="5"/>
  <c r="M115" i="5"/>
  <c r="K115" i="5"/>
  <c r="L122" i="5"/>
  <c r="O139" i="5"/>
  <c r="N139" i="5"/>
  <c r="M139" i="5"/>
  <c r="L139" i="5"/>
  <c r="K139" i="5"/>
  <c r="R143" i="4"/>
  <c r="U149" i="4"/>
  <c r="M149" i="4"/>
  <c r="R149" i="4"/>
  <c r="J7" i="5"/>
  <c r="N9" i="5"/>
  <c r="L25" i="5"/>
  <c r="M25" i="5" s="1"/>
  <c r="O25" i="5" s="1"/>
  <c r="N26" i="5"/>
  <c r="J28" i="5"/>
  <c r="L29" i="5"/>
  <c r="J33" i="5"/>
  <c r="M34" i="5"/>
  <c r="K37" i="5"/>
  <c r="N41" i="5"/>
  <c r="O43" i="5"/>
  <c r="M43" i="5"/>
  <c r="L43" i="5"/>
  <c r="K43" i="5"/>
  <c r="N43" i="5"/>
  <c r="M47" i="5"/>
  <c r="L53" i="5"/>
  <c r="L55" i="5"/>
  <c r="O61" i="5"/>
  <c r="N61" i="5"/>
  <c r="M61" i="5"/>
  <c r="K61" i="5"/>
  <c r="K63" i="5"/>
  <c r="O63" i="5"/>
  <c r="J63" i="5"/>
  <c r="O76" i="5"/>
  <c r="N92" i="5"/>
  <c r="M92" i="5"/>
  <c r="L92" i="5"/>
  <c r="J92" i="5"/>
  <c r="O107" i="5"/>
  <c r="M107" i="5"/>
  <c r="L107" i="5"/>
  <c r="K107" i="5"/>
  <c r="N107" i="5"/>
  <c r="M111" i="5"/>
  <c r="L115" i="5"/>
  <c r="F120" i="4"/>
  <c r="N120" i="4"/>
  <c r="F128" i="4"/>
  <c r="N128" i="4"/>
  <c r="F136" i="4"/>
  <c r="N136" i="4"/>
  <c r="U141" i="4"/>
  <c r="M141" i="4"/>
  <c r="R141" i="4"/>
  <c r="U143" i="4"/>
  <c r="U144" i="4"/>
  <c r="V148" i="4"/>
  <c r="N148" i="4"/>
  <c r="F148" i="4"/>
  <c r="S148" i="4"/>
  <c r="T149" i="4"/>
  <c r="Y149" i="4" s="1"/>
  <c r="M150" i="4"/>
  <c r="V150" i="4"/>
  <c r="F152" i="4"/>
  <c r="N152" i="4"/>
  <c r="W152" i="4"/>
  <c r="N25" i="5"/>
  <c r="L28" i="5"/>
  <c r="N29" i="5"/>
  <c r="M33" i="5"/>
  <c r="O34" i="5"/>
  <c r="M37" i="5"/>
  <c r="N44" i="5"/>
  <c r="M44" i="5"/>
  <c r="L44" i="5"/>
  <c r="J44" i="5"/>
  <c r="N55" i="5"/>
  <c r="M57" i="5"/>
  <c r="O59" i="5"/>
  <c r="M59" i="5"/>
  <c r="L59" i="5"/>
  <c r="K59" i="5"/>
  <c r="N59" i="5"/>
  <c r="M63" i="5"/>
  <c r="O77" i="5"/>
  <c r="N77" i="5"/>
  <c r="M77" i="5"/>
  <c r="K77" i="5"/>
  <c r="K79" i="5"/>
  <c r="O79" i="5"/>
  <c r="J79" i="5"/>
  <c r="O92" i="5"/>
  <c r="N108" i="5"/>
  <c r="M108" i="5"/>
  <c r="L108" i="5"/>
  <c r="J108" i="5"/>
  <c r="O116" i="5"/>
  <c r="K116" i="5"/>
  <c r="J116" i="5"/>
  <c r="O124" i="5"/>
  <c r="N124" i="5"/>
  <c r="M124" i="5"/>
  <c r="L124" i="5"/>
  <c r="J124" i="5"/>
  <c r="M136" i="5"/>
  <c r="L136" i="5"/>
  <c r="K136" i="5"/>
  <c r="N136" i="5"/>
  <c r="O148" i="5"/>
  <c r="M148" i="5"/>
  <c r="N148" i="5"/>
  <c r="L148" i="5"/>
  <c r="K148" i="5"/>
  <c r="M152" i="5"/>
  <c r="L152" i="5"/>
  <c r="K152" i="5"/>
  <c r="O152" i="5"/>
  <c r="J152" i="5"/>
  <c r="J5" i="5"/>
  <c r="K5" i="5" s="1"/>
  <c r="L10" i="5"/>
  <c r="J10" i="5"/>
  <c r="K10" i="5" s="1"/>
  <c r="J22" i="5"/>
  <c r="K22" i="5" s="1"/>
  <c r="M27" i="5"/>
  <c r="K27" i="5"/>
  <c r="M28" i="5"/>
  <c r="J31" i="5"/>
  <c r="N33" i="5"/>
  <c r="N37" i="5"/>
  <c r="J39" i="5"/>
  <c r="N52" i="5"/>
  <c r="M52" i="5"/>
  <c r="L52" i="5"/>
  <c r="J52" i="5"/>
  <c r="N63" i="5"/>
  <c r="M65" i="5"/>
  <c r="O67" i="5"/>
  <c r="M67" i="5"/>
  <c r="L67" i="5"/>
  <c r="K67" i="5"/>
  <c r="N67" i="5"/>
  <c r="O85" i="5"/>
  <c r="N85" i="5"/>
  <c r="M85" i="5"/>
  <c r="K85" i="5"/>
  <c r="K87" i="5"/>
  <c r="O87" i="5"/>
  <c r="J87" i="5"/>
  <c r="E14" i="6"/>
  <c r="J18" i="5"/>
  <c r="K18" i="5" s="1"/>
  <c r="L27" i="5"/>
  <c r="O28" i="5"/>
  <c r="O33" i="5"/>
  <c r="M35" i="5"/>
  <c r="K35" i="5"/>
  <c r="K39" i="5"/>
  <c r="O44" i="5"/>
  <c r="K52" i="5"/>
  <c r="N60" i="5"/>
  <c r="M60" i="5"/>
  <c r="L60" i="5"/>
  <c r="J60" i="5"/>
  <c r="M73" i="5"/>
  <c r="O75" i="5"/>
  <c r="M75" i="5"/>
  <c r="L75" i="5"/>
  <c r="K75" i="5"/>
  <c r="N75" i="5"/>
  <c r="M79" i="5"/>
  <c r="J83" i="5"/>
  <c r="L85" i="5"/>
  <c r="L87" i="5"/>
  <c r="O93" i="5"/>
  <c r="N93" i="5"/>
  <c r="M93" i="5"/>
  <c r="K93" i="5"/>
  <c r="K95" i="5"/>
  <c r="O95" i="5"/>
  <c r="J95" i="5"/>
  <c r="J101" i="5"/>
  <c r="O108" i="5"/>
  <c r="M116" i="5"/>
  <c r="K121" i="5"/>
  <c r="M128" i="5"/>
  <c r="L128" i="5"/>
  <c r="K128" i="5"/>
  <c r="O128" i="5"/>
  <c r="J128" i="5"/>
  <c r="J129" i="5"/>
  <c r="O146" i="5"/>
  <c r="N146" i="5"/>
  <c r="M146" i="5"/>
  <c r="L146" i="5"/>
  <c r="K146" i="5"/>
  <c r="N9" i="6"/>
  <c r="M41" i="6"/>
  <c r="J42" i="5"/>
  <c r="N46" i="5"/>
  <c r="J50" i="5"/>
  <c r="N54" i="5"/>
  <c r="J58" i="5"/>
  <c r="N62" i="5"/>
  <c r="J66" i="5"/>
  <c r="N70" i="5"/>
  <c r="J74" i="5"/>
  <c r="N78" i="5"/>
  <c r="J82" i="5"/>
  <c r="N86" i="5"/>
  <c r="J90" i="5"/>
  <c r="N94" i="5"/>
  <c r="J98" i="5"/>
  <c r="N102" i="5"/>
  <c r="J106" i="5"/>
  <c r="N110" i="5"/>
  <c r="O114" i="5"/>
  <c r="N114" i="5"/>
  <c r="J114" i="5"/>
  <c r="M120" i="5"/>
  <c r="L120" i="5"/>
  <c r="K120" i="5"/>
  <c r="N120" i="5"/>
  <c r="N140" i="5"/>
  <c r="O154" i="5"/>
  <c r="N154" i="5"/>
  <c r="M154" i="5"/>
  <c r="K154" i="5"/>
  <c r="L154" i="5"/>
  <c r="N19" i="6"/>
  <c r="J49" i="5"/>
  <c r="J57" i="5"/>
  <c r="J65" i="5"/>
  <c r="J73" i="5"/>
  <c r="J81" i="5"/>
  <c r="J89" i="5"/>
  <c r="J97" i="5"/>
  <c r="J105" i="5"/>
  <c r="J113" i="5"/>
  <c r="O123" i="5"/>
  <c r="N123" i="5"/>
  <c r="J123" i="5"/>
  <c r="O130" i="5"/>
  <c r="N130" i="5"/>
  <c r="M130" i="5"/>
  <c r="K130" i="5"/>
  <c r="J132" i="5"/>
  <c r="N137" i="5"/>
  <c r="M137" i="5"/>
  <c r="L137" i="5"/>
  <c r="K137" i="5"/>
  <c r="M144" i="5"/>
  <c r="L144" i="5"/>
  <c r="K144" i="5"/>
  <c r="N144" i="5"/>
  <c r="N5" i="6"/>
  <c r="O27" i="6"/>
  <c r="N27" i="6"/>
  <c r="M27" i="6"/>
  <c r="L27" i="6"/>
  <c r="K27" i="6"/>
  <c r="J27" i="6"/>
  <c r="K49" i="5"/>
  <c r="K57" i="5"/>
  <c r="K65" i="5"/>
  <c r="K73" i="5"/>
  <c r="K81" i="5"/>
  <c r="K89" i="5"/>
  <c r="K97" i="5"/>
  <c r="K105" i="5"/>
  <c r="K113" i="5"/>
  <c r="L114" i="5"/>
  <c r="K123" i="5"/>
  <c r="L130" i="5"/>
  <c r="K132" i="5"/>
  <c r="O137" i="5"/>
  <c r="O144" i="5"/>
  <c r="O147" i="5"/>
  <c r="N147" i="5"/>
  <c r="J147" i="5"/>
  <c r="O35" i="6"/>
  <c r="N35" i="6"/>
  <c r="M35" i="6"/>
  <c r="L35" i="6"/>
  <c r="K35" i="6"/>
  <c r="J35" i="6"/>
  <c r="N90" i="6"/>
  <c r="L90" i="6"/>
  <c r="K90" i="6"/>
  <c r="O90" i="6"/>
  <c r="M90" i="6"/>
  <c r="J90" i="6"/>
  <c r="N43" i="6"/>
  <c r="L43" i="6"/>
  <c r="O43" i="6"/>
  <c r="M43" i="6"/>
  <c r="K43" i="6"/>
  <c r="J43" i="6"/>
  <c r="O105" i="6"/>
  <c r="L105" i="6"/>
  <c r="K105" i="6"/>
  <c r="J105" i="6"/>
  <c r="N105" i="6"/>
  <c r="M105" i="6"/>
  <c r="M123" i="5"/>
  <c r="O131" i="5"/>
  <c r="N131" i="5"/>
  <c r="J131" i="5"/>
  <c r="M132" i="5"/>
  <c r="O138" i="5"/>
  <c r="N138" i="5"/>
  <c r="M138" i="5"/>
  <c r="K138" i="5"/>
  <c r="J140" i="5"/>
  <c r="N145" i="5"/>
  <c r="M145" i="5"/>
  <c r="L145" i="5"/>
  <c r="K145" i="5"/>
  <c r="N11" i="6"/>
  <c r="N17" i="6"/>
  <c r="N25" i="6"/>
  <c r="O26" i="6"/>
  <c r="J29" i="6"/>
  <c r="M32" i="6"/>
  <c r="N33" i="6"/>
  <c r="O34" i="6"/>
  <c r="J37" i="6"/>
  <c r="M40" i="6"/>
  <c r="N41" i="6"/>
  <c r="O42" i="6"/>
  <c r="L50" i="6"/>
  <c r="J52" i="6"/>
  <c r="N52" i="6"/>
  <c r="K52" i="6"/>
  <c r="J61" i="6"/>
  <c r="M79" i="6"/>
  <c r="K79" i="6"/>
  <c r="O79" i="6"/>
  <c r="J79" i="6"/>
  <c r="N136" i="6"/>
  <c r="J136" i="6"/>
  <c r="M136" i="6"/>
  <c r="L136" i="6"/>
  <c r="L150" i="6"/>
  <c r="N150" i="6"/>
  <c r="O150" i="6"/>
  <c r="K150" i="6"/>
  <c r="J150" i="6"/>
  <c r="F96" i="7"/>
  <c r="D96" i="7"/>
  <c r="O96" i="7"/>
  <c r="G96" i="7"/>
  <c r="H96" i="7" s="1"/>
  <c r="E96" i="7"/>
  <c r="J153" i="5"/>
  <c r="L29" i="6"/>
  <c r="L37" i="6"/>
  <c r="L49" i="6"/>
  <c r="J49" i="6"/>
  <c r="N56" i="6"/>
  <c r="O56" i="6"/>
  <c r="L56" i="6"/>
  <c r="L58" i="6"/>
  <c r="J58" i="6"/>
  <c r="N64" i="6"/>
  <c r="M64" i="6"/>
  <c r="K64" i="6"/>
  <c r="J64" i="6"/>
  <c r="K69" i="6"/>
  <c r="N69" i="6"/>
  <c r="L69" i="6"/>
  <c r="J69" i="6"/>
  <c r="N88" i="6"/>
  <c r="L88" i="6"/>
  <c r="J88" i="6"/>
  <c r="L110" i="6"/>
  <c r="N110" i="6"/>
  <c r="O110" i="6"/>
  <c r="K110" i="6"/>
  <c r="J110" i="6"/>
  <c r="K117" i="6"/>
  <c r="M117" i="6"/>
  <c r="O117" i="6"/>
  <c r="N117" i="6"/>
  <c r="J117" i="6"/>
  <c r="L122" i="6"/>
  <c r="J122" i="6"/>
  <c r="O122" i="6"/>
  <c r="M122" i="6"/>
  <c r="K122" i="6"/>
  <c r="I116" i="8"/>
  <c r="H116" i="8"/>
  <c r="I132" i="8"/>
  <c r="H132" i="8"/>
  <c r="I148" i="8"/>
  <c r="H148" i="8"/>
  <c r="N51" i="6"/>
  <c r="L51" i="6"/>
  <c r="L62" i="6"/>
  <c r="J62" i="6"/>
  <c r="O62" i="6"/>
  <c r="L86" i="6"/>
  <c r="N86" i="6"/>
  <c r="K86" i="6"/>
  <c r="J86" i="6"/>
  <c r="J92" i="6"/>
  <c r="K92" i="6"/>
  <c r="O92" i="6"/>
  <c r="N92" i="6"/>
  <c r="L92" i="6"/>
  <c r="J119" i="5"/>
  <c r="J127" i="5"/>
  <c r="J135" i="5"/>
  <c r="J143" i="5"/>
  <c r="J151" i="5"/>
  <c r="L153" i="5"/>
  <c r="N13" i="6"/>
  <c r="N21" i="6"/>
  <c r="K26" i="6"/>
  <c r="M28" i="6"/>
  <c r="N29" i="6"/>
  <c r="J33" i="6"/>
  <c r="K34" i="6"/>
  <c r="M36" i="6"/>
  <c r="N37" i="6"/>
  <c r="J41" i="6"/>
  <c r="K42" i="6"/>
  <c r="K45" i="6"/>
  <c r="M49" i="6"/>
  <c r="J51" i="6"/>
  <c r="K56" i="6"/>
  <c r="M58" i="6"/>
  <c r="J60" i="6"/>
  <c r="O60" i="6"/>
  <c r="M60" i="6"/>
  <c r="K60" i="6"/>
  <c r="K62" i="6"/>
  <c r="O64" i="6"/>
  <c r="O69" i="6"/>
  <c r="J74" i="6"/>
  <c r="N74" i="6"/>
  <c r="M74" i="6"/>
  <c r="K74" i="6"/>
  <c r="M86" i="6"/>
  <c r="M88" i="6"/>
  <c r="M92" i="6"/>
  <c r="M95" i="6"/>
  <c r="N95" i="6"/>
  <c r="L95" i="6"/>
  <c r="J95" i="6"/>
  <c r="L118" i="6"/>
  <c r="N118" i="6"/>
  <c r="M118" i="6"/>
  <c r="K118" i="6"/>
  <c r="J118" i="6"/>
  <c r="J132" i="6"/>
  <c r="N132" i="6"/>
  <c r="L132" i="6"/>
  <c r="O132" i="6"/>
  <c r="M132" i="6"/>
  <c r="K141" i="6"/>
  <c r="O141" i="6"/>
  <c r="M141" i="6"/>
  <c r="N141" i="6"/>
  <c r="L141" i="6"/>
  <c r="J141" i="6"/>
  <c r="F124" i="7"/>
  <c r="O124" i="7"/>
  <c r="G124" i="7"/>
  <c r="H124" i="7" s="1"/>
  <c r="D124" i="7"/>
  <c r="E124" i="7"/>
  <c r="J118" i="5"/>
  <c r="K119" i="5"/>
  <c r="J126" i="5"/>
  <c r="K127" i="5"/>
  <c r="J134" i="5"/>
  <c r="K135" i="5"/>
  <c r="J142" i="5"/>
  <c r="K143" i="5"/>
  <c r="J150" i="5"/>
  <c r="K151" i="5"/>
  <c r="M153" i="5"/>
  <c r="N12" i="6"/>
  <c r="N20" i="6"/>
  <c r="L26" i="6"/>
  <c r="N28" i="6"/>
  <c r="J32" i="6"/>
  <c r="K33" i="6"/>
  <c r="L34" i="6"/>
  <c r="N36" i="6"/>
  <c r="J40" i="6"/>
  <c r="K41" i="6"/>
  <c r="L42" i="6"/>
  <c r="L45" i="6"/>
  <c r="N49" i="6"/>
  <c r="K51" i="6"/>
  <c r="M56" i="6"/>
  <c r="N58" i="6"/>
  <c r="M62" i="6"/>
  <c r="L74" i="6"/>
  <c r="L78" i="6"/>
  <c r="O78" i="6"/>
  <c r="M78" i="6"/>
  <c r="K78" i="6"/>
  <c r="O86" i="6"/>
  <c r="O88" i="6"/>
  <c r="K93" i="6"/>
  <c r="M93" i="6"/>
  <c r="J93" i="6"/>
  <c r="K95" i="6"/>
  <c r="M103" i="6"/>
  <c r="O103" i="6"/>
  <c r="L103" i="6"/>
  <c r="K103" i="6"/>
  <c r="J103" i="6"/>
  <c r="J108" i="6"/>
  <c r="L108" i="6"/>
  <c r="N108" i="6"/>
  <c r="M108" i="6"/>
  <c r="O118" i="6"/>
  <c r="K132" i="6"/>
  <c r="L142" i="6"/>
  <c r="N142" i="6"/>
  <c r="M142" i="6"/>
  <c r="K142" i="6"/>
  <c r="J142" i="6"/>
  <c r="L146" i="6"/>
  <c r="J146" i="6"/>
  <c r="N146" i="6"/>
  <c r="M146" i="6"/>
  <c r="L33" i="6"/>
  <c r="L41" i="6"/>
  <c r="O44" i="6"/>
  <c r="M44" i="6"/>
  <c r="J44" i="6"/>
  <c r="M45" i="6"/>
  <c r="O49" i="6"/>
  <c r="M51" i="6"/>
  <c r="O57" i="6"/>
  <c r="J57" i="6"/>
  <c r="N57" i="6"/>
  <c r="O58" i="6"/>
  <c r="N60" i="6"/>
  <c r="N62" i="6"/>
  <c r="O74" i="6"/>
  <c r="J76" i="6"/>
  <c r="M76" i="6"/>
  <c r="K76" i="6"/>
  <c r="J78" i="6"/>
  <c r="O81" i="6"/>
  <c r="M81" i="6"/>
  <c r="K81" i="6"/>
  <c r="J81" i="6"/>
  <c r="L81" i="6"/>
  <c r="L93" i="6"/>
  <c r="O95" i="6"/>
  <c r="N103" i="6"/>
  <c r="K108" i="6"/>
  <c r="M119" i="6"/>
  <c r="O119" i="6"/>
  <c r="L119" i="6"/>
  <c r="K119" i="6"/>
  <c r="J119" i="6"/>
  <c r="K133" i="6"/>
  <c r="O133" i="6"/>
  <c r="M133" i="6"/>
  <c r="N133" i="6"/>
  <c r="L133" i="6"/>
  <c r="J133" i="6"/>
  <c r="O142" i="6"/>
  <c r="K146" i="6"/>
  <c r="M50" i="6"/>
  <c r="K50" i="6"/>
  <c r="J50" i="6"/>
  <c r="O51" i="6"/>
  <c r="K61" i="6"/>
  <c r="O61" i="6"/>
  <c r="M61" i="6"/>
  <c r="M63" i="6"/>
  <c r="N63" i="6"/>
  <c r="K63" i="6"/>
  <c r="J63" i="6"/>
  <c r="O98" i="6"/>
  <c r="M98" i="6"/>
  <c r="K98" i="6"/>
  <c r="J98" i="6"/>
  <c r="L98" i="6"/>
  <c r="F106" i="7"/>
  <c r="G106" i="7"/>
  <c r="H106" i="7" s="1"/>
  <c r="D106" i="7"/>
  <c r="O106" i="7"/>
  <c r="E106" i="7"/>
  <c r="F86" i="7"/>
  <c r="O86" i="7"/>
  <c r="G86" i="7"/>
  <c r="H86" i="7" s="1"/>
  <c r="D86" i="7"/>
  <c r="F104" i="7"/>
  <c r="D104" i="7"/>
  <c r="O104" i="7"/>
  <c r="G104" i="7"/>
  <c r="H104" i="7" s="1"/>
  <c r="F114" i="7"/>
  <c r="G114" i="7"/>
  <c r="H114" i="7" s="1"/>
  <c r="D114" i="7"/>
  <c r="O114" i="7"/>
  <c r="F132" i="7"/>
  <c r="G132" i="7"/>
  <c r="H132" i="7" s="1"/>
  <c r="D132" i="7"/>
  <c r="F134" i="7"/>
  <c r="D134" i="7"/>
  <c r="G134" i="7"/>
  <c r="H134" i="7" s="1"/>
  <c r="F136" i="7"/>
  <c r="G136" i="7"/>
  <c r="H136" i="7" s="1"/>
  <c r="D136" i="7"/>
  <c r="F138" i="7"/>
  <c r="D138" i="7"/>
  <c r="G138" i="7"/>
  <c r="H138" i="7" s="1"/>
  <c r="F140" i="7"/>
  <c r="G140" i="7"/>
  <c r="H140" i="7" s="1"/>
  <c r="D140" i="7"/>
  <c r="F142" i="7"/>
  <c r="D142" i="7"/>
  <c r="G142" i="7"/>
  <c r="H142" i="7" s="1"/>
  <c r="F144" i="7"/>
  <c r="G144" i="7"/>
  <c r="H144" i="7" s="1"/>
  <c r="D144" i="7"/>
  <c r="F146" i="7"/>
  <c r="D146" i="7"/>
  <c r="G146" i="7"/>
  <c r="H146" i="7" s="1"/>
  <c r="F148" i="7"/>
  <c r="G148" i="7"/>
  <c r="H148" i="7" s="1"/>
  <c r="D148" i="7"/>
  <c r="F150" i="7"/>
  <c r="D150" i="7"/>
  <c r="G150" i="7"/>
  <c r="H150" i="7" s="1"/>
  <c r="F152" i="7"/>
  <c r="G152" i="7"/>
  <c r="H152" i="7" s="1"/>
  <c r="D152" i="7"/>
  <c r="F154" i="7"/>
  <c r="D154" i="7"/>
  <c r="G154" i="7"/>
  <c r="H154" i="7" s="1"/>
  <c r="M104" i="6"/>
  <c r="N114" i="6"/>
  <c r="L126" i="6"/>
  <c r="N126" i="6"/>
  <c r="J148" i="6"/>
  <c r="N148" i="6"/>
  <c r="L148" i="6"/>
  <c r="N152" i="6"/>
  <c r="J152" i="6"/>
  <c r="F88" i="7"/>
  <c r="D88" i="7"/>
  <c r="O88" i="7"/>
  <c r="G88" i="7"/>
  <c r="H88" i="7" s="1"/>
  <c r="F98" i="7"/>
  <c r="G98" i="7"/>
  <c r="H98" i="7" s="1"/>
  <c r="D98" i="7"/>
  <c r="O98" i="7"/>
  <c r="F116" i="7"/>
  <c r="O116" i="7"/>
  <c r="G116" i="7"/>
  <c r="H116" i="7" s="1"/>
  <c r="D116" i="7"/>
  <c r="O132" i="7"/>
  <c r="O134" i="7"/>
  <c r="O136" i="7"/>
  <c r="O138" i="7"/>
  <c r="O140" i="7"/>
  <c r="O142" i="7"/>
  <c r="O144" i="7"/>
  <c r="O146" i="7"/>
  <c r="O148" i="7"/>
  <c r="O150" i="7"/>
  <c r="O152" i="7"/>
  <c r="O154" i="7"/>
  <c r="M55" i="6"/>
  <c r="J55" i="6"/>
  <c r="J72" i="6"/>
  <c r="J77" i="6"/>
  <c r="J89" i="6"/>
  <c r="J94" i="6"/>
  <c r="O104" i="6"/>
  <c r="J106" i="6"/>
  <c r="J112" i="6"/>
  <c r="O114" i="6"/>
  <c r="J116" i="6"/>
  <c r="L116" i="6"/>
  <c r="J124" i="6"/>
  <c r="N124" i="6"/>
  <c r="L124" i="6"/>
  <c r="J126" i="6"/>
  <c r="N128" i="6"/>
  <c r="J128" i="6"/>
  <c r="L138" i="6"/>
  <c r="J138" i="6"/>
  <c r="K148" i="6"/>
  <c r="K152" i="6"/>
  <c r="F80" i="7"/>
  <c r="D80" i="7"/>
  <c r="O80" i="7"/>
  <c r="G80" i="7"/>
  <c r="H80" i="7" s="1"/>
  <c r="E88" i="7"/>
  <c r="F90" i="7"/>
  <c r="G90" i="7"/>
  <c r="H90" i="7" s="1"/>
  <c r="D90" i="7"/>
  <c r="O90" i="7"/>
  <c r="E98" i="7"/>
  <c r="F108" i="7"/>
  <c r="O108" i="7"/>
  <c r="G108" i="7"/>
  <c r="H108" i="7" s="1"/>
  <c r="D108" i="7"/>
  <c r="E116" i="7"/>
  <c r="F126" i="7"/>
  <c r="O126" i="7"/>
  <c r="G126" i="7"/>
  <c r="H126" i="7" s="1"/>
  <c r="D126" i="7"/>
  <c r="F82" i="7"/>
  <c r="G82" i="7"/>
  <c r="H82" i="7" s="1"/>
  <c r="D82" i="7"/>
  <c r="O82" i="7"/>
  <c r="F100" i="7"/>
  <c r="O100" i="7"/>
  <c r="G100" i="7"/>
  <c r="H100" i="7" s="1"/>
  <c r="D100" i="7"/>
  <c r="F118" i="7"/>
  <c r="O118" i="7"/>
  <c r="G118" i="7"/>
  <c r="H118" i="7" s="1"/>
  <c r="D118" i="7"/>
  <c r="F133" i="7"/>
  <c r="G133" i="7"/>
  <c r="H133" i="7" s="1"/>
  <c r="D133" i="7"/>
  <c r="F135" i="7"/>
  <c r="G135" i="7"/>
  <c r="H135" i="7" s="1"/>
  <c r="D135" i="7"/>
  <c r="F137" i="7"/>
  <c r="G137" i="7"/>
  <c r="H137" i="7" s="1"/>
  <c r="D137" i="7"/>
  <c r="F139" i="7"/>
  <c r="G139" i="7"/>
  <c r="H139" i="7" s="1"/>
  <c r="D139" i="7"/>
  <c r="F141" i="7"/>
  <c r="G141" i="7"/>
  <c r="H141" i="7" s="1"/>
  <c r="D141" i="7"/>
  <c r="F143" i="7"/>
  <c r="G143" i="7"/>
  <c r="H143" i="7" s="1"/>
  <c r="D143" i="7"/>
  <c r="F145" i="7"/>
  <c r="G145" i="7"/>
  <c r="H145" i="7" s="1"/>
  <c r="D145" i="7"/>
  <c r="F147" i="7"/>
  <c r="G147" i="7"/>
  <c r="H147" i="7" s="1"/>
  <c r="D147" i="7"/>
  <c r="F149" i="7"/>
  <c r="G149" i="7"/>
  <c r="H149" i="7" s="1"/>
  <c r="D149" i="7"/>
  <c r="F151" i="7"/>
  <c r="G151" i="7"/>
  <c r="H151" i="7" s="1"/>
  <c r="D151" i="7"/>
  <c r="F153" i="7"/>
  <c r="G153" i="7"/>
  <c r="H153" i="7" s="1"/>
  <c r="D153" i="7"/>
  <c r="I114" i="8"/>
  <c r="H114" i="8"/>
  <c r="I119" i="8"/>
  <c r="H119" i="8"/>
  <c r="I130" i="8"/>
  <c r="H130" i="8"/>
  <c r="I135" i="8"/>
  <c r="H135" i="8"/>
  <c r="I146" i="8"/>
  <c r="H146" i="8"/>
  <c r="I151" i="8"/>
  <c r="H151" i="8"/>
  <c r="G7" i="8"/>
  <c r="G6" i="8"/>
  <c r="L55" i="6"/>
  <c r="L68" i="6"/>
  <c r="M71" i="6"/>
  <c r="J71" i="6"/>
  <c r="L72" i="6"/>
  <c r="M77" i="6"/>
  <c r="K80" i="6"/>
  <c r="L85" i="6"/>
  <c r="L89" i="6"/>
  <c r="M94" i="6"/>
  <c r="K97" i="6"/>
  <c r="K102" i="6"/>
  <c r="L106" i="6"/>
  <c r="K109" i="6"/>
  <c r="M109" i="6"/>
  <c r="J109" i="6"/>
  <c r="L112" i="6"/>
  <c r="M116" i="6"/>
  <c r="M124" i="6"/>
  <c r="M126" i="6"/>
  <c r="L128" i="6"/>
  <c r="J140" i="6"/>
  <c r="N140" i="6"/>
  <c r="L140" i="6"/>
  <c r="N144" i="6"/>
  <c r="J144" i="6"/>
  <c r="O148" i="6"/>
  <c r="M152" i="6"/>
  <c r="L154" i="6"/>
  <c r="J154" i="6"/>
  <c r="E82" i="7"/>
  <c r="F92" i="7"/>
  <c r="O92" i="7"/>
  <c r="G92" i="7"/>
  <c r="H92" i="7" s="1"/>
  <c r="D92" i="7"/>
  <c r="E100" i="7"/>
  <c r="F110" i="7"/>
  <c r="O110" i="7"/>
  <c r="G110" i="7"/>
  <c r="H110" i="7" s="1"/>
  <c r="D110" i="7"/>
  <c r="E118" i="7"/>
  <c r="F128" i="7"/>
  <c r="D128" i="7"/>
  <c r="O128" i="7"/>
  <c r="G128" i="7"/>
  <c r="H128" i="7" s="1"/>
  <c r="E133" i="7"/>
  <c r="E135" i="7"/>
  <c r="E137" i="7"/>
  <c r="E139" i="7"/>
  <c r="E141" i="7"/>
  <c r="E143" i="7"/>
  <c r="E145" i="7"/>
  <c r="E147" i="7"/>
  <c r="E149" i="7"/>
  <c r="E151" i="7"/>
  <c r="E153" i="7"/>
  <c r="M111" i="6"/>
  <c r="O111" i="6"/>
  <c r="J111" i="6"/>
  <c r="L130" i="6"/>
  <c r="J130" i="6"/>
  <c r="K149" i="6"/>
  <c r="O149" i="6"/>
  <c r="M149" i="6"/>
  <c r="J149" i="6"/>
  <c r="F84" i="7"/>
  <c r="O84" i="7"/>
  <c r="G84" i="7"/>
  <c r="H84" i="7" s="1"/>
  <c r="D84" i="7"/>
  <c r="F102" i="7"/>
  <c r="O102" i="7"/>
  <c r="G102" i="7"/>
  <c r="H102" i="7" s="1"/>
  <c r="D102" i="7"/>
  <c r="F120" i="7"/>
  <c r="D120" i="7"/>
  <c r="O120" i="7"/>
  <c r="G120" i="7"/>
  <c r="H120" i="7" s="1"/>
  <c r="F130" i="7"/>
  <c r="G130" i="7"/>
  <c r="H130" i="7" s="1"/>
  <c r="D130" i="7"/>
  <c r="O130" i="7"/>
  <c r="O133" i="7"/>
  <c r="O135" i="7"/>
  <c r="O137" i="7"/>
  <c r="O139" i="7"/>
  <c r="O141" i="7"/>
  <c r="O143" i="7"/>
  <c r="O145" i="7"/>
  <c r="O147" i="7"/>
  <c r="O149" i="7"/>
  <c r="O151" i="7"/>
  <c r="O153" i="7"/>
  <c r="I113" i="8"/>
  <c r="H113" i="8"/>
  <c r="I129" i="8"/>
  <c r="H129" i="8"/>
  <c r="I145" i="8"/>
  <c r="H145" i="8"/>
  <c r="O55" i="6"/>
  <c r="N68" i="6"/>
  <c r="L71" i="6"/>
  <c r="O72" i="6"/>
  <c r="O77" i="6"/>
  <c r="M80" i="6"/>
  <c r="L84" i="6"/>
  <c r="N85" i="6"/>
  <c r="M87" i="6"/>
  <c r="J87" i="6"/>
  <c r="N89" i="6"/>
  <c r="O94" i="6"/>
  <c r="K96" i="6"/>
  <c r="M97" i="6"/>
  <c r="L101" i="6"/>
  <c r="N102" i="6"/>
  <c r="J104" i="6"/>
  <c r="N109" i="6"/>
  <c r="K111" i="6"/>
  <c r="O112" i="6"/>
  <c r="K114" i="6"/>
  <c r="O116" i="6"/>
  <c r="K120" i="6"/>
  <c r="K125" i="6"/>
  <c r="O125" i="6"/>
  <c r="M125" i="6"/>
  <c r="J125" i="6"/>
  <c r="O128" i="6"/>
  <c r="K130" i="6"/>
  <c r="L134" i="6"/>
  <c r="N134" i="6"/>
  <c r="O138" i="6"/>
  <c r="M140" i="6"/>
  <c r="L144" i="6"/>
  <c r="L149" i="6"/>
  <c r="M154" i="6"/>
  <c r="E84" i="7"/>
  <c r="F94" i="7"/>
  <c r="O94" i="7"/>
  <c r="G94" i="7"/>
  <c r="H94" i="7" s="1"/>
  <c r="D94" i="7"/>
  <c r="E102" i="7"/>
  <c r="F112" i="7"/>
  <c r="D112" i="7"/>
  <c r="O112" i="7"/>
  <c r="G112" i="7"/>
  <c r="H112" i="7" s="1"/>
  <c r="E120" i="7"/>
  <c r="F122" i="7"/>
  <c r="G122" i="7"/>
  <c r="H122" i="7" s="1"/>
  <c r="D122" i="7"/>
  <c r="O122" i="7"/>
  <c r="E130" i="7"/>
  <c r="I117" i="8"/>
  <c r="H117" i="8"/>
  <c r="I133" i="8"/>
  <c r="H133" i="8"/>
  <c r="I149" i="8"/>
  <c r="H149" i="8"/>
  <c r="O127" i="6"/>
  <c r="O135" i="6"/>
  <c r="O143" i="6"/>
  <c r="O151" i="6"/>
  <c r="I105" i="8"/>
  <c r="H105" i="8"/>
  <c r="I111" i="8"/>
  <c r="H111" i="8"/>
  <c r="I140" i="8"/>
  <c r="H140" i="8"/>
  <c r="I121" i="8"/>
  <c r="H121" i="8"/>
  <c r="I127" i="8"/>
  <c r="H127" i="8"/>
  <c r="B20" i="10"/>
  <c r="I108" i="8"/>
  <c r="H108" i="8"/>
  <c r="I137" i="8"/>
  <c r="H137" i="8"/>
  <c r="I143" i="8"/>
  <c r="H143" i="8"/>
  <c r="E81" i="7"/>
  <c r="E89" i="7"/>
  <c r="E97" i="7"/>
  <c r="E105" i="7"/>
  <c r="E113" i="7"/>
  <c r="E121" i="7"/>
  <c r="E129" i="7"/>
  <c r="I124" i="8"/>
  <c r="H124" i="8"/>
  <c r="I153" i="8"/>
  <c r="H153" i="8"/>
  <c r="AC77" i="2" l="1"/>
  <c r="N25" i="4"/>
  <c r="I10" i="8"/>
  <c r="M24" i="5"/>
  <c r="O24" i="5" s="1"/>
  <c r="M23" i="5"/>
  <c r="O23" i="5" s="1"/>
  <c r="H28" i="8"/>
  <c r="I38" i="8"/>
  <c r="H9" i="8"/>
  <c r="I30" i="8"/>
  <c r="H36" i="8"/>
  <c r="H13" i="8"/>
  <c r="H39" i="8"/>
  <c r="H15" i="8"/>
  <c r="I53" i="8"/>
  <c r="H47" i="8"/>
  <c r="H23" i="8"/>
  <c r="H24" i="8"/>
  <c r="I32" i="8"/>
  <c r="I43" i="8"/>
  <c r="H31" i="8"/>
  <c r="H14" i="8"/>
  <c r="H11" i="8"/>
  <c r="H17" i="8"/>
  <c r="I40" i="8"/>
  <c r="H21" i="8"/>
  <c r="I50" i="8"/>
  <c r="AC37" i="2"/>
  <c r="H12" i="8"/>
  <c r="I37" i="8"/>
  <c r="I51" i="8"/>
  <c r="H20" i="8"/>
  <c r="I29" i="8"/>
  <c r="I54" i="8"/>
  <c r="H27" i="8"/>
  <c r="H49" i="8"/>
  <c r="H22" i="8"/>
  <c r="H19" i="8"/>
  <c r="H16" i="8"/>
  <c r="H8" i="8"/>
  <c r="I56" i="8"/>
  <c r="I52" i="8"/>
  <c r="I18" i="8"/>
  <c r="I48" i="8"/>
  <c r="I33" i="8"/>
  <c r="I55" i="8"/>
  <c r="I26" i="8"/>
  <c r="I46" i="8"/>
  <c r="H45" i="8"/>
  <c r="I35" i="8"/>
  <c r="I42" i="8"/>
  <c r="I41" i="8"/>
  <c r="I25" i="8"/>
  <c r="I34" i="8"/>
  <c r="H59" i="8"/>
  <c r="I58" i="8"/>
  <c r="I57" i="8"/>
  <c r="I44" i="8"/>
  <c r="H60" i="8"/>
  <c r="C16" i="7"/>
  <c r="M21" i="5"/>
  <c r="O21" i="5" s="1"/>
  <c r="N23" i="4"/>
  <c r="C15" i="7"/>
  <c r="AA6" i="2"/>
  <c r="Y6" i="2"/>
  <c r="AC6" i="2" s="1"/>
  <c r="M20" i="5"/>
  <c r="O20" i="5" s="1"/>
  <c r="AC22" i="2"/>
  <c r="M22" i="5"/>
  <c r="O22" i="5" s="1"/>
  <c r="N21" i="4"/>
  <c r="C14" i="7"/>
  <c r="N22" i="4"/>
  <c r="M22" i="4"/>
  <c r="M18" i="5"/>
  <c r="O18" i="5" s="1"/>
  <c r="N20" i="4"/>
  <c r="N6" i="4"/>
  <c r="AC44" i="2"/>
  <c r="C12" i="7"/>
  <c r="C13" i="7"/>
  <c r="M19" i="5"/>
  <c r="O19" i="5" s="1"/>
  <c r="N19" i="4"/>
  <c r="AC34" i="2"/>
  <c r="AC32" i="2"/>
  <c r="M17" i="5"/>
  <c r="O17" i="5" s="1"/>
  <c r="AC35" i="2"/>
  <c r="M16" i="5"/>
  <c r="O16" i="5" s="1"/>
  <c r="AC10" i="2"/>
  <c r="N18" i="4"/>
  <c r="M8" i="5"/>
  <c r="O8" i="5" s="1"/>
  <c r="M9" i="5"/>
  <c r="O9" i="5" s="1"/>
  <c r="U80" i="2"/>
  <c r="V80" i="2" s="1"/>
  <c r="W5" i="2"/>
  <c r="Z5" i="2" s="1"/>
  <c r="U78" i="2"/>
  <c r="V78" i="2" s="1"/>
  <c r="U81" i="2"/>
  <c r="V81" i="2" s="1"/>
  <c r="U82" i="2"/>
  <c r="V82" i="2" s="1"/>
  <c r="U79" i="2"/>
  <c r="V79" i="2" s="1"/>
  <c r="N17" i="4"/>
  <c r="AC36" i="2"/>
  <c r="AC9" i="2"/>
  <c r="AC30" i="2"/>
  <c r="AC33" i="2"/>
  <c r="AC27" i="2"/>
  <c r="AC41" i="2"/>
  <c r="AC28" i="2"/>
  <c r="N11" i="4"/>
  <c r="N7" i="4"/>
  <c r="AC39" i="2"/>
  <c r="AC38" i="2"/>
  <c r="AC15" i="2"/>
  <c r="AC12" i="2"/>
  <c r="N15" i="4"/>
  <c r="N16" i="4"/>
  <c r="AC11" i="2"/>
  <c r="AC31" i="2"/>
  <c r="AC18" i="2"/>
  <c r="AC14" i="2"/>
  <c r="AC16" i="2"/>
  <c r="M13" i="5"/>
  <c r="O13" i="5" s="1"/>
  <c r="M11" i="5"/>
  <c r="O11" i="5" s="1"/>
  <c r="N12" i="4"/>
  <c r="T59" i="2"/>
  <c r="U59" i="2" s="1"/>
  <c r="V59" i="2" s="1"/>
  <c r="AC24" i="2"/>
  <c r="AC29" i="2"/>
  <c r="AC23" i="2"/>
  <c r="R60" i="2"/>
  <c r="R45" i="2"/>
  <c r="U45" i="2" s="1"/>
  <c r="V45" i="2" s="1"/>
  <c r="R54" i="2"/>
  <c r="U54" i="2" s="1"/>
  <c r="V54" i="2" s="1"/>
  <c r="R30" i="2"/>
  <c r="R23" i="2"/>
  <c r="T50" i="2"/>
  <c r="U50" i="2" s="1"/>
  <c r="V50" i="2" s="1"/>
  <c r="T51" i="2"/>
  <c r="U51" i="2" s="1"/>
  <c r="V51" i="2" s="1"/>
  <c r="T64" i="2"/>
  <c r="U64" i="2" s="1"/>
  <c r="V64" i="2" s="1"/>
  <c r="T66" i="2"/>
  <c r="U66" i="2" s="1"/>
  <c r="V66" i="2" s="1"/>
  <c r="T68" i="2"/>
  <c r="U68" i="2" s="1"/>
  <c r="V68" i="2" s="1"/>
  <c r="R18" i="2"/>
  <c r="R34" i="2"/>
  <c r="R14" i="2"/>
  <c r="R7" i="2"/>
  <c r="U7" i="2" s="1"/>
  <c r="R73" i="2"/>
  <c r="U73" i="2" s="1"/>
  <c r="V73" i="2" s="1"/>
  <c r="R63" i="2"/>
  <c r="T69" i="2"/>
  <c r="U69" i="2" s="1"/>
  <c r="V69" i="2" s="1"/>
  <c r="R49" i="2"/>
  <c r="U49" i="2" s="1"/>
  <c r="V49" i="2" s="1"/>
  <c r="R52" i="2"/>
  <c r="U52" i="2" s="1"/>
  <c r="V52" i="2" s="1"/>
  <c r="T48" i="2"/>
  <c r="U48" i="2" s="1"/>
  <c r="V48" i="2" s="1"/>
  <c r="R67" i="2"/>
  <c r="U67" i="2" s="1"/>
  <c r="V67" i="2" s="1"/>
  <c r="T46" i="2"/>
  <c r="U46" i="2" s="1"/>
  <c r="V46" i="2" s="1"/>
  <c r="T55" i="2"/>
  <c r="U55" i="2" s="1"/>
  <c r="V55" i="2" s="1"/>
  <c r="R65" i="2"/>
  <c r="U65" i="2" s="1"/>
  <c r="T47" i="2"/>
  <c r="U47" i="2" s="1"/>
  <c r="V47" i="2" s="1"/>
  <c r="R57" i="2"/>
  <c r="T58" i="2"/>
  <c r="U58" i="2" s="1"/>
  <c r="V58" i="2" s="1"/>
  <c r="T74" i="2"/>
  <c r="U74" i="2" s="1"/>
  <c r="V74" i="2" s="1"/>
  <c r="T53" i="2"/>
  <c r="U53" i="2" s="1"/>
  <c r="V53" i="2" s="1"/>
  <c r="T70" i="2"/>
  <c r="U70" i="2" s="1"/>
  <c r="V70" i="2" s="1"/>
  <c r="R61" i="2"/>
  <c r="U71" i="2"/>
  <c r="V71" i="2" s="1"/>
  <c r="U56" i="2"/>
  <c r="V56" i="2" s="1"/>
  <c r="U72" i="2"/>
  <c r="V72" i="2" s="1"/>
  <c r="AC40" i="2"/>
  <c r="R15" i="2"/>
  <c r="M15" i="5"/>
  <c r="O15" i="5" s="1"/>
  <c r="M10" i="5"/>
  <c r="O10" i="5" s="1"/>
  <c r="N13" i="4"/>
  <c r="N10" i="4"/>
  <c r="AC42" i="2"/>
  <c r="AC25" i="2"/>
  <c r="R42" i="2"/>
  <c r="I67" i="1"/>
  <c r="R6" i="2"/>
  <c r="K67" i="1" s="1"/>
  <c r="R26" i="2"/>
  <c r="U26" i="2" s="1"/>
  <c r="V26" i="2" s="1"/>
  <c r="T38" i="2"/>
  <c r="T41" i="2"/>
  <c r="T36" i="2"/>
  <c r="T5" i="2"/>
  <c r="R5" i="2"/>
  <c r="T35" i="2"/>
  <c r="R16" i="2"/>
  <c r="R32" i="2"/>
  <c r="R33" i="2"/>
  <c r="T20" i="2"/>
  <c r="U20" i="2" s="1"/>
  <c r="V20" i="2" s="1"/>
  <c r="R13" i="2"/>
  <c r="U13" i="2" s="1"/>
  <c r="V13" i="2" s="1"/>
  <c r="R40" i="2"/>
  <c r="R8" i="2"/>
  <c r="U6" i="2"/>
  <c r="V6" i="2" s="1"/>
  <c r="L67" i="1"/>
  <c r="R9" i="2"/>
  <c r="U9" i="2" s="1"/>
  <c r="T11" i="2"/>
  <c r="U11" i="2" s="1"/>
  <c r="V11" i="2" s="1"/>
  <c r="T44" i="2"/>
  <c r="S5" i="11"/>
  <c r="R10" i="2"/>
  <c r="S9" i="11"/>
  <c r="N67" i="1"/>
  <c r="H67" i="1"/>
  <c r="F67" i="1"/>
  <c r="E67" i="1"/>
  <c r="C67" i="1"/>
  <c r="J67" i="1"/>
  <c r="B67" i="1"/>
  <c r="S12" i="11"/>
  <c r="T29" i="2"/>
  <c r="T24" i="2"/>
  <c r="T22" i="2"/>
  <c r="U22" i="2" s="1"/>
  <c r="V22" i="2" s="1"/>
  <c r="T12" i="2"/>
  <c r="T19" i="2"/>
  <c r="U19" i="2" s="1"/>
  <c r="R17" i="2"/>
  <c r="T43" i="2"/>
  <c r="U43" i="2" s="1"/>
  <c r="V43" i="2" s="1"/>
  <c r="R25" i="2"/>
  <c r="R37" i="2"/>
  <c r="R31" i="2"/>
  <c r="T21" i="2"/>
  <c r="U21" i="2" s="1"/>
  <c r="V21" i="2" s="1"/>
  <c r="R28" i="2"/>
  <c r="R27" i="2"/>
  <c r="M12" i="5"/>
  <c r="O12" i="5" s="1"/>
  <c r="W8" i="2"/>
  <c r="Z8" i="2" s="1"/>
  <c r="AA8" i="2"/>
  <c r="Y8" i="2"/>
  <c r="M6" i="5"/>
  <c r="O6" i="5" s="1"/>
  <c r="S7" i="11"/>
  <c r="S6" i="11"/>
  <c r="K7" i="5"/>
  <c r="M7" i="5" s="1"/>
  <c r="S11" i="11"/>
  <c r="Y7" i="2"/>
  <c r="W7" i="2"/>
  <c r="Z7" i="2" s="1"/>
  <c r="S10" i="11"/>
  <c r="M5" i="4"/>
  <c r="I6" i="8"/>
  <c r="H6" i="8"/>
  <c r="I7" i="8"/>
  <c r="H7" i="8"/>
  <c r="M5" i="5"/>
  <c r="O5" i="5" s="1"/>
  <c r="N9" i="4"/>
  <c r="C11" i="7"/>
  <c r="C10" i="7"/>
  <c r="C9" i="7"/>
  <c r="C8" i="7"/>
  <c r="C7" i="7"/>
  <c r="C6" i="7"/>
  <c r="C5" i="7"/>
  <c r="AD7" i="2"/>
  <c r="M14" i="5"/>
  <c r="O14" i="5" s="1"/>
  <c r="N5" i="4"/>
  <c r="V25" i="3" l="1"/>
  <c r="W25" i="3" s="1"/>
  <c r="V24" i="3"/>
  <c r="W24" i="3" s="1"/>
  <c r="O16" i="7"/>
  <c r="F16" i="7"/>
  <c r="E16" i="7"/>
  <c r="D16" i="7"/>
  <c r="P16" i="7"/>
  <c r="G16" i="7"/>
  <c r="H16" i="7" s="1"/>
  <c r="O15" i="7"/>
  <c r="G15" i="7"/>
  <c r="H15" i="7" s="1"/>
  <c r="E15" i="7"/>
  <c r="D15" i="7"/>
  <c r="F15" i="7"/>
  <c r="V23" i="3"/>
  <c r="W23" i="3" s="1"/>
  <c r="P15" i="7"/>
  <c r="O14" i="7"/>
  <c r="F14" i="7"/>
  <c r="D14" i="7"/>
  <c r="G14" i="7"/>
  <c r="H14" i="7" s="1"/>
  <c r="E14" i="7"/>
  <c r="V22" i="3"/>
  <c r="W22" i="3" s="1"/>
  <c r="P14" i="7"/>
  <c r="V21" i="3"/>
  <c r="W21" i="3" s="1"/>
  <c r="O13" i="7"/>
  <c r="D13" i="7"/>
  <c r="F13" i="7"/>
  <c r="E13" i="7"/>
  <c r="G13" i="7"/>
  <c r="H13" i="7" s="1"/>
  <c r="O12" i="7"/>
  <c r="D12" i="7"/>
  <c r="F12" i="7"/>
  <c r="E12" i="7"/>
  <c r="G12" i="7"/>
  <c r="H12" i="7" s="1"/>
  <c r="V20" i="3"/>
  <c r="W20" i="3" s="1"/>
  <c r="P13" i="7"/>
  <c r="V19" i="3"/>
  <c r="W19" i="3" s="1"/>
  <c r="P12" i="7"/>
  <c r="V18" i="3"/>
  <c r="W18" i="3" s="1"/>
  <c r="AC5" i="2"/>
  <c r="V17" i="3"/>
  <c r="W17" i="3" s="1"/>
  <c r="V16" i="3"/>
  <c r="W16" i="3" s="1"/>
  <c r="M67" i="1"/>
  <c r="K68" i="1"/>
  <c r="H11" i="11"/>
  <c r="F68" i="1"/>
  <c r="V9" i="2"/>
  <c r="V19" i="2"/>
  <c r="F11" i="11"/>
  <c r="H6" i="11"/>
  <c r="D5" i="11"/>
  <c r="B10" i="11"/>
  <c r="G9" i="11"/>
  <c r="B15" i="1"/>
  <c r="B7" i="11"/>
  <c r="C7" i="11"/>
  <c r="H12" i="11"/>
  <c r="E11" i="11"/>
  <c r="C8" i="11"/>
  <c r="H7" i="11"/>
  <c r="E9" i="11"/>
  <c r="N11" i="1"/>
  <c r="B5" i="11"/>
  <c r="E5" i="11"/>
  <c r="G12" i="11"/>
  <c r="D11" i="11"/>
  <c r="F9" i="11"/>
  <c r="B8" i="11"/>
  <c r="B12" i="11"/>
  <c r="G6" i="11"/>
  <c r="C5" i="11"/>
  <c r="F12" i="11"/>
  <c r="C11" i="11"/>
  <c r="H10" i="11"/>
  <c r="F7" i="11"/>
  <c r="C6" i="11"/>
  <c r="G8" i="11"/>
  <c r="E6" i="11"/>
  <c r="B6" i="10"/>
  <c r="B11" i="11"/>
  <c r="G10" i="11"/>
  <c r="D9" i="11"/>
  <c r="B6" i="11"/>
  <c r="G5" i="11"/>
  <c r="F10" i="11"/>
  <c r="E12" i="11"/>
  <c r="C9" i="11"/>
  <c r="H8" i="11"/>
  <c r="E7" i="11"/>
  <c r="F5" i="11"/>
  <c r="B9" i="11"/>
  <c r="D12" i="11"/>
  <c r="E10" i="11"/>
  <c r="C10" i="11"/>
  <c r="H9" i="11"/>
  <c r="E8" i="11"/>
  <c r="E15" i="1"/>
  <c r="D7" i="11"/>
  <c r="F8" i="11"/>
  <c r="D8" i="11"/>
  <c r="K11" i="1"/>
  <c r="D10" i="11"/>
  <c r="D6" i="11"/>
  <c r="F6" i="11"/>
  <c r="C12" i="11"/>
  <c r="G11" i="11"/>
  <c r="H5" i="11"/>
  <c r="G7" i="11"/>
  <c r="G9" i="7"/>
  <c r="H9" i="7" s="1"/>
  <c r="E9" i="7"/>
  <c r="F9" i="7"/>
  <c r="D9" i="7"/>
  <c r="P9" i="7"/>
  <c r="O9" i="7"/>
  <c r="AD8" i="2"/>
  <c r="E68" i="1" s="1"/>
  <c r="G8" i="7"/>
  <c r="H8" i="7" s="1"/>
  <c r="E8" i="7"/>
  <c r="P8" i="7"/>
  <c r="O8" i="7"/>
  <c r="F8" i="7"/>
  <c r="D8" i="7"/>
  <c r="AC7" i="2"/>
  <c r="G10" i="7"/>
  <c r="H10" i="7" s="1"/>
  <c r="E10" i="7"/>
  <c r="P10" i="7"/>
  <c r="O10" i="7"/>
  <c r="F10" i="7"/>
  <c r="D10" i="7"/>
  <c r="G11" i="7"/>
  <c r="H11" i="7" s="1"/>
  <c r="E11" i="7"/>
  <c r="P11" i="7"/>
  <c r="O11" i="7"/>
  <c r="D11" i="7"/>
  <c r="F11" i="7"/>
  <c r="O7" i="5"/>
  <c r="B15" i="10" s="1"/>
  <c r="G5" i="7"/>
  <c r="H5" i="7" s="1"/>
  <c r="E5" i="7"/>
  <c r="P5" i="7"/>
  <c r="O5" i="7"/>
  <c r="F5" i="7"/>
  <c r="D5" i="7"/>
  <c r="V10" i="3"/>
  <c r="W10" i="3" s="1"/>
  <c r="V6" i="3"/>
  <c r="W6" i="3" s="1"/>
  <c r="V11" i="3"/>
  <c r="W11" i="3" s="1"/>
  <c r="V7" i="3"/>
  <c r="W7" i="3" s="1"/>
  <c r="V13" i="3"/>
  <c r="W13" i="3" s="1"/>
  <c r="V9" i="3"/>
  <c r="W9" i="3" s="1"/>
  <c r="V15" i="3"/>
  <c r="W15" i="3" s="1"/>
  <c r="V5" i="3"/>
  <c r="W5" i="3" s="1"/>
  <c r="V12" i="3"/>
  <c r="W12" i="3" s="1"/>
  <c r="V8" i="3"/>
  <c r="W8" i="3" s="1"/>
  <c r="V14" i="3"/>
  <c r="W14" i="3" s="1"/>
  <c r="G6" i="7"/>
  <c r="H6" i="7" s="1"/>
  <c r="E6" i="7"/>
  <c r="D6" i="7"/>
  <c r="P6" i="7"/>
  <c r="O6" i="7"/>
  <c r="F6" i="7"/>
  <c r="G7" i="7"/>
  <c r="H7" i="7" s="1"/>
  <c r="E7" i="7"/>
  <c r="O7" i="7"/>
  <c r="F7" i="7"/>
  <c r="D7" i="7"/>
  <c r="P7" i="7"/>
  <c r="J25" i="6" l="1"/>
  <c r="K25" i="6" s="1"/>
  <c r="L25" i="6"/>
  <c r="H24" i="4"/>
  <c r="X65" i="2" s="1"/>
  <c r="H25" i="4"/>
  <c r="L24" i="6"/>
  <c r="J24" i="6"/>
  <c r="K24" i="6" s="1"/>
  <c r="AD9" i="2"/>
  <c r="J23" i="6"/>
  <c r="K23" i="6" s="1"/>
  <c r="L23" i="6"/>
  <c r="H23" i="4"/>
  <c r="L22" i="6"/>
  <c r="J22" i="6"/>
  <c r="K22" i="6" s="1"/>
  <c r="H22" i="4"/>
  <c r="O22" i="4" s="1"/>
  <c r="J21" i="6"/>
  <c r="K21" i="6" s="1"/>
  <c r="L21" i="6"/>
  <c r="H20" i="4"/>
  <c r="O20" i="4" s="1"/>
  <c r="T20" i="4" s="1"/>
  <c r="Y20" i="4" s="1"/>
  <c r="H21" i="4"/>
  <c r="J20" i="6"/>
  <c r="K20" i="6" s="1"/>
  <c r="L20" i="6"/>
  <c r="L19" i="6"/>
  <c r="J19" i="6"/>
  <c r="K19" i="6" s="1"/>
  <c r="H19" i="4"/>
  <c r="J18" i="6"/>
  <c r="K18" i="6" s="1"/>
  <c r="L18" i="6"/>
  <c r="H18" i="4"/>
  <c r="J68" i="1"/>
  <c r="B68" i="1"/>
  <c r="M68" i="1"/>
  <c r="N69" i="1"/>
  <c r="I69" i="1"/>
  <c r="N68" i="1"/>
  <c r="M69" i="1"/>
  <c r="C69" i="1"/>
  <c r="I68" i="1"/>
  <c r="L69" i="1"/>
  <c r="C68" i="1"/>
  <c r="H68" i="1"/>
  <c r="L68" i="1"/>
  <c r="J17" i="6"/>
  <c r="K17" i="6" s="1"/>
  <c r="L17" i="6"/>
  <c r="H17" i="4"/>
  <c r="AA19" i="2" s="1"/>
  <c r="L16" i="6"/>
  <c r="J16" i="6"/>
  <c r="K16" i="6" s="1"/>
  <c r="H16" i="4"/>
  <c r="X19" i="2" s="1"/>
  <c r="F69" i="1"/>
  <c r="H69" i="1"/>
  <c r="K69" i="1"/>
  <c r="B69" i="1"/>
  <c r="J69" i="1"/>
  <c r="E69" i="1"/>
  <c r="J10" i="6"/>
  <c r="K10" i="6" s="1"/>
  <c r="L12" i="6"/>
  <c r="L8" i="6"/>
  <c r="J6" i="6"/>
  <c r="K6" i="6" s="1"/>
  <c r="J12" i="6"/>
  <c r="K12" i="6" s="1"/>
  <c r="J9" i="6"/>
  <c r="K9" i="6" s="1"/>
  <c r="J5" i="6"/>
  <c r="K5" i="6" s="1"/>
  <c r="J14" i="6"/>
  <c r="K14" i="6" s="1"/>
  <c r="J15" i="6"/>
  <c r="K15" i="6" s="1"/>
  <c r="L11" i="6"/>
  <c r="J8" i="6"/>
  <c r="K8" i="6" s="1"/>
  <c r="L6" i="6"/>
  <c r="L5" i="6"/>
  <c r="J11" i="6"/>
  <c r="K11" i="6" s="1"/>
  <c r="L10" i="6"/>
  <c r="L14" i="6"/>
  <c r="L9" i="6"/>
  <c r="J7" i="6"/>
  <c r="K7" i="6" s="1"/>
  <c r="L7" i="6"/>
  <c r="J13" i="6"/>
  <c r="K13" i="6" s="1"/>
  <c r="L15" i="6"/>
  <c r="L13" i="6"/>
  <c r="H8" i="4"/>
  <c r="H14" i="4"/>
  <c r="H6" i="4"/>
  <c r="X5" i="2" s="1"/>
  <c r="H9" i="4"/>
  <c r="H11" i="4"/>
  <c r="H13" i="4"/>
  <c r="H15" i="4"/>
  <c r="H5" i="4"/>
  <c r="AA5" i="2" s="1"/>
  <c r="H12" i="4"/>
  <c r="H7" i="4"/>
  <c r="H10" i="4"/>
  <c r="B17" i="10"/>
  <c r="B16" i="10"/>
  <c r="AD10" i="2"/>
  <c r="B70" i="1" s="1"/>
  <c r="M25" i="6" l="1"/>
  <c r="O25" i="6" s="1"/>
  <c r="P24" i="4"/>
  <c r="O24" i="4"/>
  <c r="T24" i="4" s="1"/>
  <c r="Y24" i="4" s="1"/>
  <c r="O25" i="4"/>
  <c r="T25" i="4" s="1"/>
  <c r="Y25" i="4" s="1"/>
  <c r="P25" i="4"/>
  <c r="M24" i="6"/>
  <c r="O24" i="6" s="1"/>
  <c r="M23" i="6"/>
  <c r="O23" i="6" s="1"/>
  <c r="O23" i="4"/>
  <c r="P23" i="4"/>
  <c r="M22" i="6"/>
  <c r="O22" i="6" s="1"/>
  <c r="P22" i="4"/>
  <c r="T22" i="4" s="1"/>
  <c r="Y22" i="4" s="1"/>
  <c r="M21" i="6"/>
  <c r="O21" i="6" s="1"/>
  <c r="P20" i="4"/>
  <c r="P21" i="4"/>
  <c r="O21" i="4"/>
  <c r="M20" i="6"/>
  <c r="O20" i="6" s="1"/>
  <c r="M19" i="6"/>
  <c r="O19" i="6" s="1"/>
  <c r="P19" i="4"/>
  <c r="O19" i="4"/>
  <c r="M18" i="6"/>
  <c r="O18" i="6" s="1"/>
  <c r="P18" i="4"/>
  <c r="X6" i="2"/>
  <c r="O18" i="4"/>
  <c r="T18" i="4" s="1"/>
  <c r="Y18" i="4" s="1"/>
  <c r="J70" i="1"/>
  <c r="K70" i="1"/>
  <c r="E70" i="1"/>
  <c r="C70" i="1"/>
  <c r="M70" i="1"/>
  <c r="F70" i="1"/>
  <c r="N70" i="1"/>
  <c r="H70" i="1"/>
  <c r="L70" i="1"/>
  <c r="I70" i="1"/>
  <c r="M17" i="6"/>
  <c r="O17" i="6" s="1"/>
  <c r="O17" i="4"/>
  <c r="P17" i="4"/>
  <c r="M16" i="6"/>
  <c r="O16" i="6" s="1"/>
  <c r="P16" i="4"/>
  <c r="O16" i="4"/>
  <c r="T16" i="4" s="1"/>
  <c r="Y16" i="4" s="1"/>
  <c r="M8" i="6"/>
  <c r="O8" i="6" s="1"/>
  <c r="P11" i="4"/>
  <c r="O11" i="4"/>
  <c r="AA7" i="2"/>
  <c r="O9" i="4"/>
  <c r="P9" i="4"/>
  <c r="M7" i="6"/>
  <c r="O7" i="6" s="1"/>
  <c r="P10" i="4"/>
  <c r="O10" i="4"/>
  <c r="P6" i="4"/>
  <c r="O6" i="4"/>
  <c r="M15" i="6"/>
  <c r="O15" i="6" s="1"/>
  <c r="M10" i="6"/>
  <c r="O10" i="6" s="1"/>
  <c r="O7" i="4"/>
  <c r="P7" i="4"/>
  <c r="P14" i="4"/>
  <c r="O14" i="4"/>
  <c r="T14" i="4" s="1"/>
  <c r="Y14" i="4" s="1"/>
  <c r="M14" i="6"/>
  <c r="O14" i="6" s="1"/>
  <c r="N15" i="1"/>
  <c r="M5" i="6"/>
  <c r="O5" i="6" s="1"/>
  <c r="AD11" i="2"/>
  <c r="M71" i="1" s="1"/>
  <c r="P12" i="4"/>
  <c r="O12" i="4"/>
  <c r="P8" i="4"/>
  <c r="X7" i="2"/>
  <c r="O8" i="4"/>
  <c r="S8" i="11"/>
  <c r="O5" i="4"/>
  <c r="P5" i="4"/>
  <c r="AD1" i="4"/>
  <c r="B13" i="10" s="1"/>
  <c r="B22" i="10" s="1"/>
  <c r="M3" i="1" s="1"/>
  <c r="M11" i="6"/>
  <c r="O11" i="6" s="1"/>
  <c r="M9" i="6"/>
  <c r="O9" i="6" s="1"/>
  <c r="O15" i="4"/>
  <c r="P15" i="4"/>
  <c r="M12" i="6"/>
  <c r="O12" i="6" s="1"/>
  <c r="X8" i="2"/>
  <c r="P13" i="4"/>
  <c r="O13" i="4"/>
  <c r="T13" i="4" s="1"/>
  <c r="Y13" i="4" s="1"/>
  <c r="M13" i="6"/>
  <c r="O13" i="6" s="1"/>
  <c r="M6" i="6"/>
  <c r="O6" i="6" s="1"/>
  <c r="AB65" i="2" l="1"/>
  <c r="V65" i="2" s="1"/>
  <c r="T23" i="4"/>
  <c r="Y23" i="4" s="1"/>
  <c r="T21" i="4"/>
  <c r="Y21" i="4" s="1"/>
  <c r="T19" i="4"/>
  <c r="Y19" i="4" s="1"/>
  <c r="J71" i="1"/>
  <c r="E71" i="1"/>
  <c r="B71" i="1"/>
  <c r="I71" i="1"/>
  <c r="L71" i="1"/>
  <c r="H71" i="1"/>
  <c r="K71" i="1"/>
  <c r="C71" i="1"/>
  <c r="F71" i="1"/>
  <c r="N71" i="1"/>
  <c r="T17" i="4"/>
  <c r="Y17" i="4" s="1"/>
  <c r="AB19" i="2" s="1"/>
  <c r="AB14" i="2"/>
  <c r="T6" i="4"/>
  <c r="Y6" i="4" s="1"/>
  <c r="T5" i="4"/>
  <c r="Y5" i="4" s="1"/>
  <c r="L72" i="1"/>
  <c r="M72" i="1"/>
  <c r="C72" i="1"/>
  <c r="K72" i="1"/>
  <c r="E72" i="1"/>
  <c r="T15" i="4"/>
  <c r="Y15" i="4" s="1"/>
  <c r="AB8" i="2" s="1"/>
  <c r="T7" i="4"/>
  <c r="Y7" i="4" s="1"/>
  <c r="T8" i="4"/>
  <c r="Y8" i="4" s="1"/>
  <c r="AD13" i="2"/>
  <c r="I72" i="1" s="1"/>
  <c r="T12" i="4"/>
  <c r="Y12" i="4" s="1"/>
  <c r="T10" i="4"/>
  <c r="Y10" i="4" s="1"/>
  <c r="T9" i="4"/>
  <c r="Y9" i="4" s="1"/>
  <c r="T11" i="4"/>
  <c r="Y11" i="4" s="1"/>
  <c r="AB6" i="2" l="1"/>
  <c r="B72" i="1"/>
  <c r="N72" i="1"/>
  <c r="J72" i="1"/>
  <c r="F72" i="1"/>
  <c r="H72" i="1"/>
  <c r="AD17" i="2"/>
  <c r="AB5" i="2"/>
  <c r="AD18" i="2"/>
  <c r="AB7" i="2"/>
  <c r="V7" i="2" s="1"/>
  <c r="H15" i="1" l="1" a="1"/>
  <c r="H15" i="1" s="1"/>
  <c r="AD19" i="2"/>
  <c r="AD20" i="2"/>
  <c r="AD21" i="2" l="1"/>
  <c r="AD22" i="2" l="1"/>
  <c r="AD25" i="2" l="1"/>
  <c r="AD26" i="2" l="1"/>
  <c r="AD30" i="2" l="1"/>
  <c r="AD43" i="2" l="1"/>
  <c r="AD45" i="2" l="1"/>
  <c r="AD46" i="2" s="1"/>
  <c r="AD47" i="2" l="1"/>
  <c r="AD48" i="2" s="1"/>
  <c r="AD50" i="2" l="1"/>
  <c r="AD51" i="2" s="1"/>
  <c r="AD49" i="2"/>
  <c r="AD52" i="2" l="1"/>
  <c r="AD53" i="2" l="1"/>
  <c r="AD54" i="2" l="1"/>
  <c r="AD55" i="2" l="1"/>
  <c r="AD56" i="2" l="1"/>
  <c r="AD57" i="2" l="1"/>
  <c r="AD58" i="2" l="1"/>
  <c r="AD59" i="2" l="1"/>
  <c r="AD60" i="2" l="1"/>
  <c r="AD61" i="2" l="1"/>
  <c r="M92" i="1" l="1"/>
  <c r="AD62" i="2"/>
  <c r="AD63" i="2" s="1"/>
  <c r="AD64" i="2" s="1"/>
  <c r="AD65" i="2" s="1"/>
  <c r="AD66" i="2" s="1"/>
  <c r="AD67" i="2" s="1"/>
  <c r="AD68" i="2" s="1"/>
  <c r="AD69" i="2" s="1"/>
  <c r="AD70" i="2" s="1"/>
  <c r="AD71" i="2" s="1"/>
  <c r="AD72" i="2" s="1"/>
  <c r="AD73" i="2" s="1"/>
  <c r="AD74" i="2" s="1"/>
  <c r="AD75" i="2" s="1"/>
  <c r="AD76" i="2" s="1"/>
  <c r="AD78" i="2" s="1"/>
  <c r="AD79" i="2" s="1"/>
  <c r="AD80" i="2" s="1"/>
  <c r="AD81" i="2" s="1"/>
  <c r="AD82" i="2" s="1"/>
  <c r="M96" i="1"/>
  <c r="F92" i="1"/>
  <c r="E92" i="1"/>
  <c r="B92" i="1"/>
  <c r="H96" i="1"/>
  <c r="C96" i="1"/>
  <c r="F93" i="1"/>
  <c r="L94" i="1"/>
  <c r="C92" i="1"/>
  <c r="J95" i="1"/>
  <c r="J91" i="1"/>
  <c r="E95" i="1"/>
  <c r="H94" i="1"/>
  <c r="N96" i="1"/>
  <c r="K96" i="1"/>
  <c r="K90" i="1"/>
  <c r="F94" i="1"/>
  <c r="N95" i="1"/>
  <c r="B95" i="1"/>
  <c r="H91" i="1"/>
  <c r="M93" i="1"/>
  <c r="B93" i="1"/>
  <c r="N94" i="1"/>
  <c r="L93" i="1"/>
  <c r="J93" i="1"/>
  <c r="E96" i="1"/>
  <c r="F96" i="1"/>
  <c r="B91" i="1"/>
  <c r="K93" i="1"/>
  <c r="I95" i="1"/>
  <c r="C93" i="1"/>
  <c r="C94" i="1"/>
  <c r="B96" i="1"/>
  <c r="K94" i="1"/>
  <c r="M91" i="1"/>
  <c r="E94" i="1"/>
  <c r="C95" i="1"/>
  <c r="E91" i="1"/>
  <c r="H95" i="1"/>
  <c r="K89" i="1"/>
  <c r="F95" i="1"/>
  <c r="I93" i="1"/>
  <c r="K91" i="1"/>
  <c r="M94" i="1"/>
  <c r="I92" i="1"/>
  <c r="N93" i="1"/>
  <c r="K15" i="11" l="1"/>
  <c r="K10" i="11"/>
  <c r="K12" i="11"/>
  <c r="K11" i="11"/>
  <c r="K6" i="11"/>
  <c r="K9" i="11"/>
  <c r="K5" i="11"/>
  <c r="K8" i="11"/>
  <c r="L96" i="1"/>
  <c r="F74" i="1"/>
  <c r="I74" i="1"/>
  <c r="E74" i="1"/>
  <c r="L76" i="1"/>
  <c r="M73" i="1"/>
  <c r="E73" i="1"/>
  <c r="N73" i="1"/>
  <c r="F76" i="1"/>
  <c r="B74" i="1"/>
  <c r="H75" i="1"/>
  <c r="I73" i="1"/>
  <c r="J76" i="1"/>
  <c r="K75" i="1"/>
  <c r="K76" i="1"/>
  <c r="F75" i="1"/>
  <c r="C74" i="1"/>
  <c r="H73" i="1"/>
  <c r="L73" i="1"/>
  <c r="C73" i="1"/>
  <c r="L75" i="1"/>
  <c r="B76" i="1"/>
  <c r="J73" i="1"/>
  <c r="H74" i="1"/>
  <c r="C76" i="1"/>
  <c r="H77" i="1"/>
  <c r="L74" i="1"/>
  <c r="M74" i="1"/>
  <c r="K74" i="1"/>
  <c r="B73" i="1"/>
  <c r="J74" i="1"/>
  <c r="H76" i="1"/>
  <c r="N74" i="1"/>
  <c r="I75" i="1"/>
  <c r="J77" i="1"/>
  <c r="E75" i="1"/>
  <c r="F73" i="1"/>
  <c r="K78" i="1"/>
  <c r="F78" i="1"/>
  <c r="K73" i="1"/>
  <c r="B79" i="1"/>
  <c r="B75" i="1"/>
  <c r="M75" i="1"/>
  <c r="M76" i="1"/>
  <c r="E76" i="1"/>
  <c r="N76" i="1"/>
  <c r="E78" i="1"/>
  <c r="C77" i="1"/>
  <c r="B77" i="1"/>
  <c r="N78" i="1"/>
  <c r="F79" i="1"/>
  <c r="C75" i="1"/>
  <c r="I76" i="1"/>
  <c r="N75" i="1"/>
  <c r="C81" i="1"/>
  <c r="L77" i="1"/>
  <c r="J82" i="1"/>
  <c r="L78" i="1"/>
  <c r="J75" i="1"/>
  <c r="C83" i="1"/>
  <c r="B80" i="1"/>
  <c r="E77" i="1"/>
  <c r="M81" i="1"/>
  <c r="J78" i="1"/>
  <c r="I82" i="1"/>
  <c r="N77" i="1"/>
  <c r="N81" i="1"/>
  <c r="H80" i="1"/>
  <c r="I77" i="1"/>
  <c r="L82" i="1"/>
  <c r="K80" i="1"/>
  <c r="E80" i="1"/>
  <c r="N79" i="1"/>
  <c r="I80" i="1"/>
  <c r="K77" i="1"/>
  <c r="B78" i="1"/>
  <c r="H78" i="1"/>
  <c r="L80" i="1"/>
  <c r="M79" i="1"/>
  <c r="C78" i="1"/>
  <c r="N80" i="1"/>
  <c r="J79" i="1"/>
  <c r="C79" i="1"/>
  <c r="N82" i="1"/>
  <c r="I79" i="1"/>
  <c r="M77" i="1"/>
  <c r="F77" i="1"/>
  <c r="I83" i="1"/>
  <c r="I78" i="1"/>
  <c r="L79" i="1"/>
  <c r="L81" i="1"/>
  <c r="F82" i="1"/>
  <c r="K84" i="1"/>
  <c r="H83" i="1"/>
  <c r="F83" i="1"/>
  <c r="H81" i="1"/>
  <c r="N84" i="1"/>
  <c r="J80" i="1"/>
  <c r="M78" i="1"/>
  <c r="E79" i="1"/>
  <c r="H82" i="1"/>
  <c r="M82" i="1"/>
  <c r="E83" i="1"/>
  <c r="B81" i="1"/>
  <c r="E82" i="1"/>
  <c r="K81" i="1"/>
  <c r="B83" i="1"/>
  <c r="H79" i="1"/>
  <c r="K79" i="1"/>
  <c r="K83" i="1"/>
  <c r="E81" i="1"/>
  <c r="F81" i="1"/>
  <c r="K82" i="1"/>
  <c r="C84" i="1"/>
  <c r="F80" i="1"/>
  <c r="I85" i="1"/>
  <c r="M80" i="1"/>
  <c r="B82" i="1"/>
  <c r="H84" i="1"/>
  <c r="L84" i="1"/>
  <c r="L83" i="1"/>
  <c r="C82" i="1"/>
  <c r="M83" i="1"/>
  <c r="J81" i="1"/>
  <c r="L85" i="1"/>
  <c r="J83" i="1"/>
  <c r="J84" i="1"/>
  <c r="I84" i="1"/>
  <c r="I81" i="1"/>
  <c r="C85" i="1"/>
  <c r="L86" i="1"/>
  <c r="C80" i="1"/>
  <c r="E86" i="1"/>
  <c r="B84" i="1"/>
  <c r="N86" i="1"/>
  <c r="F85" i="1"/>
  <c r="K86" i="1"/>
  <c r="C87" i="1"/>
  <c r="N85" i="1"/>
  <c r="B86" i="1"/>
  <c r="F84" i="1"/>
  <c r="N83" i="1"/>
  <c r="M84" i="1"/>
  <c r="E84" i="1"/>
  <c r="B85" i="1"/>
  <c r="K85" i="1"/>
  <c r="F88" i="1"/>
  <c r="M87" i="1"/>
  <c r="J85" i="1"/>
  <c r="F86" i="1"/>
  <c r="C86" i="1"/>
  <c r="I86" i="1"/>
  <c r="I87" i="1"/>
  <c r="E85" i="1"/>
  <c r="M85" i="1"/>
  <c r="H85" i="1"/>
  <c r="H86" i="1"/>
  <c r="J86" i="1"/>
  <c r="C88" i="1"/>
  <c r="H88" i="1"/>
  <c r="M86" i="1"/>
  <c r="L87" i="1"/>
  <c r="E87" i="1"/>
  <c r="H87" i="1"/>
  <c r="H89" i="1"/>
  <c r="B88" i="1"/>
  <c r="I88" i="1"/>
  <c r="F87" i="1"/>
  <c r="J87" i="1"/>
  <c r="N88" i="1"/>
  <c r="B87" i="1"/>
  <c r="J88" i="1"/>
  <c r="I90" i="1"/>
  <c r="E88" i="1"/>
  <c r="M90" i="1"/>
  <c r="F89" i="1"/>
  <c r="C89" i="1"/>
  <c r="L88" i="1"/>
  <c r="H90" i="1"/>
  <c r="L92" i="1"/>
  <c r="N87" i="1"/>
  <c r="K87" i="1"/>
  <c r="E90" i="1"/>
  <c r="I89" i="1"/>
  <c r="K88" i="1"/>
  <c r="B89" i="1"/>
  <c r="F90" i="1"/>
  <c r="M89" i="1"/>
  <c r="J89" i="1"/>
  <c r="M88" i="1"/>
  <c r="C90" i="1"/>
  <c r="N89" i="1"/>
  <c r="L90" i="1"/>
  <c r="E89" i="1"/>
  <c r="K92" i="1"/>
  <c r="N90" i="1"/>
  <c r="L89" i="1"/>
  <c r="B90" i="1"/>
  <c r="K7" i="11"/>
  <c r="J90" i="1"/>
  <c r="E11" i="1"/>
  <c r="J96" i="1"/>
  <c r="N92" i="1"/>
  <c r="K14" i="11"/>
  <c r="N91" i="1"/>
  <c r="K13" i="11"/>
  <c r="I96" i="1"/>
  <c r="J94" i="1"/>
  <c r="B94" i="1"/>
  <c r="K95" i="1"/>
  <c r="L91" i="1"/>
  <c r="I94" i="1"/>
  <c r="L95" i="1"/>
  <c r="H93" i="1"/>
  <c r="M95" i="1"/>
  <c r="I91" i="1"/>
  <c r="H92" i="1"/>
  <c r="E93" i="1"/>
  <c r="F91" i="1"/>
  <c r="J92" i="1"/>
  <c r="C9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Unknown Author</author>
  </authors>
  <commentList>
    <comment ref="S9" authorId="0" shapeId="0" xr:uid="{00000000-0006-0000-0800-000001000000}">
      <text>
        <r>
          <rPr>
            <sz val="10"/>
            <rFont val="Arial"/>
            <family val="2"/>
          </rPr>
          <t>Deixe =HOJE() para o painel andar sozinho. Se a diretoria pedir uma foto de uma data específica, digite a data no lugar da fórmula.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<sst xmlns="http://schemas.openxmlformats.org/spreadsheetml/2006/main" count="1412" uniqueCount="641">
  <si>
    <t>Gestão à vista — Projetos de Monitoramento</t>
  </si>
  <si>
    <t>Data de referência</t>
  </si>
  <si>
    <t>Monitoramento patrimonial · controle de acesso · videomonitoramento</t>
  </si>
  <si>
    <t>FILTROS</t>
  </si>
  <si>
    <t>Unidade</t>
  </si>
  <si>
    <t>(TODAS AS UNIDADES)</t>
  </si>
  <si>
    <t>Projeto</t>
  </si>
  <si>
    <t>(TODOS OS PROJETOS)</t>
  </si>
  <si>
    <t>Os cartões, os quatro gráficos e a lista abaixo respeitam estes dois filtros.</t>
  </si>
  <si>
    <t>TOTAL DE PROJETOS</t>
  </si>
  <si>
    <t>EM ANDAMENTO</t>
  </si>
  <si>
    <t>CONCLUÍDOS</t>
  </si>
  <si>
    <t>NO PRAZO</t>
  </si>
  <si>
    <t>EM ATENÇÃO / RISCO</t>
  </si>
  <si>
    <t>ATRASADOS</t>
  </si>
  <si>
    <t>BLOQUEADOS</t>
  </si>
  <si>
    <t>PROJETOS COM DESVIO</t>
  </si>
  <si>
    <t>ADERÊNCIA AO SLA</t>
  </si>
  <si>
    <t>SALDO A RECEBER (OC)</t>
  </si>
  <si>
    <t>Projetos em andamento — visão resumida</t>
  </si>
  <si>
    <t>CHAMADO</t>
  </si>
  <si>
    <t>PROJETO</t>
  </si>
  <si>
    <t>UNIDADE</t>
  </si>
  <si>
    <t>ETAPA ATUAL</t>
  </si>
  <si>
    <t>RESPONSÁVEL</t>
  </si>
  <si>
    <t>DIAS</t>
  </si>
  <si>
    <t>SLA</t>
  </si>
  <si>
    <t>CONSUMO</t>
  </si>
  <si>
    <t>ATRASO</t>
  </si>
  <si>
    <t>SITUAÇÃO</t>
  </si>
  <si>
    <t>DIFICULDADE / PRÓXIMA AÇÃO</t>
  </si>
  <si>
    <t>CONTROLE GERAL DOS PROJETOS</t>
  </si>
  <si>
    <t>← células de apoio da aba 10_Verificacoes (não apagar)</t>
  </si>
  <si>
    <t>Texto azul = você digita.  Fundo cinza = calculado automaticamente.  Uma linha = um chamado.</t>
  </si>
  <si>
    <t>Nº DO CHAMADO</t>
  </si>
  <si>
    <t>NOME DO PROJETO</t>
  </si>
  <si>
    <t>ÁREA DEMANDANTE</t>
  </si>
  <si>
    <t>CÓD. OBJETO DE CUSTO</t>
  </si>
  <si>
    <t>DESCRIÇÃO OBJETO DE CUSTO</t>
  </si>
  <si>
    <t>RESP. DEMANDANTE</t>
  </si>
  <si>
    <t>DATA DE ABERTURA</t>
  </si>
  <si>
    <t>RESPONSÁVEL ATUAL</t>
  </si>
  <si>
    <t>DATA INÍCIO DA ETAPA</t>
  </si>
  <si>
    <t>STATUS INFORMADO</t>
  </si>
  <si>
    <t>BLOQUEADO?</t>
  </si>
  <si>
    <t>PRÓXIMA AÇÃO</t>
  </si>
  <si>
    <t>SLA DA ETAPA</t>
  </si>
  <si>
    <t>DIAS NA ETAPA</t>
  </si>
  <si>
    <t>CONSUMO DO SLA</t>
  </si>
  <si>
    <t>DIAS TOTAIS</t>
  </si>
  <si>
    <t>DIAS DE ATRASO</t>
  </si>
  <si>
    <t>MOTIVO PRINCIPAL</t>
  </si>
  <si>
    <t>CÂMERAS PREVISTAS</t>
  </si>
  <si>
    <t>CÂMERAS RECEBIDAS</t>
  </si>
  <si>
    <t>CÂMERAS INSTALADAS</t>
  </si>
  <si>
    <t>LICENÇAS NECESSÁRIAS</t>
  </si>
  <si>
    <t>LICENÇAS RECEBIDAS</t>
  </si>
  <si>
    <t>ITENS COM DESVIO</t>
  </si>
  <si>
    <t>DIVERGÊNCIA DE INSTALAÇÃO</t>
  </si>
  <si>
    <t>ORDEM NO PAINEL</t>
  </si>
  <si>
    <t>PROJETO (RÓTULO DO FILTRO)</t>
  </si>
  <si>
    <t>ORDEM DA ETAPA</t>
  </si>
  <si>
    <t>CASA DE FORÇA - 03</t>
  </si>
  <si>
    <t>SNP</t>
  </si>
  <si>
    <t>SALAS ELÉTRICAS</t>
  </si>
  <si>
    <t>CAMYLLA CIRIBELLY</t>
  </si>
  <si>
    <t>ENTREGA DO MATERIAL</t>
  </si>
  <si>
    <t>NÃO</t>
  </si>
  <si>
    <t>AGUARDANDO EMISSÃO DE NOTA</t>
  </si>
  <si>
    <t>CONTROLE DE ACESSO - VICE PRESIDÊNCIA</t>
  </si>
  <si>
    <t>ADMINISTRATIVO</t>
  </si>
  <si>
    <t>RAMIELER</t>
  </si>
  <si>
    <t>VALIDAÇÃO E ENCERRAMENTO</t>
  </si>
  <si>
    <t>INSTALAÇÃO DO VIDEOPORTEIRO E COBERTURA</t>
  </si>
  <si>
    <t>N/A01</t>
  </si>
  <si>
    <t>ETANOL</t>
  </si>
  <si>
    <t>BLS</t>
  </si>
  <si>
    <t>TANQUES DE ETANOL</t>
  </si>
  <si>
    <t>INCLUSÃO NO VMS</t>
  </si>
  <si>
    <t>N/A02</t>
  </si>
  <si>
    <t>STACKER RECLAIMER</t>
  </si>
  <si>
    <t>BIOMASSA</t>
  </si>
  <si>
    <t>GREENDOCS</t>
  </si>
  <si>
    <t>INFRAESTRUTURA DE TI</t>
  </si>
  <si>
    <t>ACOMPANHAMENTO DE COMPRAS DE CFTV</t>
  </si>
  <si>
    <t>N/A03</t>
  </si>
  <si>
    <t>CENTRAL DE RESIDUOS</t>
  </si>
  <si>
    <t>CENTRAL DE RESÍDUOS</t>
  </si>
  <si>
    <t>ELABORAÇÃO DO PROJETO</t>
  </si>
  <si>
    <t>VALIDAR INFORMAÇÕES COMPLEMENTAR DA DEMANDA</t>
  </si>
  <si>
    <t>N/A04</t>
  </si>
  <si>
    <t>ARMAZÉM DE MILHO</t>
  </si>
  <si>
    <t>ARMAZÉM DE GRÃOS</t>
  </si>
  <si>
    <t>FALTA INSTALAÇÃO DA  CÂMERAS EX - FALTA ELÉTRICA</t>
  </si>
  <si>
    <t>ACOMPANHAMENTO VIA SUPRIA</t>
  </si>
  <si>
    <t>N/A05</t>
  </si>
  <si>
    <t>CLASSIFICAÇÃO + CONTROLE DE ACESSO</t>
  </si>
  <si>
    <t>FALTA CONFIGURAÇÃO INICIAL DO CONTROLE DE ACESSO</t>
  </si>
  <si>
    <t>VALIDAR COM O CLIENTE O RESPONSÁVEL PARA MANUTENÇÃO DOS CADASTROS</t>
  </si>
  <si>
    <t>N/A06</t>
  </si>
  <si>
    <t>MCA BALANÇAS</t>
  </si>
  <si>
    <t>FATURAMENTO</t>
  </si>
  <si>
    <t>RENATO CIRINO</t>
  </si>
  <si>
    <t>CONCLUÍDO</t>
  </si>
  <si>
    <t>N/A07</t>
  </si>
  <si>
    <t>REFORMA CALDEIRA I E II</t>
  </si>
  <si>
    <t>CALDEIRA</t>
  </si>
  <si>
    <t>EM ANDAMENTO DE EXECUÇÃO DE INFRA - PEDIDO DE CÂMERAS PRECISA SER AJUSTADO (ITENS OBSOLETOS)</t>
  </si>
  <si>
    <t>N/A08</t>
  </si>
  <si>
    <t>CASA DE BOMBAS</t>
  </si>
  <si>
    <t>SSO</t>
  </si>
  <si>
    <t>N/A09</t>
  </si>
  <si>
    <t>MANIPULAÇÃO DE QUÍMICOS</t>
  </si>
  <si>
    <t>PRODUÇÃO INDUSTRIAL</t>
  </si>
  <si>
    <t>HULGO RAFAEL</t>
  </si>
  <si>
    <t>N/A10</t>
  </si>
  <si>
    <t>CAIXA D'AGUA</t>
  </si>
  <si>
    <t>N/A11</t>
  </si>
  <si>
    <t>BULKMETER</t>
  </si>
  <si>
    <t>MTU</t>
  </si>
  <si>
    <t>FLUXO DE SUPRIMENTOS</t>
  </si>
  <si>
    <t>N/A12</t>
  </si>
  <si>
    <t>DASIA VICUNIA DO COUTO CORREA</t>
  </si>
  <si>
    <t>N/A13</t>
  </si>
  <si>
    <t>CASA DE FORÇA - 02</t>
  </si>
  <si>
    <t>N/A14</t>
  </si>
  <si>
    <t>ARMAZÉM DDGS</t>
  </si>
  <si>
    <t>DRD</t>
  </si>
  <si>
    <t>LUCIO FERES VILELA</t>
  </si>
  <si>
    <t>ABERTURA DA SOLICITAÇÃO DE COMPRA</t>
  </si>
  <si>
    <t>N/A15</t>
  </si>
  <si>
    <t>CALDEIRA III</t>
  </si>
  <si>
    <t>N/A16</t>
  </si>
  <si>
    <t>JOSE ROBERTO GARCIA JUNIOR</t>
  </si>
  <si>
    <t>AGUARDANDO AGENDAMENTO DO CADASTRO FACIAIS E TREINAMENTO DA EQUIPE</t>
  </si>
  <si>
    <t>N/A17</t>
  </si>
  <si>
    <t>N/A18</t>
  </si>
  <si>
    <t>BALANÇAS</t>
  </si>
  <si>
    <t>N/A19</t>
  </si>
  <si>
    <t>SDL</t>
  </si>
  <si>
    <t>INSTALAÇÃO</t>
  </si>
  <si>
    <t>N/A20</t>
  </si>
  <si>
    <t>DISPONIBILIZAÇÃO DE CÂMERAS SOBRASSALENTES PARA ATENDIMENTO EMERGENCIAL DO PROJETO</t>
  </si>
  <si>
    <t>N/A21</t>
  </si>
  <si>
    <t>TOMBADOR</t>
  </si>
  <si>
    <t>N/A22</t>
  </si>
  <si>
    <t>CASA DE FORÇA</t>
  </si>
  <si>
    <t>N/A23</t>
  </si>
  <si>
    <t>N/A24</t>
  </si>
  <si>
    <t>N/A25</t>
  </si>
  <si>
    <t>N/A26</t>
  </si>
  <si>
    <t>MANUTENÇÃO INDUSTRIAL - ADMINISTRAÇÃO</t>
  </si>
  <si>
    <t>OFICINA MECÂNICA</t>
  </si>
  <si>
    <t>N/A27</t>
  </si>
  <si>
    <t>N/A28</t>
  </si>
  <si>
    <t>EXPEDIÇÃO DE ETANOL</t>
  </si>
  <si>
    <t>N/A29</t>
  </si>
  <si>
    <t>PÁTIO DE OPERAÇÕES</t>
  </si>
  <si>
    <t>PIPE RACK</t>
  </si>
  <si>
    <t>N/A30</t>
  </si>
  <si>
    <t>CASA DE BOMBAS E OSMOSE</t>
  </si>
  <si>
    <t>OSMOSE</t>
  </si>
  <si>
    <t>N/A31</t>
  </si>
  <si>
    <t>N/A32</t>
  </si>
  <si>
    <t>PROPAGAÇÃO</t>
  </si>
  <si>
    <t>N/A33</t>
  </si>
  <si>
    <t>N/A34</t>
  </si>
  <si>
    <t>N/A35</t>
  </si>
  <si>
    <t>LEM</t>
  </si>
  <si>
    <t>N/A36</t>
  </si>
  <si>
    <t>N/A37</t>
  </si>
  <si>
    <t>N/A38</t>
  </si>
  <si>
    <t>DEPÓSITO DE AGROTÓXICO</t>
  </si>
  <si>
    <t>CADASTRO ÚNICO DE ITENS</t>
  </si>
  <si>
    <t>Cada linha é um item do projeto (chamado + produto) e carrega o ciclo inteiro: escopo, SC, OC e evolução física. Digite aqui uma única vez — 02, 03 e 05 se preenchem sozinhas.</t>
  </si>
  <si>
    <t>ITEM DO PROJETO</t>
  </si>
  <si>
    <t>SOLICITAÇÃO DE COMPRA</t>
  </si>
  <si>
    <t>ORDEM DE COMPRA</t>
  </si>
  <si>
    <t>EVOLUÇÃO FÍSICA</t>
  </si>
  <si>
    <t>CONFERÊNCIA (CALCULADO)</t>
  </si>
  <si>
    <t>ID DO ITEM</t>
  </si>
  <si>
    <t>CÓDIGO DO PRODUTO</t>
  </si>
  <si>
    <t>DESCRIÇÃO DO PRODUTO</t>
  </si>
  <si>
    <t>TIPO DE ITEM</t>
  </si>
  <si>
    <t>QTD. PREVISTA</t>
  </si>
  <si>
    <t>Nº REQUISIÇÃO</t>
  </si>
  <si>
    <t>Nº SC</t>
  </si>
  <si>
    <t>QTD. REQUISITADA</t>
  </si>
  <si>
    <t>DATA DA REQUISIÇÃO</t>
  </si>
  <si>
    <t>ENVIO AO SUPRIMENTOS</t>
  </si>
  <si>
    <t>COMPRADOR</t>
  </si>
  <si>
    <t>Nº OC</t>
  </si>
  <si>
    <t>FORNECEDOR</t>
  </si>
  <si>
    <t>DATA DA OC</t>
  </si>
  <si>
    <t>PREVISÃO DE ENTREGA</t>
  </si>
  <si>
    <t>QTD. COMPRADA</t>
  </si>
  <si>
    <t>QTD. LIBERADA</t>
  </si>
  <si>
    <t>QTD. INSTALADA</t>
  </si>
  <si>
    <t>IPS DISPONIBILIZADOS</t>
  </si>
  <si>
    <t>QTD. INCLUÍDA NO VMS</t>
  </si>
  <si>
    <t>QTD. RECEBIDA</t>
  </si>
  <si>
    <t>SITUAÇÃO DO ITEM</t>
  </si>
  <si>
    <t>ITEM PARA LANÇAR ENTREGA</t>
  </si>
  <si>
    <t>LILIAN</t>
  </si>
  <si>
    <t>SAFETY AND INTELLIGENT SYSTEM - TECNOLOGIA DA INFORMACAO EIRELI</t>
  </si>
  <si>
    <t>BRAKO COMÉRCIO DE EQUIPAMENTOS ELETRÔNICOS LTDA</t>
  </si>
  <si>
    <t>A DEFINIR</t>
  </si>
  <si>
    <t>ESCOPO E AUDITORIA QUANTITATIVA</t>
  </si>
  <si>
    <t>← apoio de 10_Verificacoes</t>
  </si>
  <si>
    <t>Aba somente de leitura: tudo vem da aba Cadastro. Serve para auditar a cadeia física item a item.</t>
  </si>
  <si>
    <t>DESCRIÇÃO</t>
  </si>
  <si>
    <t>QTD. SOLICITADA</t>
  </si>
  <si>
    <t>PREV. x SOLIC.</t>
  </si>
  <si>
    <t>SOLIC. x COMP.</t>
  </si>
  <si>
    <t>COMP. x RECEB.</t>
  </si>
  <si>
    <t>RECEB. x LIB.</t>
  </si>
  <si>
    <t>LIB. x INST.</t>
  </si>
  <si>
    <t>INST. x IP</t>
  </si>
  <si>
    <t>IP x VMS</t>
  </si>
  <si>
    <t>STATUS QUANTITATIVO</t>
  </si>
  <si>
    <t>SALDO ATÉ O VMS</t>
  </si>
  <si>
    <t>TEM DESVIO</t>
  </si>
  <si>
    <t>SOLICITAÇÕES DE COMPRA</t>
  </si>
  <si>
    <t>Aba somente de leitura: alimentada pela aba Cadastro. Mede o SLA de Suprimentos por item.</t>
  </si>
  <si>
    <t>QTD. COMPRADA (OC)</t>
  </si>
  <si>
    <t>SALDO SEM OC</t>
  </si>
  <si>
    <t>DATA DA ÚLTIMA OC</t>
  </si>
  <si>
    <t>DIAS EM SUPRIMENTOS</t>
  </si>
  <si>
    <t>SLA COMPRAS</t>
  </si>
  <si>
    <t>SITUAÇÃO DA COMPRA</t>
  </si>
  <si>
    <t>ORDENS DE COMPRA E ENTREGA DO FORNECEDOR</t>
  </si>
  <si>
    <t>Aba somente de leitura: alimentada pela aba Cadastro. Mede saldo físico e SLA do fornecedor.</t>
  </si>
  <si>
    <t>SALDO PENDENTE</t>
  </si>
  <si>
    <t>ÚLTIMO RECEBIMENTO</t>
  </si>
  <si>
    <t>DIAS DO FORNECEDOR</t>
  </si>
  <si>
    <t>SLA FORNECEDOR</t>
  </si>
  <si>
    <t>SITUAÇÃO DA ENTREGA</t>
  </si>
  <si>
    <t>ENTREGAS, REMESSAS E CUSTÓDIA</t>
  </si>
  <si>
    <t>Escolha o ITEM na lista suspensa — chamado, SC, OC, produto e fornecedor vêm sozinhos. Uma linha por recebimento (o mesmo item pode ter várias entregas parciais).</t>
  </si>
  <si>
    <t>NF / REMESSA</t>
  </si>
  <si>
    <t>ITEM (selecione)</t>
  </si>
  <si>
    <t>DATA DE RECEBIMENTO</t>
  </si>
  <si>
    <t>UNIDADE RECEBEDORA</t>
  </si>
  <si>
    <t>LOCAL DE CUSTÓDIA</t>
  </si>
  <si>
    <t>SITUAÇÃO FÍSICA</t>
  </si>
  <si>
    <t>OBSERVAÇÃO</t>
  </si>
  <si>
    <t>CONFERÊNCIA COM A OC</t>
  </si>
  <si>
    <t>123  ·  MODULO VIDEOPORTEIRO EXTERNO  ·  OC 1849451</t>
  </si>
  <si>
    <t>MONITORAMENTO</t>
  </si>
  <si>
    <t>CONFERIDO</t>
  </si>
  <si>
    <t>N/A01  ·  SD6AL245GB-HNV  ·  OC 1444808</t>
  </si>
  <si>
    <t>ALMOXARIFADO OPEX</t>
  </si>
  <si>
    <t>N/A01  ·  PW4D-IZ3  ·  OC 1478354</t>
  </si>
  <si>
    <t>N/A01  ·  HFW3441T-ZAS  ·  OC 1478354</t>
  </si>
  <si>
    <t>N/A01  ·  LICENCIAMENTO DIREITOS USO SOFTWARE 7,2 ENTERPRISE PERMANENTE P/SISTEMA MONITORAMENTO  ·  OC 1478354</t>
  </si>
  <si>
    <t>N/A01  ·  DAHUA TECH/EPC230U  ·  OC 1478354</t>
  </si>
  <si>
    <t>Verificar conformidade com projeto de adequação</t>
  </si>
  <si>
    <t>N/A02  ·  SD6AL245U-HNI-IR  ·  OC 1894361</t>
  </si>
  <si>
    <t>ALMOXARIFADO CAPEX</t>
  </si>
  <si>
    <t>HISTÓRICO DAS ETAPAS E SLA REALIZADO</t>
  </si>
  <si>
    <t>Uma linha por passagem do projeto por uma etapa. Ao avançar a etapa em 01_Projetos, feche a linha anterior aqui (data de conclusão) e abra uma nova.</t>
  </si>
  <si>
    <t>ETAPA</t>
  </si>
  <si>
    <t>DATA DE INÍCIO</t>
  </si>
  <si>
    <t>DATA DE CONCLUSÃO</t>
  </si>
  <si>
    <t>DIAS REALIZADOS</t>
  </si>
  <si>
    <t>SLA ATENDIDO?</t>
  </si>
  <si>
    <t>CADASTROS E PARÂMETROS</t>
  </si>
  <si>
    <t>Base única das listas suspensas, da matriz de SLA e dos limites. Alterou aqui, o painel inteiro acompanha.</t>
  </si>
  <si>
    <t>STATUS DO PROJETO</t>
  </si>
  <si>
    <t>UNIDADES</t>
  </si>
  <si>
    <t>ÁREAS DEMANDANTES</t>
  </si>
  <si>
    <t>RESPONSÁVEIS / ÁREAS</t>
  </si>
  <si>
    <t>MOTIVOS DE BLOQUEIO</t>
  </si>
  <si>
    <t>ETAPA (na ordem do fluxo)</t>
  </si>
  <si>
    <t>RESPONSÁVEL PADRÃO</t>
  </si>
  <si>
    <t>SLA (DIAS)</t>
  </si>
  <si>
    <t>PARÂMETRO</t>
  </si>
  <si>
    <t>VALOR</t>
  </si>
  <si>
    <t>CÓDIGO DO OBJETO</t>
  </si>
  <si>
    <t>DESCRIÇÃO DO OBJETO DE CUSTO</t>
  </si>
  <si>
    <t>NÃO INICIADO</t>
  </si>
  <si>
    <t>RND</t>
  </si>
  <si>
    <t>AGUARDANDO APROVAÇÃO</t>
  </si>
  <si>
    <t>SLA TOTAL DO PROJETO (DIAS)</t>
  </si>
  <si>
    <t>HDBW2231R-ZAS-S2</t>
  </si>
  <si>
    <t>CÂMERA</t>
  </si>
  <si>
    <t>PRESIDÊNCIA/CONSELHO</t>
  </si>
  <si>
    <t>SUPRIMENTOS</t>
  </si>
  <si>
    <t>AGUARDANDO COTAÇÃO</t>
  </si>
  <si>
    <t>PENDENTE DE CONFERÊNCIA</t>
  </si>
  <si>
    <t>LIMITE DE ATENÇÃO</t>
  </si>
  <si>
    <t>HFW5241E-ZE</t>
  </si>
  <si>
    <t>VICE-PRESIDENCIA ADMINISTRATIVA</t>
  </si>
  <si>
    <t>BLOQUEADO</t>
  </si>
  <si>
    <t>PERÍMETRO</t>
  </si>
  <si>
    <t>AGUARDANDO FORNECEDOR</t>
  </si>
  <si>
    <t>AVARIADO</t>
  </si>
  <si>
    <t>LIMITE DE RISCO</t>
  </si>
  <si>
    <t>SD6AL245U-HNI-IR</t>
  </si>
  <si>
    <t>FATURAMENTO LOCAL</t>
  </si>
  <si>
    <t>PATRIMONIAL LOCAL</t>
  </si>
  <si>
    <t>MATERIAL NÃO RECEBIDO</t>
  </si>
  <si>
    <t>DIVERGENTE</t>
  </si>
  <si>
    <t>TI</t>
  </si>
  <si>
    <t>DATA DE REFERÊNCIA</t>
  </si>
  <si>
    <t>HFW2431S-S-S2</t>
  </si>
  <si>
    <t>FINANCEIRO</t>
  </si>
  <si>
    <t>CANCELADO</t>
  </si>
  <si>
    <t>MATERIAL NÃO LIBERADO</t>
  </si>
  <si>
    <t>DEVOLVIDO</t>
  </si>
  <si>
    <t>LIBERAÇÃO DO MATERIAL</t>
  </si>
  <si>
    <t>HDBW2230E-S-S2</t>
  </si>
  <si>
    <t>MEIO AMBIENTE E LICENCIAMENTO</t>
  </si>
  <si>
    <t>CIVIL</t>
  </si>
  <si>
    <t>ELÉTRICA</t>
  </si>
  <si>
    <t>INFRAESTRUTURA PENDENTE</t>
  </si>
  <si>
    <t>HFW1230T1-ZS-S5</t>
  </si>
  <si>
    <t>ARQUITETURA DE SOLUÇÕES</t>
  </si>
  <si>
    <t>EXPEDIÇÃO</t>
  </si>
  <si>
    <t>ALIMENTAÇÃO ELÉTRICA PENDENTE</t>
  </si>
  <si>
    <t>ALIMENTAÇÃO ELÉTRICA</t>
  </si>
  <si>
    <t>Regra de licenças: 1 licença cobre 4 câmeras (LICENCIAMENTO MONITORAMENTO 04 CAMERAS).</t>
  </si>
  <si>
    <t>HDW3241EM-S-S2</t>
  </si>
  <si>
    <t>SECRETARIA E APOIO</t>
  </si>
  <si>
    <t>RVD</t>
  </si>
  <si>
    <t>INSTALAÇÃO PENDENTE</t>
  </si>
  <si>
    <t>PW4D-IZ1</t>
  </si>
  <si>
    <t>GERÊNCIA CORPORATIVA SERVIÇOS ADMINISTRATIVOS E SEGURANÇA PATRIMONIAL</t>
  </si>
  <si>
    <t>IP NÃO DISPONIBILIZADO</t>
  </si>
  <si>
    <t>DISPONIBILIZAÇÃO DE IP</t>
  </si>
  <si>
    <t>PW4D-IZ3</t>
  </si>
  <si>
    <t>ALMOXARIFADO</t>
  </si>
  <si>
    <t>REFEITÓRIO</t>
  </si>
  <si>
    <t>PENDÊNCIA DE INCLUSÃO NO VMS</t>
  </si>
  <si>
    <t>HDBW3241RP-ZAS</t>
  </si>
  <si>
    <t>ADMINISTRAÇÃO DE PESSOAL</t>
  </si>
  <si>
    <t>DEPENDÊNCIA DA ÁREA DEMANDANTE</t>
  </si>
  <si>
    <t>HDBW2441R-ZAS</t>
  </si>
  <si>
    <t>RECRUTAMENTO E SELEÇÃO</t>
  </si>
  <si>
    <t>OUTRO</t>
  </si>
  <si>
    <t>SOMA DOS SLAs</t>
  </si>
  <si>
    <t>HFW3441T-ZAS</t>
  </si>
  <si>
    <t>TREINAMENTO E DESENVOLVIMENTO</t>
  </si>
  <si>
    <t>EPC230UN-PTZ</t>
  </si>
  <si>
    <t>ASSISTENCIA SOCIAL E BENEFÍCIOS</t>
  </si>
  <si>
    <t>HFW2441S-S</t>
  </si>
  <si>
    <t>MEDICINA DO TRABALHO</t>
  </si>
  <si>
    <t>PORTARIA DE TERCEIROS</t>
  </si>
  <si>
    <t>MFW5241T2-E3-ASE</t>
  </si>
  <si>
    <t>SEGURANÇA PATRIMONIAL</t>
  </si>
  <si>
    <t>MODULO VIDEOPORTEIRO EXTERNO</t>
  </si>
  <si>
    <t>EQUIPAMENTO</t>
  </si>
  <si>
    <t>DIRETORIA DE SSO</t>
  </si>
  <si>
    <t>LICENCIAMENTO MONITORAMENTO 04 CAMERAS</t>
  </si>
  <si>
    <t>LICENÇA</t>
  </si>
  <si>
    <t>CAPTAÇÃO E TRATAMENTO DE ÁGUA - ETA</t>
  </si>
  <si>
    <t>SD6AL245GB-HNV</t>
  </si>
  <si>
    <t>GERAÇÃO DE VAPOR</t>
  </si>
  <si>
    <t>LICENCIAMENTO DIREITOS USO SOFTWARE 7,2 ENTERPRISE PERMANENTE P/SISTEMA MONITORAMENTO</t>
  </si>
  <si>
    <t>GERAÇÃO E DISTRIBUIÇÃO DE ENERGIA</t>
  </si>
  <si>
    <t>LABORATÓRIO</t>
  </si>
  <si>
    <t>DAHUA TECH/EPC230U</t>
  </si>
  <si>
    <t>QUALIDADE INDUSTRIAL</t>
  </si>
  <si>
    <t>COI</t>
  </si>
  <si>
    <t>DH-IPC-HFW5241E-Z12E</t>
  </si>
  <si>
    <t>SOFTWARE GRAVACAO/MONITORAMENTO ADICAO 16 CAMERAS</t>
  </si>
  <si>
    <t>SOFTWARE</t>
  </si>
  <si>
    <t>FERMENTAÇÃO</t>
  </si>
  <si>
    <t>QUÍMICOS</t>
  </si>
  <si>
    <t>DESTILAÇÃO DE ETANOL HIDRATADO</t>
  </si>
  <si>
    <t>SECAGEM DE DDGS</t>
  </si>
  <si>
    <t>ARMAZENAGEM DE DDGS</t>
  </si>
  <si>
    <t>RECEPÇÃO DE GRÃOS</t>
  </si>
  <si>
    <t>ARMAZENAGEM DE GRÃOS</t>
  </si>
  <si>
    <t>ARMAZENAGEM DE BIOMASSA</t>
  </si>
  <si>
    <t>MONITORAMENTO PATRIMONIAL</t>
  </si>
  <si>
    <t>SUPORTE TÉCNICO DE TI</t>
  </si>
  <si>
    <t>SEGURANÇA DA INFORMAÇÃO</t>
  </si>
  <si>
    <t>ENGENHARIA E PROJETOS - ELÉTRICA E INSTRUMENTAÇÃO</t>
  </si>
  <si>
    <t>ALMOXARIFADO CAPEX (INVESTIMENTO)</t>
  </si>
  <si>
    <t>CONSTRUÇÃO - STACKER RECLAIMER</t>
  </si>
  <si>
    <t>PROCESSOS INDUSTRIAIS</t>
  </si>
  <si>
    <t>VERIFICAÇÕES DE CONSISTÊNCIA</t>
  </si>
  <si>
    <t>Tudo deve estar em ZERO antes de apresentar. Cada linha aponta exatamente onde corrigir.</t>
  </si>
  <si>
    <t>VERIFICAÇÃO</t>
  </si>
  <si>
    <t>OCORRÊNCIAS</t>
  </si>
  <si>
    <t>COMO CORRIGIR</t>
  </si>
  <si>
    <t>Chamados duplicados em 01_Projetos</t>
  </si>
  <si>
    <t>Cada chamado deve aparecer uma única vez na aba 01_Projetos.</t>
  </si>
  <si>
    <t>Projetos ativos sem data de início da etapa</t>
  </si>
  <si>
    <t>Sem essa data o SLA da etapa não é calculado.</t>
  </si>
  <si>
    <t>Projetos ativos sem data de abertura</t>
  </si>
  <si>
    <t>A data de abertura é a base do prazo total do projeto.</t>
  </si>
  <si>
    <t>Projetos bloqueados sem motivo informado</t>
  </si>
  <si>
    <t>Selecione o motivo padronizado na coluna MOTIVO DO BLOQUEIO.</t>
  </si>
  <si>
    <t>Itens repetidos no Cadastro (mesmo chamado + produto)</t>
  </si>
  <si>
    <t>Cada combinação chamado + produto deve ter uma única linha na aba Cadastro.</t>
  </si>
  <si>
    <t>Itens do Cadastro com chamado não cadastrado</t>
  </si>
  <si>
    <t>Cadastre o projeto em 01_Projetos antes de lançar o item.</t>
  </si>
  <si>
    <t>Itens do Cadastro com produto não cadastrado</t>
  </si>
  <si>
    <t>Inclua o código na tabela de produtos da aba 09_Cadastros.</t>
  </si>
  <si>
    <t>Itens com OC informada mas sem SC</t>
  </si>
  <si>
    <t>Toda OC nasce de uma SC: preencha o Nº SC na aba Cadastro.</t>
  </si>
  <si>
    <t>Itens com quantidade liberada acima da recebida</t>
  </si>
  <si>
    <t>A liberação não pode superar o recebido: confira se falta lançar a entrega em 07_Entregas.</t>
  </si>
  <si>
    <t>Itens de escopo com cadeia física inconsistente</t>
  </si>
  <si>
    <t>Instalada não pode superar liberada, IP não pode superar instalada, VMS não pode superar IP.</t>
  </si>
  <si>
    <t>SCs com quantidade comprada acima da requisitada</t>
  </si>
  <si>
    <t>Confira a quantidade da OC ou corrija a SC.</t>
  </si>
  <si>
    <t>Entregas sem item selecionado</t>
  </si>
  <si>
    <t>Selecione o item na lista suspensa da coluna ITEM em 07_Entregas.</t>
  </si>
  <si>
    <t>Entregas com quantidade acima da OC</t>
  </si>
  <si>
    <t>Confira a NF ou a quantidade comprada na OC.</t>
  </si>
  <si>
    <t>Histórico com data de conclusão anterior à de início</t>
  </si>
  <si>
    <t>Corrija as datas na aba 08_Historico_Etapas.</t>
  </si>
  <si>
    <t>Projetos ativos sem etapa aberta no histórico</t>
  </si>
  <si>
    <t>Ao avançar a etapa, abra a linha correspondente em 08_Historico_Etapas.</t>
  </si>
  <si>
    <t>Etapas do histórico não cadastradas na matriz de SLA</t>
  </si>
  <si>
    <t>Inclua a etapa na matriz da aba 09_Cadastros.</t>
  </si>
  <si>
    <t>TOTAL DE INCONSISTÊNCIAS</t>
  </si>
  <si>
    <t>BASE DOS GRÁFICOS DO PAINEL</t>
  </si>
  <si>
    <t>Tabelas calculadas que alimentam os gráficos — já respeitam os filtros do painel. Não digite nada aqui.</t>
  </si>
  <si>
    <t>ATENÇÃO</t>
  </si>
  <si>
    <t>EM RISCO</t>
  </si>
  <si>
    <t>ATRASADO</t>
  </si>
  <si>
    <t>SEM DATA DE ETAPA</t>
  </si>
  <si>
    <t>ATIVOS</t>
  </si>
  <si>
    <t>MÉDIA REALIZADA</t>
  </si>
  <si>
    <t>ESTADO DO MATERIAL</t>
  </si>
  <si>
    <t>QUANTIDADE</t>
  </si>
  <si>
    <t>PREVISTO</t>
  </si>
  <si>
    <t>SOLICITADO</t>
  </si>
  <si>
    <t>COMPRADO</t>
  </si>
  <si>
    <t>RECEBIDO</t>
  </si>
  <si>
    <t>LIBERADO</t>
  </si>
  <si>
    <t>INSTALADO</t>
  </si>
  <si>
    <t>IP DISPONIBILIZADO</t>
  </si>
  <si>
    <t>NO VMS</t>
  </si>
  <si>
    <t>COMO USAR ESTA PLANILHA</t>
  </si>
  <si>
    <t>Leia uma vez; depois é só preencher os campos de texto azul.</t>
  </si>
  <si>
    <t>REGRA GERAL</t>
  </si>
  <si>
    <t>Azul você digita</t>
  </si>
  <si>
    <t>Célula com texto azul e fundo branco é entrada. Célula de fundo cinza é calculada — se digitar nela, a fórmula se perde.</t>
  </si>
  <si>
    <t>Uma informação, um lugar</t>
  </si>
  <si>
    <t>Chamado e produto são digitados UMA vez, na aba Cadastro. As abas 02, 03 e 05 são espelhos por fórmula — nelas não se digita nada.</t>
  </si>
  <si>
    <t>Ordem de preenchimento</t>
  </si>
  <si>
    <t>09_Cadastros (listas) → 01_Projetos (um chamado por linha) → Cadastro (um item por linha, com SC e OC) → 07_Entregas (cada recebimento) → 08_Historico_Etapas.</t>
  </si>
  <si>
    <t>Antes de apresentar</t>
  </si>
  <si>
    <t>Abra a aba 10_Verificacoes. Tudo em zero, painel confiável — o próprio painel avisa no canto superior direito.</t>
  </si>
  <si>
    <t>OS FILTROS DO PAINEL</t>
  </si>
  <si>
    <t>Onde ficam</t>
  </si>
  <si>
    <t>Aba 00_Painel, logo abaixo do titulo: Unidade e Projeto, em listas suspensas.</t>
  </si>
  <si>
    <t>O que muda</t>
  </si>
  <si>
    <t>Os dez cartoes, os quatro graficos e a lista de projetos em andamento. O funil fisico tambem — da para ver a cadeia de material de um unico projeto.</t>
  </si>
  <si>
    <t>Voltar ao total</t>
  </si>
  <si>
    <t>Selecione (TODAS AS UNIDADES) e (TODOS OS PROJETOS).</t>
  </si>
  <si>
    <t>Nao filtram</t>
  </si>
  <si>
    <t>A aderencia ao SLA (mede o historico do conjunto) e a aba 10_Verificacoes, que e sempre global.</t>
  </si>
  <si>
    <t>A ABA CADASTRO</t>
  </si>
  <si>
    <t>O que é</t>
  </si>
  <si>
    <t>Uma linha por item do projeto (chamado + produto), carregando o ciclo inteiro: quantidade prevista, dados da SC, dados da OC e a evolução física (liberado, instalado, IP, VMS).</t>
  </si>
  <si>
    <t>Montado sozinho como chamado-produto. É a chave que liga a entrega ao item — não precisa digitar.</t>
  </si>
  <si>
    <t>Lançar uma entrega</t>
  </si>
  <si>
    <t>Em 07_Entregas escolha o ITEM na lista suspensa (mostra chamado, produto e OC). Chamado, SC, OC, produto e fornecedor vêm por fórmula. Você digita só NF, data, quantidade, unidade, custódia e situação.</t>
  </si>
  <si>
    <t>Entregas parciais</t>
  </si>
  <si>
    <t>O mesmo item pode ter várias linhas em 07_Entregas. A soma volta para a coluna QTD. RECEBIDA do Cadastro e para o saldo da OC.</t>
  </si>
  <si>
    <t>Duas OCs para o mesmo item</t>
  </si>
  <si>
    <t>Se o item foi comprado em duas OCs, abra uma segunda linha no Cadastro com o mesmo chamado e produto e divida a quantidade prevista — a verificação de item repetido vai avisar, e aí é só conferir se a divisão está correta.</t>
  </si>
  <si>
    <t>O QUE MUDOU EM RELAÇÃO À VERSÃO ANTERIOR</t>
  </si>
  <si>
    <t>Sem a aba de rateio</t>
  </si>
  <si>
    <t>A SC agora já nasce com o Nº do chamado. Se uma SC atende dois projetos, lance duas linhas com o mesmo Nº SC e chamados diferentes — o rateio deixa de existir como aba e como fonte de erro.</t>
  </si>
  <si>
    <t>OC e entrega com chamado</t>
  </si>
  <si>
    <t>05_OC_Fornecedor e 07_Entregas passaram a ter Nº do chamado e código do produto. Com isso, comprado e recebido chegam ao projeto por soma direta, sem fórmula de matriz.</t>
  </si>
  <si>
    <t>Fórmulas clássicas</t>
  </si>
  <si>
    <t>Saíram XLOOKUP, MAXIFS e matrizes dinâmicas. Ficaram ÍNDICE/CORRESP, SOMASES e CONT.SES — funcionam em qualquer versão do Excel, inclusive no Excel do servidor e no Google Sheets.</t>
  </si>
  <si>
    <t>Uma única regra de situação</t>
  </si>
  <si>
    <t>As antigas colunas SINALIZAÇÃO GERAL, STATUS DO SLA e CRITICIDADE viraram uma só: SITUAÇÃO.</t>
  </si>
  <si>
    <t>Licenças</t>
  </si>
  <si>
    <t>LICENÇAS NECESSÁRIAS = câmeras previstas ÷ 4, arredondado para cima (1 licença cobre 4 câmeras).</t>
  </si>
  <si>
    <t>COMO O DESVIO DE MATERIAL É MEDIDO</t>
  </si>
  <si>
    <t>Régua por etapa</t>
  </si>
  <si>
    <t>O status quantitativo só cobra o que a etapa atual do projeto já deveria ter entregue. Um projeto em Entrega do Material não é acusado por não ter câmera instalada — isso ainda não é para ter acontecido.</t>
  </si>
  <si>
    <t>Quando cada estado passa a ser cobrado</t>
  </si>
  <si>
    <t>Solicitado: depois da Abertura da SC. Comprado: depois do Fluxo de Suprimentos. Recebido: depois da Entrega do Material. Liberado: depois da Liberação. Instalado: depois da Instalação. IP: depois da Disponibilização de IP. VMS: depois da Inclusão no VMS. Projeto concluído: tudo é cobrado.</t>
  </si>
  <si>
    <t>EM DIA COM A ETAPA</t>
  </si>
  <si>
    <t>Significa que a cadeia ainda não fechou, mas o que falta é trabalho futuro — não é desvio. Conta como verde.</t>
  </si>
  <si>
    <t>COMO O PRAZO É CALCULADO</t>
  </si>
  <si>
    <t>Data de referência − Data de início da etapa.</t>
  </si>
  <si>
    <t>Dias na etapa ÷ SLA da etapa (matriz da aba 09_Cadastros).</t>
  </si>
  <si>
    <t>CONCLUÍDO / CANCELADO → status informado. BLOQUEADO → coluna Bloqueado = SIM. ATRASADO → dias na etapa acima do SLA. EM RISCO ≥ 90%. ATENÇÃO ≥ 70%. Senão, NO PRAZO.</t>
  </si>
  <si>
    <t>Aba 09_Cadastros, célula T8. Está como =HOJE(). Para congelar o painel numa data (fechamento do mês, reunião de diretoria), digite a data no lugar da fórmula.</t>
  </si>
  <si>
    <t>MANUTENÇÃO</t>
  </si>
  <si>
    <t>Novas linhas</t>
  </si>
  <si>
    <t>Digite logo abaixo da última linha da tabela: as fórmulas se copiam sozinhas. Há fórmulas prontas até a linha 154 e as somas cobrem até a linha 600.</t>
  </si>
  <si>
    <t>Nova etapa ou novo SLA</t>
  </si>
  <si>
    <t>Altere a matriz na aba 09_Cadastros (colunas O, P, Q). Painel, projetos e histórico acompanham na hora.</t>
  </si>
  <si>
    <t>Novo produto / objeto de custo</t>
  </si>
  <si>
    <t>Inclua na aba 09_Cadastros. A lista suspensa e as descrições passam a reconhecê-lo.</t>
  </si>
  <si>
    <t>Gráficos</t>
  </si>
  <si>
    <t>A aba 11_Base_Graficos alimenta os cinco gráficos do painel. Não é preciso mexer nela.</t>
  </si>
  <si>
    <t>VICE-PRESIDENCIA COMERCIAL</t>
  </si>
  <si>
    <t>CONTROLE COMERCIAL</t>
  </si>
  <si>
    <t>COMERCIALIZAÇÃO DE BIOMASSA</t>
  </si>
  <si>
    <t>COMERCIALIZAÇÃO DE IOP</t>
  </si>
  <si>
    <t>ADMINISTRAÇÃO INDUSTRIAL</t>
  </si>
  <si>
    <t>ADMINISTRAÇÃO DE OPERAÇÕES</t>
  </si>
  <si>
    <t>ADMINISTRAÇÃO AUTOMOTIVA</t>
  </si>
  <si>
    <t>MANUTENÇÃO MECÂNICA FROTA</t>
  </si>
  <si>
    <t>POSTO ABASTECIMENTO INTERNO</t>
  </si>
  <si>
    <t>FUNCIONARIOS DA OBRA CIVIL</t>
  </si>
  <si>
    <t>ADMINISTRAÇÃO MANUTENÇÃO INDUSTRIAL</t>
  </si>
  <si>
    <t>PLANEJAMENTO E CONTROLE DE MANUTENÇÃO</t>
  </si>
  <si>
    <t>PLANEJAMENTO DE PROJETOS</t>
  </si>
  <si>
    <t>INSTRUMENTAÇÃO/ REFRIGERAÇÃO</t>
  </si>
  <si>
    <t>MANUTENÇÃO ELÉTRICA INDUSTRIAL</t>
  </si>
  <si>
    <t>MANUTENÇÃO MECÂNICA INDUSTRIAL</t>
  </si>
  <si>
    <t>CAMINHÕES TRANSPORTE PEÇAS</t>
  </si>
  <si>
    <t>CALDEIRARIA INDUSTRIAL</t>
  </si>
  <si>
    <t>LUBRIFICAÇÃO INDUSTRIAL</t>
  </si>
  <si>
    <t>COMERCIALIZAÇÃO MERCADO INTERNO - ÓLEO</t>
  </si>
  <si>
    <t>COMERCIALIZAÇÃO MERCADO INTERNO - DDGS</t>
  </si>
  <si>
    <t>QUALIDADE CORPORATIVO</t>
  </si>
  <si>
    <t>FACILITIES</t>
  </si>
  <si>
    <t>COMUNICAÇÃO E MARKETING</t>
  </si>
  <si>
    <t>COMERCIALIZAÇÃO DE MILHO</t>
  </si>
  <si>
    <t>TRANSPORTE AÉREO - DIRETORIA</t>
  </si>
  <si>
    <t>QUALIDADE PORTOS E TRANSBORDOS</t>
  </si>
  <si>
    <t>INDICADORES INDUSTRIAIS</t>
  </si>
  <si>
    <t>HANGAR</t>
  </si>
  <si>
    <t>ADMISTRAÇÃO DE OPERAÇÕES BIOMASSA</t>
  </si>
  <si>
    <t>DIRETORIA LOGÍSTICA</t>
  </si>
  <si>
    <t>AUDITORIA CORPORATIVA EXECUTIVA</t>
  </si>
  <si>
    <t>SUSTENTABILIDADE ESG</t>
  </si>
  <si>
    <t>GESTÃO DE MATERIAIS CAPEX</t>
  </si>
  <si>
    <t>DIRETORIA SUPRIMENTOS</t>
  </si>
  <si>
    <t>DIRETORIA DE OPERAÇÕES</t>
  </si>
  <si>
    <t>FUNCIONARIOS DA OBRA CALDEIRARIA/MECÂNICA</t>
  </si>
  <si>
    <t>GERÊNCIA DE DESENVOLVIMENTO ORGANIZACIONAL</t>
  </si>
  <si>
    <t>TORRE DE CONTROLE LOGISTICA - TELIG</t>
  </si>
  <si>
    <t>GERENCIA DE TRANSPORTES (ETANOL, ÓLEO E FROTA)</t>
  </si>
  <si>
    <t>LOGISTICA MILHO E BIOMASSA - MT</t>
  </si>
  <si>
    <t>LOGISTICA DE TRANSPORTE - ÓLEO</t>
  </si>
  <si>
    <t>BACKOFFICE/RELACIONAMENTO</t>
  </si>
  <si>
    <t>JOVENS APRENDIZES</t>
  </si>
  <si>
    <t>TRANSPORTE AÉREO - ADM</t>
  </si>
  <si>
    <t>GOVERNANÇA DE TI</t>
  </si>
  <si>
    <t>PESQUISA E DESENVOLVIMENTO - DDGS</t>
  </si>
  <si>
    <t>LICENCIAMENTO E ASSUNTOS REGULATÓRIOS</t>
  </si>
  <si>
    <t>PESQUISA E DESENVOLVIMENTO - BIOMASSA</t>
  </si>
  <si>
    <t>CPCM - CENTRO DE PLANEJAMENTO E CONTROLE DE MANUTENÇÃO</t>
  </si>
  <si>
    <t>REMUNERAÇÃO E DESENHO ORGANIZACIONAL</t>
  </si>
  <si>
    <t>CHECK-LIST DE VEICULOS</t>
  </si>
  <si>
    <t>DIRETORIA EXECUTIVA DE ASSUNTOS CORPORATIVOS E SUSTENTABILIDADE</t>
  </si>
  <si>
    <t>GERÊNCIA CORPORATIVA DE ESG, CERTIFICAÇÕES E ASSUNTOS REGULATÓRIOS</t>
  </si>
  <si>
    <t>GERÊNCIA TRANSPORTE GRANÉIS</t>
  </si>
  <si>
    <t>GERENCIA CORPORATIVA DE FROTA</t>
  </si>
  <si>
    <t>ADMINISTRAÇÃO E GESTÃO DE BENEFICIOS</t>
  </si>
  <si>
    <t>LOGISTICA ETANOL - MT</t>
  </si>
  <si>
    <t>LOGISTICA ETANOL - MS</t>
  </si>
  <si>
    <t>OPERAÇÃO TORRE DE CONTROLE</t>
  </si>
  <si>
    <t>BACKOFFICE/RELACIONAMENTO ÓLEO</t>
  </si>
  <si>
    <t>LOGISTICA DE TRANSPORTE DDGS - MS/NE</t>
  </si>
  <si>
    <t>GESTÃO DE CONTRATOS OBRAS E MANUTENÇÃO</t>
  </si>
  <si>
    <t>CLASSIFICAÇÃO DE BIOMASSA</t>
  </si>
  <si>
    <t>FUNCIONARIOS - MONTAGEM DAS CALDEIRAS</t>
  </si>
  <si>
    <t>BACKOFFICE/RELACIONAMENTO DDGS</t>
  </si>
  <si>
    <t>QUALIDADE E CONFORMIDADE DE OBRAS</t>
  </si>
  <si>
    <t>RVD - CONSTRUÇÕES | INFRAESTRUTURA TI</t>
  </si>
  <si>
    <t>SUPRIMENTOS GOVERNANÇA E PERFORMANCE</t>
  </si>
  <si>
    <t>CONTROLE E TECNOLOGIA LOGÍSTICA</t>
  </si>
  <si>
    <t>CONSTRUÇÃO CIVIL</t>
  </si>
  <si>
    <t>N/A39</t>
  </si>
  <si>
    <t>N/A40</t>
  </si>
  <si>
    <t>N/A41</t>
  </si>
  <si>
    <t>N/A42</t>
  </si>
  <si>
    <t>N/A43</t>
  </si>
  <si>
    <t>N/A44</t>
  </si>
  <si>
    <t>N/A45</t>
  </si>
  <si>
    <t>N/A46</t>
  </si>
  <si>
    <t>N/A47</t>
  </si>
  <si>
    <t>N/A48</t>
  </si>
  <si>
    <t>COZINHA INDUSTRIAL</t>
  </si>
  <si>
    <t>N/A49</t>
  </si>
  <si>
    <t>TANQUES DE ÓLEO</t>
  </si>
  <si>
    <t>N/A50</t>
  </si>
  <si>
    <t>N/A51</t>
  </si>
  <si>
    <t>ALMOX OPEX</t>
  </si>
  <si>
    <t>N/A52</t>
  </si>
  <si>
    <t>N/A53</t>
  </si>
  <si>
    <t>PRÉDIO ADM</t>
  </si>
  <si>
    <t>N/A54</t>
  </si>
  <si>
    <t>N/A55</t>
  </si>
  <si>
    <t>N/A56</t>
  </si>
  <si>
    <t>CLASSIFICAÇÃO</t>
  </si>
  <si>
    <t>N/A57</t>
  </si>
  <si>
    <t>PORTARIA - ÁREA COMUM</t>
  </si>
  <si>
    <t>N/A58</t>
  </si>
  <si>
    <t>ALMOX CAPEX</t>
  </si>
  <si>
    <t>N/A59</t>
  </si>
  <si>
    <t>N/A60</t>
  </si>
  <si>
    <t>N/A61</t>
  </si>
  <si>
    <t>N/A62</t>
  </si>
  <si>
    <t>N/A63</t>
  </si>
  <si>
    <t>N/A64</t>
  </si>
  <si>
    <t>N/A65</t>
  </si>
  <si>
    <t>N/A66</t>
  </si>
  <si>
    <t>N/A67</t>
  </si>
  <si>
    <t>N/A68</t>
  </si>
  <si>
    <t>CLASSIFICAÇÃO DE GRÃOS</t>
  </si>
  <si>
    <t>N/A69</t>
  </si>
  <si>
    <t>N/A70</t>
  </si>
  <si>
    <t>N/A71</t>
  </si>
  <si>
    <t>CONTAINERS DE OBRA</t>
  </si>
  <si>
    <t>NOVAS INSTALAÇÕES</t>
  </si>
  <si>
    <t>Tulio Francisco Barboza Dos Santos</t>
  </si>
  <si>
    <t>Mauricio Tombini</t>
  </si>
  <si>
    <t>Joselei</t>
  </si>
  <si>
    <t>DIFICULDADES ENCONTRADAS</t>
  </si>
  <si>
    <t>PEDRO HENRIQUE</t>
  </si>
  <si>
    <t>ANDRÉ BARREIRA DE LIMA</t>
  </si>
  <si>
    <t>SSO SALA DE OPERAÇÕES</t>
  </si>
  <si>
    <t>HELIO BEVA DE CASTILHO</t>
  </si>
  <si>
    <t>FERNANDA BRIGATO</t>
  </si>
  <si>
    <t>SERGIO DINIZ JÚNIOR</t>
  </si>
  <si>
    <t>PÁTIO DE CADASTRO - FATURAMENTO</t>
  </si>
  <si>
    <t>MURILO CAMPOS</t>
  </si>
  <si>
    <t>RNP - CONSTRUÇÕES | INFRAESTRUTURA TI</t>
  </si>
  <si>
    <t>12VCC 2 RS485/RJ45 2179KBPS DAHUA TECH/DHI-ITC413-PW4D-Z1</t>
  </si>
  <si>
    <t>123  ·  12VCC 2 RS485/RJ45 2179KBPS DAHUA TECH/DHI-ITC413-PW4D-Z1  ·  OC 1194247</t>
  </si>
  <si>
    <t>123  ·  PW4D-IZ3  ·  OC 1500841</t>
  </si>
  <si>
    <t xml:space="preserve"> 29PORT 24RJ45/4 SFP/1 USB 100-240VCA 43,60X227X442MM HUAWEI/S5735-L24P4XE-A-V2</t>
  </si>
  <si>
    <t>SWITCH</t>
  </si>
  <si>
    <t>MACTI COMERCIO DE INFORMATICA LTDA</t>
  </si>
  <si>
    <t>123  ·   29PORT 24RJ45/4 SFP/1 USB 100-240VCA 43,60X227X442MM HUAWEI/S5735-L24P4XE-A-V2  ·  OC 1476734</t>
  </si>
  <si>
    <t>INTERFONE PLASTICO ABS 12VCC C/ACIONAMENTO FECHADURA IP/WIFI DAHUA TECH/DHI-VTH5421E(W)-H</t>
  </si>
  <si>
    <t>INTERFONE</t>
  </si>
  <si>
    <t>MULTISEG COMERCIO DE INFORMATICA E TELECOMUNICAÇÕES EIRELI</t>
  </si>
  <si>
    <t>123  ·  INTERFONE PLASTICO ABS 12VCC C/ACIONAMENTO FECHADURA IP/WIFI DAHUA TECH/DHI-VTH5421E(W)-H  ·  OC 1437133</t>
  </si>
  <si>
    <t>UNIDADE CONTROLE ACESSOS ELETR LCD 7POL FACIAL 218X118X24,20MM C/SUPORTE DAHUA TECH/DHI-ASI7213S-W</t>
  </si>
  <si>
    <t>COLETOR FACIAL</t>
  </si>
  <si>
    <t>123  ·  UNIDADE CONTROLE ACESSOS ELETR LCD 7POL FACIAL 218X118X24,20MM C/SUPORTE DAHUA TECH/DHI-ASI7213S-W  ·  OC 1444810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</si>
</sst>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;;;"/>
    <numFmt numFmtId="165" formatCode="0;\-0;;"/>
    <numFmt numFmtId="166" formatCode="dd/mm/yyyy;;;"/>
    <numFmt numFmtId="167" formatCode="0.0;;;"/>
  </numFmts>
  <fonts count="39" x14ac:knownFonts="1">
    <font>
      <sz val="11"/>
      <color theme="1"/>
      <name val="Calibri"/>
      <family val="2"/>
      <charset val="1"/>
    </font>
    <font>
      <b/>
      <sz val="20"/>
      <color rgb="FF2F4858"/>
      <name val="Aptos Display"/>
      <family val="2"/>
    </font>
    <font>
      <sz val="8.5"/>
      <color rgb="FF9AA5B1"/>
      <name val="Aptos Narrow"/>
      <family val="2"/>
    </font>
    <font>
      <b/>
      <sz val="14"/>
      <color rgb="FF2F4858"/>
      <name val="Aptos Display"/>
      <family val="2"/>
    </font>
    <font>
      <sz val="9.5"/>
      <color rgb="FF7B8794"/>
      <name val="Aptos Narrow"/>
      <family val="2"/>
    </font>
    <font>
      <b/>
      <sz val="8"/>
      <color rgb="FF7B8794"/>
      <name val="Aptos Narrow"/>
      <family val="2"/>
    </font>
    <font>
      <b/>
      <sz val="9"/>
      <color rgb="FF2F4858"/>
      <name val="Aptos Narrow"/>
      <family val="2"/>
    </font>
    <font>
      <b/>
      <sz val="10"/>
      <color rgb="FF3A7CA5"/>
      <name val="Aptos Narrow"/>
      <family val="2"/>
    </font>
    <font>
      <i/>
      <sz val="8"/>
      <color rgb="FF9AA5B1"/>
      <name val="Aptos Narrow"/>
      <family val="2"/>
    </font>
    <font>
      <b/>
      <sz val="26"/>
      <color rgb="FF2F4858"/>
      <name val="Aptos Display"/>
      <family val="2"/>
    </font>
    <font>
      <b/>
      <sz val="26"/>
      <color rgb="FF3A7CA5"/>
      <name val="Aptos Display"/>
      <family val="2"/>
    </font>
    <font>
      <b/>
      <sz val="26"/>
      <color rgb="FF4C956C"/>
      <name val="Aptos Display"/>
      <family val="2"/>
    </font>
    <font>
      <b/>
      <sz val="26"/>
      <color rgb="FFD9A441"/>
      <name val="Aptos Display"/>
      <family val="2"/>
    </font>
    <font>
      <b/>
      <sz val="26"/>
      <color rgb="FFB4544A"/>
      <name val="Aptos Display"/>
      <family val="2"/>
    </font>
    <font>
      <b/>
      <sz val="12"/>
      <color rgb="FF2F4858"/>
      <name val="Aptos Display"/>
      <family val="2"/>
    </font>
    <font>
      <b/>
      <sz val="9"/>
      <color rgb="FFFFFFFF"/>
      <name val="Aptos Narrow"/>
      <family val="2"/>
    </font>
    <font>
      <sz val="8"/>
      <color rgb="FFFFFFFF"/>
      <name val="Aptos Narrow"/>
      <family val="2"/>
    </font>
    <font>
      <sz val="9"/>
      <color rgb="FF1F2A37"/>
      <name val="Aptos Narrow"/>
      <family val="2"/>
    </font>
    <font>
      <b/>
      <sz val="14"/>
      <color rgb="FF2F4858"/>
      <name val="Aptos Narrow"/>
      <family val="2"/>
    </font>
    <font>
      <sz val="8"/>
      <color rgb="FFBFBFBF"/>
      <name val="Aptos Narrow"/>
      <family val="2"/>
    </font>
    <font>
      <i/>
      <sz val="8"/>
      <color rgb="FFBFBFBF"/>
      <name val="Aptos Narrow"/>
      <family val="2"/>
    </font>
    <font>
      <i/>
      <sz val="9"/>
      <color rgb="FF595959"/>
      <name val="Aptos Narrow"/>
      <family val="2"/>
    </font>
    <font>
      <sz val="9"/>
      <color rgb="FF3A7CA5"/>
      <name val="Aptos Narrow"/>
      <family val="2"/>
    </font>
    <font>
      <sz val="9"/>
      <color rgb="FF6B7480"/>
      <name val="Aptos Narrow"/>
      <family val="2"/>
    </font>
    <font>
      <b/>
      <sz val="8"/>
      <color rgb="FFFFFFFF"/>
      <name val="Aptos Narrow"/>
      <family val="2"/>
    </font>
    <font>
      <i/>
      <sz val="8"/>
      <color rgb="FF595959"/>
      <name val="Aptos Narrow"/>
      <family val="2"/>
    </font>
    <font>
      <b/>
      <sz val="9"/>
      <name val="Aptos Narrow"/>
      <family val="2"/>
    </font>
    <font>
      <sz val="10"/>
      <name val="Arial"/>
      <family val="2"/>
    </font>
    <font>
      <b/>
      <sz val="10"/>
      <name val="Aptos Narrow"/>
      <family val="2"/>
    </font>
    <font>
      <b/>
      <sz val="11"/>
      <name val="Aptos Narrow"/>
      <family val="2"/>
    </font>
    <font>
      <b/>
      <sz val="12"/>
      <name val="Aptos Narrow"/>
      <family val="2"/>
    </font>
    <font>
      <b/>
      <sz val="9"/>
      <color rgb="FF3A7CA5"/>
      <name val="Aptos Narrow"/>
      <family val="2"/>
    </font>
    <font>
      <b/>
      <sz val="11"/>
      <color rgb="FFFFFFFF"/>
      <name val="Aptos Narrow"/>
      <family val="2"/>
    </font>
    <font>
      <sz val="9"/>
      <color rgb="FF3A7CA5"/>
      <name val="Aptos Narrow"/>
      <family val="2"/>
    </font>
    <font>
      <sz val="9"/>
      <color rgb="FF6B7480"/>
      <name val="Aptos Narrow"/>
      <family val="2"/>
    </font>
    <font>
      <sz val="9"/>
      <color rgb="FF242424"/>
      <name val="Aptos Narrow"/>
      <family val="2"/>
    </font>
    <font>
      <sz val="9"/>
      <color rgb="FF242424"/>
      <name val="Aptos"/>
      <family val="2"/>
    </font>
    <font>
      <b/>
      <sz val="9"/>
      <color rgb="FFFFFFFF"/>
      <name val="Aptos Narrow"/>
      <family val="2"/>
    </font>
    <font>
      <sz val="9"/>
      <color theme="0"/>
      <name val="Aptos Narrow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FF"/>
        <bgColor rgb="FFF6F8FA"/>
      </patternFill>
    </fill>
    <fill>
      <patternFill patternType="solid">
        <fgColor rgb="FF2F4858"/>
        <bgColor rgb="FF1F4E79"/>
      </patternFill>
    </fill>
    <fill>
      <patternFill patternType="solid">
        <fgColor rgb="FF3A7CA5"/>
        <bgColor rgb="FF5A7D91"/>
      </patternFill>
    </fill>
    <fill>
      <patternFill patternType="solid">
        <fgColor rgb="FF4C956C"/>
        <bgColor rgb="FF5A7D91"/>
      </patternFill>
    </fill>
    <fill>
      <patternFill patternType="solid">
        <fgColor rgb="FFD9A441"/>
        <bgColor rgb="FFC98A4B"/>
      </patternFill>
    </fill>
    <fill>
      <patternFill patternType="solid">
        <fgColor rgb="FFF6F8FA"/>
        <bgColor rgb="FFEEF1F4"/>
      </patternFill>
    </fill>
    <fill>
      <patternFill patternType="solid">
        <fgColor rgb="FFB4544A"/>
        <bgColor rgb="FF9A5B2B"/>
      </patternFill>
    </fill>
    <fill>
      <patternFill patternType="solid">
        <fgColor rgb="FF44667A"/>
        <bgColor rgb="FF5A6472"/>
      </patternFill>
    </fill>
    <fill>
      <patternFill patternType="solid">
        <fgColor rgb="FF5A7D91"/>
        <bgColor rgb="FF6B7480"/>
      </patternFill>
    </fill>
    <fill>
      <patternFill patternType="solid">
        <fgColor rgb="FF6E8FA3"/>
        <bgColor rgb="FF7B8794"/>
      </patternFill>
    </fill>
    <fill>
      <patternFill patternType="solid">
        <fgColor rgb="FF8A94A0"/>
        <bgColor rgb="FF878787"/>
      </patternFill>
    </fill>
  </fills>
  <borders count="6">
    <border>
      <left/>
      <right/>
      <top/>
      <bottom/>
      <diagonal/>
    </border>
    <border>
      <left style="thin">
        <color rgb="FF3A7CA5"/>
      </left>
      <right/>
      <top style="thin">
        <color rgb="FF3A7CA5"/>
      </top>
      <bottom style="thin">
        <color rgb="FF3A7CA5"/>
      </bottom>
      <diagonal/>
    </border>
    <border>
      <left style="thin">
        <color rgb="FFDFE4EA"/>
      </left>
      <right style="thin">
        <color rgb="FFDFE4EA"/>
      </right>
      <top/>
      <bottom/>
      <diagonal/>
    </border>
    <border>
      <left style="thin">
        <color rgb="FFDFE4EA"/>
      </left>
      <right style="thin">
        <color rgb="FFDFE4EA"/>
      </right>
      <top/>
      <bottom style="thin">
        <color rgb="FFDFE4EA"/>
      </bottom>
      <diagonal/>
    </border>
    <border>
      <left/>
      <right/>
      <top/>
      <bottom style="thin">
        <color rgb="FFDFE4EA"/>
      </bottom>
      <diagonal/>
    </border>
    <border>
      <left/>
      <right/>
      <top/>
      <bottom style="medium">
        <color rgb="FF2F4858"/>
      </bottom>
      <diagonal/>
    </border>
  </borders>
  <cellStyleXfs count="1">
    <xf numFmtId="0" fontId="0" fillId="0" borderId="0"/>
  </cellStyleXfs>
  <cellXfs count="86">
    <xf numFmtId="0" fontId="0" fillId="0" borderId="0" xfId="0"/>
    <xf numFmtId="0" fontId="0" fillId="3" borderId="0" xfId="0" applyFill="1"/>
    <xf numFmtId="0" fontId="6" fillId="0" borderId="0" xfId="0" applyFont="1" applyAlignment="1">
      <alignment horizontal="left" vertical="center"/>
    </xf>
    <xf numFmtId="0" fontId="5" fillId="0" borderId="0" xfId="0" applyFont="1"/>
    <xf numFmtId="0" fontId="8" fillId="0" borderId="0" xfId="0" applyFont="1"/>
    <xf numFmtId="0" fontId="14" fillId="0" borderId="0" xfId="0" applyFont="1"/>
    <xf numFmtId="0" fontId="15" fillId="3" borderId="4" xfId="0" applyFont="1" applyFill="1" applyBorder="1" applyAlignment="1">
      <alignment horizontal="center" vertical="center" wrapText="1"/>
    </xf>
    <xf numFmtId="0" fontId="16" fillId="0" borderId="0" xfId="0" applyFont="1"/>
    <xf numFmtId="1" fontId="17" fillId="0" borderId="4" xfId="0" applyNumberFormat="1" applyFont="1" applyBorder="1" applyAlignment="1">
      <alignment horizontal="center" vertical="center"/>
    </xf>
    <xf numFmtId="0" fontId="17" fillId="0" borderId="4" xfId="0" applyFont="1" applyBorder="1" applyAlignment="1">
      <alignment horizontal="left" vertical="center"/>
    </xf>
    <xf numFmtId="0" fontId="17" fillId="0" borderId="4" xfId="0" applyFont="1" applyBorder="1" applyAlignment="1">
      <alignment horizontal="center" vertical="center"/>
    </xf>
    <xf numFmtId="9" fontId="17" fillId="0" borderId="4" xfId="0" applyNumberFormat="1" applyFont="1" applyBorder="1" applyAlignment="1">
      <alignment horizontal="center" vertical="center"/>
    </xf>
    <xf numFmtId="0" fontId="18" fillId="0" borderId="0" xfId="0" applyFont="1"/>
    <xf numFmtId="1" fontId="19" fillId="0" borderId="0" xfId="0" applyNumberFormat="1" applyFont="1"/>
    <xf numFmtId="0" fontId="20" fillId="0" borderId="0" xfId="0" applyFont="1"/>
    <xf numFmtId="0" fontId="21" fillId="0" borderId="0" xfId="0" applyFont="1"/>
    <xf numFmtId="0" fontId="15" fillId="3" borderId="5" xfId="0" applyFont="1" applyFill="1" applyBorder="1" applyAlignment="1">
      <alignment horizontal="center" vertical="center" wrapText="1"/>
    </xf>
    <xf numFmtId="1" fontId="22" fillId="2" borderId="4" xfId="0" applyNumberFormat="1" applyFont="1" applyFill="1" applyBorder="1" applyAlignment="1">
      <alignment horizontal="center" vertical="center"/>
    </xf>
    <xf numFmtId="0" fontId="22" fillId="2" borderId="4" xfId="0" applyFont="1" applyFill="1" applyBorder="1" applyAlignment="1">
      <alignment horizontal="left" vertical="center"/>
    </xf>
    <xf numFmtId="0" fontId="23" fillId="7" borderId="4" xfId="0" applyFont="1" applyFill="1" applyBorder="1" applyAlignment="1">
      <alignment horizontal="left" vertical="center"/>
    </xf>
    <xf numFmtId="14" fontId="22" fillId="2" borderId="4" xfId="0" applyNumberFormat="1" applyFont="1" applyFill="1" applyBorder="1" applyAlignment="1">
      <alignment horizontal="center" vertical="center"/>
    </xf>
    <xf numFmtId="1" fontId="23" fillId="7" borderId="4" xfId="0" applyNumberFormat="1" applyFont="1" applyFill="1" applyBorder="1" applyAlignment="1">
      <alignment horizontal="center" vertical="center"/>
    </xf>
    <xf numFmtId="9" fontId="23" fillId="7" borderId="4" xfId="0" applyNumberFormat="1" applyFont="1" applyFill="1" applyBorder="1" applyAlignment="1">
      <alignment horizontal="center" vertical="center"/>
    </xf>
    <xf numFmtId="165" fontId="23" fillId="7" borderId="4" xfId="0" applyNumberFormat="1" applyFont="1" applyFill="1" applyBorder="1" applyAlignment="1">
      <alignment horizontal="left" vertical="center"/>
    </xf>
    <xf numFmtId="166" fontId="23" fillId="7" borderId="4" xfId="0" applyNumberFormat="1" applyFont="1" applyFill="1" applyBorder="1" applyAlignment="1">
      <alignment horizontal="left" vertical="center"/>
    </xf>
    <xf numFmtId="0" fontId="15" fillId="3" borderId="4" xfId="0" applyFont="1" applyFill="1" applyBorder="1" applyAlignment="1">
      <alignment horizontal="center"/>
    </xf>
    <xf numFmtId="0" fontId="22" fillId="0" borderId="4" xfId="0" applyFont="1" applyBorder="1"/>
    <xf numFmtId="1" fontId="22" fillId="0" borderId="4" xfId="0" applyNumberFormat="1" applyFont="1" applyBorder="1" applyAlignment="1">
      <alignment horizontal="center"/>
    </xf>
    <xf numFmtId="0" fontId="17" fillId="0" borderId="4" xfId="0" applyFont="1" applyBorder="1"/>
    <xf numFmtId="1" fontId="7" fillId="7" borderId="4" xfId="0" applyNumberFormat="1" applyFont="1" applyFill="1" applyBorder="1" applyAlignment="1">
      <alignment horizontal="center"/>
    </xf>
    <xf numFmtId="9" fontId="7" fillId="7" borderId="4" xfId="0" applyNumberFormat="1" applyFont="1" applyFill="1" applyBorder="1" applyAlignment="1">
      <alignment horizontal="center"/>
    </xf>
    <xf numFmtId="14" fontId="7" fillId="7" borderId="4" xfId="0" applyNumberFormat="1" applyFont="1" applyFill="1" applyBorder="1" applyAlignment="1">
      <alignment horizontal="center"/>
    </xf>
    <xf numFmtId="0" fontId="25" fillId="0" borderId="0" xfId="0" applyFont="1"/>
    <xf numFmtId="0" fontId="26" fillId="0" borderId="0" xfId="0" applyFont="1" applyAlignment="1">
      <alignment horizontal="right"/>
    </xf>
    <xf numFmtId="0" fontId="26" fillId="0" borderId="0" xfId="0" applyFont="1"/>
    <xf numFmtId="0" fontId="15" fillId="3" borderId="4" xfId="0" applyFont="1" applyFill="1" applyBorder="1" applyAlignment="1">
      <alignment horizontal="center" vertical="center"/>
    </xf>
    <xf numFmtId="0" fontId="17" fillId="0" borderId="4" xfId="0" applyFont="1" applyBorder="1" applyAlignment="1">
      <alignment vertical="center" wrapText="1"/>
    </xf>
    <xf numFmtId="1" fontId="28" fillId="0" borderId="4" xfId="0" applyNumberFormat="1" applyFont="1" applyBorder="1" applyAlignment="1">
      <alignment horizontal="center" vertical="center"/>
    </xf>
    <xf numFmtId="0" fontId="29" fillId="0" borderId="0" xfId="0" applyFont="1"/>
    <xf numFmtId="1" fontId="30" fillId="0" borderId="0" xfId="0" applyNumberFormat="1" applyFont="1" applyAlignment="1">
      <alignment horizontal="center"/>
    </xf>
    <xf numFmtId="0" fontId="31" fillId="0" borderId="0" xfId="0" applyFont="1"/>
    <xf numFmtId="0" fontId="17" fillId="0" borderId="0" xfId="0" applyFont="1"/>
    <xf numFmtId="164" fontId="17" fillId="0" borderId="0" xfId="0" applyNumberFormat="1" applyFont="1"/>
    <xf numFmtId="167" fontId="17" fillId="0" borderId="0" xfId="0" applyNumberFormat="1" applyFont="1"/>
    <xf numFmtId="1" fontId="17" fillId="0" borderId="0" xfId="0" applyNumberFormat="1" applyFont="1"/>
    <xf numFmtId="0" fontId="32" fillId="3" borderId="0" xfId="0" applyFont="1" applyFill="1"/>
    <xf numFmtId="0" fontId="26" fillId="0" borderId="0" xfId="0" applyFont="1" applyAlignment="1">
      <alignment vertical="top" wrapText="1"/>
    </xf>
    <xf numFmtId="0" fontId="17" fillId="0" borderId="0" xfId="0" applyFont="1" applyAlignment="1">
      <alignment vertical="top" wrapText="1"/>
    </xf>
    <xf numFmtId="0" fontId="33" fillId="0" borderId="4" xfId="0" applyFont="1" applyBorder="1"/>
    <xf numFmtId="1" fontId="33" fillId="0" borderId="4" xfId="0" applyNumberFormat="1" applyFont="1" applyBorder="1" applyAlignment="1">
      <alignment horizontal="center"/>
    </xf>
    <xf numFmtId="1" fontId="33" fillId="2" borderId="4" xfId="0" applyNumberFormat="1" applyFont="1" applyFill="1" applyBorder="1" applyAlignment="1">
      <alignment horizontal="center" vertical="center"/>
    </xf>
    <xf numFmtId="0" fontId="33" fillId="2" borderId="4" xfId="0" applyFont="1" applyFill="1" applyBorder="1" applyAlignment="1">
      <alignment horizontal="left" vertical="center"/>
    </xf>
    <xf numFmtId="0" fontId="34" fillId="7" borderId="4" xfId="0" applyFont="1" applyFill="1" applyBorder="1" applyAlignment="1">
      <alignment horizontal="left" vertical="center"/>
    </xf>
    <xf numFmtId="14" fontId="33" fillId="2" borderId="4" xfId="0" applyNumberFormat="1" applyFont="1" applyFill="1" applyBorder="1" applyAlignment="1">
      <alignment horizontal="center" vertical="center"/>
    </xf>
    <xf numFmtId="1" fontId="34" fillId="7" borderId="4" xfId="0" applyNumberFormat="1" applyFont="1" applyFill="1" applyBorder="1" applyAlignment="1">
      <alignment horizontal="center" vertical="center"/>
    </xf>
    <xf numFmtId="9" fontId="34" fillId="7" borderId="4" xfId="0" applyNumberFormat="1" applyFont="1" applyFill="1" applyBorder="1" applyAlignment="1">
      <alignment horizontal="center" vertical="center"/>
    </xf>
    <xf numFmtId="0" fontId="33" fillId="0" borderId="0" xfId="0" applyFont="1"/>
    <xf numFmtId="0" fontId="35" fillId="0" borderId="0" xfId="0" applyFont="1" applyAlignment="1">
      <alignment horizontal="left" vertical="center"/>
    </xf>
    <xf numFmtId="0" fontId="36" fillId="0" borderId="0" xfId="0" applyFont="1"/>
    <xf numFmtId="0" fontId="37" fillId="3" borderId="5" xfId="0" applyFont="1" applyFill="1" applyBorder="1" applyAlignment="1">
      <alignment horizontal="center" vertical="center" wrapText="1"/>
    </xf>
    <xf numFmtId="0" fontId="17" fillId="0" borderId="4" xfId="0" applyFont="1" applyBorder="1" applyAlignment="1">
      <alignment horizontal="left" vertical="center"/>
    </xf>
    <xf numFmtId="1" fontId="13" fillId="7" borderId="3" xfId="0" applyNumberFormat="1" applyFont="1" applyFill="1" applyBorder="1" applyAlignment="1">
      <alignment horizontal="center" vertical="top"/>
    </xf>
    <xf numFmtId="1" fontId="12" fillId="7" borderId="3" xfId="0" applyNumberFormat="1" applyFont="1" applyFill="1" applyBorder="1" applyAlignment="1">
      <alignment horizontal="center" vertical="top"/>
    </xf>
    <xf numFmtId="9" fontId="10" fillId="7" borderId="3" xfId="0" applyNumberFormat="1" applyFont="1" applyFill="1" applyBorder="1" applyAlignment="1">
      <alignment horizontal="center" vertical="top"/>
    </xf>
    <xf numFmtId="1" fontId="10" fillId="7" borderId="3" xfId="0" applyNumberFormat="1" applyFont="1" applyFill="1" applyBorder="1" applyAlignment="1">
      <alignment horizontal="center" vertical="top"/>
    </xf>
    <xf numFmtId="0" fontId="15" fillId="3" borderId="4" xfId="0" applyFont="1" applyFill="1" applyBorder="1" applyAlignment="1">
      <alignment horizontal="center" vertical="center" wrapText="1"/>
    </xf>
    <xf numFmtId="0" fontId="0" fillId="8" borderId="0" xfId="0" applyFill="1"/>
    <xf numFmtId="0" fontId="0" fillId="6" borderId="0" xfId="0" applyFill="1"/>
    <xf numFmtId="0" fontId="0" fillId="4" borderId="0" xfId="0" applyFill="1"/>
    <xf numFmtId="0" fontId="5" fillId="7" borderId="2" xfId="0" applyFont="1" applyFill="1" applyBorder="1" applyAlignment="1">
      <alignment horizontal="center"/>
    </xf>
    <xf numFmtId="1" fontId="9" fillId="7" borderId="3" xfId="0" applyNumberFormat="1" applyFont="1" applyFill="1" applyBorder="1" applyAlignment="1">
      <alignment horizontal="center" vertical="top"/>
    </xf>
    <xf numFmtId="1" fontId="11" fillId="7" borderId="3" xfId="0" applyNumberFormat="1" applyFont="1" applyFill="1" applyBorder="1" applyAlignment="1">
      <alignment horizontal="center" vertical="top"/>
    </xf>
    <xf numFmtId="0" fontId="1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14" fontId="3" fillId="0" borderId="0" xfId="0" applyNumberFormat="1" applyFont="1" applyAlignment="1">
      <alignment horizontal="left" vertical="center"/>
    </xf>
    <xf numFmtId="0" fontId="4" fillId="0" borderId="0" xfId="0" applyFont="1"/>
    <xf numFmtId="0" fontId="38" fillId="0" borderId="0" xfId="0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0" fontId="7" fillId="2" borderId="1" xfId="0" applyFont="1" applyFill="1" applyBorder="1" applyAlignment="1">
      <alignment horizontal="left" vertical="center"/>
    </xf>
    <xf numFmtId="0" fontId="0" fillId="3" borderId="0" xfId="0" applyFill="1"/>
    <xf numFmtId="0" fontId="0" fillId="5" borderId="0" xfId="0" applyFill="1"/>
    <xf numFmtId="0" fontId="24" fillId="3" borderId="0" xfId="0" applyFont="1" applyFill="1" applyAlignment="1">
      <alignment horizontal="center" vertical="center"/>
    </xf>
    <xf numFmtId="0" fontId="24" fillId="9" borderId="0" xfId="0" applyFont="1" applyFill="1" applyAlignment="1">
      <alignment horizontal="center" vertical="center"/>
    </xf>
    <xf numFmtId="0" fontId="24" fillId="10" borderId="0" xfId="0" applyFont="1" applyFill="1" applyAlignment="1">
      <alignment horizontal="center" vertical="center"/>
    </xf>
    <xf numFmtId="0" fontId="24" fillId="11" borderId="0" xfId="0" applyFont="1" applyFill="1" applyAlignment="1">
      <alignment horizontal="center" vertical="center"/>
    </xf>
    <xf numFmtId="0" fontId="24" fillId="12" borderId="0" xfId="0" applyFont="1" applyFill="1" applyAlignment="1">
      <alignment horizontal="center" vertical="center"/>
    </xf>
  </cellXfs>
  <cellStyles count="1">
    <cellStyle name="Normal" xfId="0" builtinId="0"/>
  </cellStyles>
  <dxfs count="30">
    <dxf>
      <font>
        <b/>
        <color rgb="FF2E6B4F"/>
        <name val="Aptos Narrow"/>
        <charset val="1"/>
      </font>
      <fill>
        <patternFill>
          <bgColor rgb="FFE8F1EB"/>
        </patternFill>
      </fill>
    </dxf>
    <dxf>
      <font>
        <b/>
        <color rgb="FF8F3A33"/>
        <name val="Aptos Narrow"/>
        <charset val="1"/>
      </font>
      <fill>
        <patternFill>
          <bgColor rgb="FFF7E7E5"/>
        </patternFill>
      </fill>
    </dxf>
    <dxf>
      <font>
        <b/>
        <sz val="9"/>
        <color rgb="FF2E6B4F"/>
        <name val="Aptos Narrow"/>
        <charset val="1"/>
      </font>
      <fill>
        <patternFill>
          <bgColor rgb="FFE8F1EB"/>
        </patternFill>
      </fill>
    </dxf>
    <dxf>
      <font>
        <b/>
        <sz val="9"/>
        <color rgb="FF8F3A33"/>
        <name val="Aptos Narrow"/>
        <charset val="1"/>
      </font>
      <fill>
        <patternFill>
          <bgColor rgb="FFF7E7E5"/>
        </patternFill>
      </fill>
    </dxf>
    <dxf>
      <font>
        <b/>
        <sz val="9"/>
        <color rgb="FF8F3A33"/>
        <name val="Aptos Narrow"/>
        <charset val="1"/>
      </font>
      <fill>
        <patternFill>
          <bgColor rgb="FFF7E7E5"/>
        </patternFill>
      </fill>
    </dxf>
    <dxf>
      <font>
        <b/>
        <sz val="9"/>
        <color rgb="FF2E6B4F"/>
        <name val="Aptos Narrow"/>
        <charset val="1"/>
      </font>
      <fill>
        <patternFill>
          <bgColor rgb="FFE8F1EB"/>
        </patternFill>
      </fill>
    </dxf>
    <dxf>
      <font>
        <b/>
        <sz val="9"/>
        <color rgb="FF8F3A33"/>
        <name val="Aptos Narrow"/>
        <charset val="1"/>
      </font>
      <fill>
        <patternFill>
          <bgColor rgb="FFF7E7E5"/>
        </patternFill>
      </fill>
    </dxf>
    <dxf>
      <font>
        <b/>
        <sz val="9"/>
        <color rgb="FF2E6B4F"/>
        <name val="Aptos Narrow"/>
        <charset val="1"/>
      </font>
      <fill>
        <patternFill>
          <bgColor rgb="FFE8F1EB"/>
        </patternFill>
      </fill>
    </dxf>
    <dxf>
      <font>
        <b/>
        <sz val="9"/>
        <color rgb="FF8F3A33"/>
        <name val="Aptos Narrow"/>
        <charset val="1"/>
      </font>
      <fill>
        <patternFill>
          <bgColor rgb="FFF7E7E5"/>
        </patternFill>
      </fill>
    </dxf>
    <dxf>
      <font>
        <b/>
        <sz val="9"/>
        <color rgb="FF8A6116"/>
        <name val="Aptos Narrow"/>
        <charset val="1"/>
      </font>
      <fill>
        <patternFill>
          <bgColor rgb="FFFAF1DF"/>
        </patternFill>
      </fill>
    </dxf>
    <dxf>
      <font>
        <b/>
        <sz val="9"/>
        <color rgb="FF2E6B4F"/>
        <name val="Aptos Narrow"/>
        <charset val="1"/>
      </font>
      <fill>
        <patternFill>
          <bgColor rgb="FFE8F1EB"/>
        </patternFill>
      </fill>
    </dxf>
    <dxf>
      <font>
        <b/>
        <sz val="9"/>
        <color rgb="FF8F3A33"/>
        <name val="Aptos Narrow"/>
        <charset val="1"/>
      </font>
      <fill>
        <patternFill>
          <bgColor rgb="FFF7E7E5"/>
        </patternFill>
      </fill>
    </dxf>
    <dxf>
      <font>
        <sz val="9"/>
        <color rgb="FF5A6472"/>
        <name val="Aptos Narrow"/>
        <charset val="1"/>
      </font>
      <fill>
        <patternFill>
          <bgColor rgb="FFEEF1F4"/>
        </patternFill>
      </fill>
    </dxf>
    <dxf>
      <font>
        <b/>
        <sz val="9"/>
        <color rgb="FF2E6B4F"/>
        <name val="Aptos Narrow"/>
        <charset val="1"/>
      </font>
      <fill>
        <patternFill>
          <bgColor rgb="FFE8F1EB"/>
        </patternFill>
      </fill>
    </dxf>
    <dxf>
      <font>
        <b/>
        <sz val="9"/>
        <color rgb="FF5A6472"/>
        <name val="Aptos Narrow"/>
        <charset val="1"/>
      </font>
      <fill>
        <patternFill>
          <bgColor rgb="FFEEF1F4"/>
        </patternFill>
      </fill>
    </dxf>
    <dxf>
      <font>
        <b/>
        <sz val="9"/>
        <color rgb="FF8F3A33"/>
        <name val="Aptos Narrow"/>
        <charset val="1"/>
      </font>
      <fill>
        <patternFill>
          <bgColor rgb="FFF7E7E5"/>
        </patternFill>
      </fill>
    </dxf>
    <dxf>
      <font>
        <b/>
        <sz val="9"/>
        <color rgb="FF8F3A33"/>
        <name val="Aptos Narrow"/>
        <charset val="1"/>
      </font>
      <fill>
        <patternFill>
          <bgColor rgb="FFF7E7E5"/>
        </patternFill>
      </fill>
    </dxf>
    <dxf>
      <font>
        <b/>
        <sz val="9"/>
        <color rgb="FF9A5B2B"/>
        <name val="Aptos Narrow"/>
        <charset val="1"/>
      </font>
      <fill>
        <patternFill>
          <bgColor rgb="FFF6E4D7"/>
        </patternFill>
      </fill>
    </dxf>
    <dxf>
      <font>
        <b/>
        <sz val="9"/>
        <color rgb="FF8A6116"/>
        <name val="Aptos Narrow"/>
        <charset val="1"/>
      </font>
      <fill>
        <patternFill>
          <bgColor rgb="FFFAF1DF"/>
        </patternFill>
      </fill>
    </dxf>
    <dxf>
      <font>
        <b/>
        <sz val="9"/>
        <color rgb="FF2E6B4F"/>
        <name val="Aptos Narrow"/>
        <charset val="1"/>
      </font>
      <fill>
        <patternFill>
          <bgColor rgb="FFE8F1EB"/>
        </patternFill>
      </fill>
    </dxf>
    <dxf>
      <font>
        <b/>
        <sz val="9"/>
        <color rgb="FF8F3A33"/>
        <name val="Aptos Narrow"/>
        <charset val="1"/>
      </font>
    </dxf>
    <dxf>
      <font>
        <color rgb="FF006100"/>
      </font>
      <fill>
        <patternFill>
          <bgColor rgb="FFC6EFCE"/>
        </patternFill>
      </fill>
    </dxf>
    <dxf>
      <font>
        <b/>
        <sz val="9"/>
        <color rgb="FF2E6B4F"/>
        <name val="Aptos Narrow"/>
        <charset val="1"/>
      </font>
    </dxf>
    <dxf>
      <font>
        <b/>
        <sz val="9"/>
        <color rgb="FF8A6116"/>
        <name val="Aptos Narrow"/>
        <charset val="1"/>
      </font>
    </dxf>
    <dxf>
      <font>
        <b/>
        <sz val="9"/>
        <color rgb="FF5A6472"/>
        <name val="Aptos Narrow"/>
        <charset val="1"/>
      </font>
      <fill>
        <patternFill>
          <bgColor rgb="FFEEF1F4"/>
        </patternFill>
      </fill>
    </dxf>
    <dxf>
      <font>
        <b/>
        <sz val="9"/>
        <color rgb="FF8F3A33"/>
        <name val="Aptos Narrow"/>
        <charset val="1"/>
      </font>
      <fill>
        <patternFill>
          <bgColor rgb="FFF7E7E5"/>
        </patternFill>
      </fill>
    </dxf>
    <dxf>
      <font>
        <b/>
        <sz val="9"/>
        <color rgb="FF8F3A33"/>
        <name val="Aptos Narrow"/>
        <charset val="1"/>
      </font>
      <fill>
        <patternFill>
          <bgColor rgb="FFF7E7E5"/>
        </patternFill>
      </fill>
    </dxf>
    <dxf>
      <font>
        <b/>
        <sz val="9"/>
        <color rgb="FF9A5B2B"/>
        <name val="Aptos Narrow"/>
        <charset val="1"/>
      </font>
      <fill>
        <patternFill>
          <bgColor rgb="FFF6E4D7"/>
        </patternFill>
      </fill>
    </dxf>
    <dxf>
      <font>
        <b/>
        <sz val="9"/>
        <color rgb="FF8A6116"/>
        <name val="Aptos Narrow"/>
        <charset val="1"/>
      </font>
      <fill>
        <patternFill>
          <bgColor rgb="FFFAF1DF"/>
        </patternFill>
      </fill>
    </dxf>
    <dxf>
      <font>
        <b/>
        <sz val="9"/>
        <color rgb="FF2E6B4F"/>
        <name val="Aptos Narrow"/>
        <charset val="1"/>
      </font>
      <fill>
        <patternFill>
          <bgColor rgb="FFE8F1EB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C00000"/>
      <rgbColor rgb="FF00FF00"/>
      <rgbColor rgb="FF0000FF"/>
      <rgbColor rgb="FFFFFF00"/>
      <rgbColor rgb="FFFF00FF"/>
      <rgbColor rgb="FF00FFFF"/>
      <rgbColor rgb="FF800000"/>
      <rgbColor rgb="FF5A6472"/>
      <rgbColor rgb="FF000080"/>
      <rgbColor rgb="FF8A6116"/>
      <rgbColor rgb="FF7030A0"/>
      <rgbColor rgb="FF2E6B4F"/>
      <rgbColor rgb="FFBFBFBF"/>
      <rgbColor rgb="FF7F7F7F"/>
      <rgbColor rgb="FF9BB0C1"/>
      <rgbColor rgb="FF8F3A33"/>
      <rgbColor rgb="FFFAF1DF"/>
      <rgbColor rgb="FFE8F1EB"/>
      <rgbColor rgb="FF660066"/>
      <rgbColor rgb="FFC98A4B"/>
      <rgbColor rgb="FF5A7D91"/>
      <rgbColor rgb="FFC5CCD4"/>
      <rgbColor rgb="FF000080"/>
      <rgbColor rgb="FFFF00FF"/>
      <rgbColor rgb="FFFFFF00"/>
      <rgbColor rgb="FF00FFFF"/>
      <rgbColor rgb="FF800080"/>
      <rgbColor rgb="FF800000"/>
      <rgbColor rgb="FF3A7CA5"/>
      <rgbColor rgb="FF0000FF"/>
      <rgbColor rgb="FF7B8794"/>
      <rgbColor rgb="FFEEF1F4"/>
      <rgbColor rgb="FFDFE4EA"/>
      <rgbColor rgb="FFF7E7E5"/>
      <rgbColor rgb="FFD9D9D9"/>
      <rgbColor rgb="FFF6F8FA"/>
      <rgbColor rgb="FF9AA5B1"/>
      <rgbColor rgb="FFF6E4D7"/>
      <rgbColor rgb="FF44667A"/>
      <rgbColor rgb="FF6E8FA3"/>
      <rgbColor rgb="FF878787"/>
      <rgbColor rgb="FFFFCC00"/>
      <rgbColor rgb="FFD9A441"/>
      <rgbColor rgb="FFB4544A"/>
      <rgbColor rgb="FF6B7480"/>
      <rgbColor rgb="FF8A94A0"/>
      <rgbColor rgb="FF2F4858"/>
      <rgbColor rgb="FF4C956C"/>
      <rgbColor rgb="FF003300"/>
      <rgbColor rgb="FF595959"/>
      <rgbColor rgb="FF9A5B2B"/>
      <rgbColor rgb="FF8C4A47"/>
      <rgbColor rgb="FF1F4E79"/>
      <rgbColor rgb="FF1F2A37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VBA1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c:style val="2"/>
  <c:chart>
    <c:title>
      <c:tx>
        <c: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Calibri"/>
              </a:defRPr>
            </a:pPr>
            <a:r>
              <a:rPr lang="pt-BR" sz="1800" b="1" strike="noStrike" spc="-1">
                <a:solidFill>
                  <a:srgbClr val="000000"/>
                </a:solidFill>
                <a:latin typeface="Calibri"/>
              </a:rPr>
              <a:t>Situação dos projetos por unidade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'11_Base_Graficos'!$B$4</c:f>
              <c:strCache>
                <c:ptCount val="1"/>
                <c:pt idx="0">
                  <c:v>NO PRAZO</c:v>
                </c:pt>
              </c:strCache>
            </c:strRef>
          </c:tx>
          <c:spPr>
            <a:solidFill>
              <a:srgbClr val="4C956C"/>
            </a:solidFill>
            <a:ln w="0">
              <a:noFill/>
            </a:ln>
          </c:spPr>
          <c:invertIfNegative val="0"/>
          <c:dLbls>
            <c:numFmt formatCode="0;;;" sourceLinked="0"/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'11_Base_Graficos'!$A$5:$A$12</c:f>
              <c:strCache>
                <c:ptCount val="8"/>
                <c:pt idx="0">
                  <c:v>RND</c:v>
                </c:pt>
                <c:pt idx="1">
                  <c:v>SNP</c:v>
                </c:pt>
                <c:pt idx="2">
                  <c:v>MTU</c:v>
                </c:pt>
                <c:pt idx="3">
                  <c:v>DRD</c:v>
                </c:pt>
                <c:pt idx="4">
                  <c:v>BLS</c:v>
                </c:pt>
                <c:pt idx="5">
                  <c:v>LEM</c:v>
                </c:pt>
                <c:pt idx="6">
                  <c:v>SDL</c:v>
                </c:pt>
                <c:pt idx="7">
                  <c:v>RVD</c:v>
                </c:pt>
              </c:strCache>
            </c:strRef>
          </c:cat>
          <c:val>
            <c:numRef>
              <c:f>'11_Base_Graficos'!$B$5:$B$12</c:f>
              <c:numCache>
                <c:formatCode>0;;;</c:formatCode>
                <c:ptCount val="8"/>
                <c:pt idx="0">
                  <c:v>10</c:v>
                </c:pt>
                <c:pt idx="1">
                  <c:v>3</c:v>
                </c:pt>
                <c:pt idx="2">
                  <c:v>2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2</c:v>
                </c:pt>
                <c:pt idx="7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A4-430D-A519-A615E3D3BAD3}"/>
            </c:ext>
          </c:extLst>
        </c:ser>
        <c:ser>
          <c:idx val="1"/>
          <c:order val="1"/>
          <c:tx>
            <c:strRef>
              <c:f>'11_Base_Graficos'!$C$4</c:f>
              <c:strCache>
                <c:ptCount val="1"/>
                <c:pt idx="0">
                  <c:v>ATENÇÃO</c:v>
                </c:pt>
              </c:strCache>
            </c:strRef>
          </c:tx>
          <c:spPr>
            <a:solidFill>
              <a:srgbClr val="D9A441"/>
            </a:solidFill>
            <a:ln w="0">
              <a:noFill/>
            </a:ln>
          </c:spPr>
          <c:invertIfNegative val="0"/>
          <c:dLbls>
            <c:numFmt formatCode="0;;;" sourceLinked="0"/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'11_Base_Graficos'!$A$5:$A$12</c:f>
              <c:strCache>
                <c:ptCount val="8"/>
                <c:pt idx="0">
                  <c:v>RND</c:v>
                </c:pt>
                <c:pt idx="1">
                  <c:v>SNP</c:v>
                </c:pt>
                <c:pt idx="2">
                  <c:v>MTU</c:v>
                </c:pt>
                <c:pt idx="3">
                  <c:v>DRD</c:v>
                </c:pt>
                <c:pt idx="4">
                  <c:v>BLS</c:v>
                </c:pt>
                <c:pt idx="5">
                  <c:v>LEM</c:v>
                </c:pt>
                <c:pt idx="6">
                  <c:v>SDL</c:v>
                </c:pt>
                <c:pt idx="7">
                  <c:v>RVD</c:v>
                </c:pt>
              </c:strCache>
            </c:strRef>
          </c:cat>
          <c:val>
            <c:numRef>
              <c:f>'11_Base_Graficos'!$C$5:$C$12</c:f>
              <c:numCache>
                <c:formatCode>0;;;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A4-430D-A519-A615E3D3BAD3}"/>
            </c:ext>
          </c:extLst>
        </c:ser>
        <c:ser>
          <c:idx val="2"/>
          <c:order val="2"/>
          <c:tx>
            <c:strRef>
              <c:f>'11_Base_Graficos'!$D$4</c:f>
              <c:strCache>
                <c:ptCount val="1"/>
                <c:pt idx="0">
                  <c:v>EM RISCO</c:v>
                </c:pt>
              </c:strCache>
            </c:strRef>
          </c:tx>
          <c:spPr>
            <a:solidFill>
              <a:srgbClr val="C98A4B"/>
            </a:solidFill>
            <a:ln w="0">
              <a:noFill/>
            </a:ln>
          </c:spPr>
          <c:invertIfNegative val="0"/>
          <c:dLbls>
            <c:numFmt formatCode="0;;;" sourceLinked="0"/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'11_Base_Graficos'!$A$5:$A$12</c:f>
              <c:strCache>
                <c:ptCount val="8"/>
                <c:pt idx="0">
                  <c:v>RND</c:v>
                </c:pt>
                <c:pt idx="1">
                  <c:v>SNP</c:v>
                </c:pt>
                <c:pt idx="2">
                  <c:v>MTU</c:v>
                </c:pt>
                <c:pt idx="3">
                  <c:v>DRD</c:v>
                </c:pt>
                <c:pt idx="4">
                  <c:v>BLS</c:v>
                </c:pt>
                <c:pt idx="5">
                  <c:v>LEM</c:v>
                </c:pt>
                <c:pt idx="6">
                  <c:v>SDL</c:v>
                </c:pt>
                <c:pt idx="7">
                  <c:v>RVD</c:v>
                </c:pt>
              </c:strCache>
            </c:strRef>
          </c:cat>
          <c:val>
            <c:numRef>
              <c:f>'11_Base_Graficos'!$D$5:$D$12</c:f>
              <c:numCache>
                <c:formatCode>0;;;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FA4-430D-A519-A615E3D3BAD3}"/>
            </c:ext>
          </c:extLst>
        </c:ser>
        <c:ser>
          <c:idx val="3"/>
          <c:order val="3"/>
          <c:tx>
            <c:strRef>
              <c:f>'11_Base_Graficos'!$E$4</c:f>
              <c:strCache>
                <c:ptCount val="1"/>
                <c:pt idx="0">
                  <c:v>ATRASADO</c:v>
                </c:pt>
              </c:strCache>
            </c:strRef>
          </c:tx>
          <c:spPr>
            <a:solidFill>
              <a:srgbClr val="B4544A"/>
            </a:solidFill>
            <a:ln w="0">
              <a:noFill/>
            </a:ln>
          </c:spPr>
          <c:invertIfNegative val="0"/>
          <c:dLbls>
            <c:numFmt formatCode="0;;;" sourceLinked="0"/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'11_Base_Graficos'!$A$5:$A$12</c:f>
              <c:strCache>
                <c:ptCount val="8"/>
                <c:pt idx="0">
                  <c:v>RND</c:v>
                </c:pt>
                <c:pt idx="1">
                  <c:v>SNP</c:v>
                </c:pt>
                <c:pt idx="2">
                  <c:v>MTU</c:v>
                </c:pt>
                <c:pt idx="3">
                  <c:v>DRD</c:v>
                </c:pt>
                <c:pt idx="4">
                  <c:v>BLS</c:v>
                </c:pt>
                <c:pt idx="5">
                  <c:v>LEM</c:v>
                </c:pt>
                <c:pt idx="6">
                  <c:v>SDL</c:v>
                </c:pt>
                <c:pt idx="7">
                  <c:v>RVD</c:v>
                </c:pt>
              </c:strCache>
            </c:strRef>
          </c:cat>
          <c:val>
            <c:numRef>
              <c:f>'11_Base_Graficos'!$E$5:$E$12</c:f>
              <c:numCache>
                <c:formatCode>0;;;</c:formatCode>
                <c:ptCount val="8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FA4-430D-A519-A615E3D3BAD3}"/>
            </c:ext>
          </c:extLst>
        </c:ser>
        <c:ser>
          <c:idx val="4"/>
          <c:order val="4"/>
          <c:tx>
            <c:strRef>
              <c:f>'11_Base_Graficos'!$F$4</c:f>
              <c:strCache>
                <c:ptCount val="1"/>
                <c:pt idx="0">
                  <c:v>BLOQUEADO</c:v>
                </c:pt>
              </c:strCache>
            </c:strRef>
          </c:tx>
          <c:spPr>
            <a:solidFill>
              <a:srgbClr val="8C4A47"/>
            </a:solidFill>
            <a:ln w="0">
              <a:noFill/>
            </a:ln>
          </c:spPr>
          <c:invertIfNegative val="0"/>
          <c:dLbls>
            <c:numFmt formatCode="0;;;" sourceLinked="0"/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'11_Base_Graficos'!$A$5:$A$12</c:f>
              <c:strCache>
                <c:ptCount val="8"/>
                <c:pt idx="0">
                  <c:v>RND</c:v>
                </c:pt>
                <c:pt idx="1">
                  <c:v>SNP</c:v>
                </c:pt>
                <c:pt idx="2">
                  <c:v>MTU</c:v>
                </c:pt>
                <c:pt idx="3">
                  <c:v>DRD</c:v>
                </c:pt>
                <c:pt idx="4">
                  <c:v>BLS</c:v>
                </c:pt>
                <c:pt idx="5">
                  <c:v>LEM</c:v>
                </c:pt>
                <c:pt idx="6">
                  <c:v>SDL</c:v>
                </c:pt>
                <c:pt idx="7">
                  <c:v>RVD</c:v>
                </c:pt>
              </c:strCache>
            </c:strRef>
          </c:cat>
          <c:val>
            <c:numRef>
              <c:f>'11_Base_Graficos'!$F$5:$F$12</c:f>
              <c:numCache>
                <c:formatCode>0;;;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FA4-430D-A519-A615E3D3BAD3}"/>
            </c:ext>
          </c:extLst>
        </c:ser>
        <c:ser>
          <c:idx val="5"/>
          <c:order val="5"/>
          <c:tx>
            <c:strRef>
              <c:f>'11_Base_Graficos'!$G$4</c:f>
              <c:strCache>
                <c:ptCount val="1"/>
                <c:pt idx="0">
                  <c:v>SEM DATA DE ETAPA</c:v>
                </c:pt>
              </c:strCache>
            </c:strRef>
          </c:tx>
          <c:spPr>
            <a:solidFill>
              <a:srgbClr val="8A94A0"/>
            </a:solidFill>
            <a:ln w="0">
              <a:noFill/>
            </a:ln>
          </c:spPr>
          <c:invertIfNegative val="0"/>
          <c:dLbls>
            <c:numFmt formatCode="0;;;" sourceLinked="0"/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'11_Base_Graficos'!$A$5:$A$12</c:f>
              <c:strCache>
                <c:ptCount val="8"/>
                <c:pt idx="0">
                  <c:v>RND</c:v>
                </c:pt>
                <c:pt idx="1">
                  <c:v>SNP</c:v>
                </c:pt>
                <c:pt idx="2">
                  <c:v>MTU</c:v>
                </c:pt>
                <c:pt idx="3">
                  <c:v>DRD</c:v>
                </c:pt>
                <c:pt idx="4">
                  <c:v>BLS</c:v>
                </c:pt>
                <c:pt idx="5">
                  <c:v>LEM</c:v>
                </c:pt>
                <c:pt idx="6">
                  <c:v>SDL</c:v>
                </c:pt>
                <c:pt idx="7">
                  <c:v>RVD</c:v>
                </c:pt>
              </c:strCache>
            </c:strRef>
          </c:cat>
          <c:val>
            <c:numRef>
              <c:f>'11_Base_Graficos'!$G$5:$G$12</c:f>
              <c:numCache>
                <c:formatCode>0;;;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FA4-430D-A519-A615E3D3BAD3}"/>
            </c:ext>
          </c:extLst>
        </c:ser>
        <c:ser>
          <c:idx val="6"/>
          <c:order val="6"/>
          <c:tx>
            <c:strRef>
              <c:f>'11_Base_Graficos'!$H$4</c:f>
              <c:strCache>
                <c:ptCount val="1"/>
                <c:pt idx="0">
                  <c:v>CONCLUÍDO</c:v>
                </c:pt>
              </c:strCache>
            </c:strRef>
          </c:tx>
          <c:spPr>
            <a:solidFill>
              <a:srgbClr val="9BB0C1"/>
            </a:solidFill>
            <a:ln w="0">
              <a:noFill/>
            </a:ln>
          </c:spPr>
          <c:invertIfNegative val="0"/>
          <c:dLbls>
            <c:numFmt formatCode="0;;;" sourceLinked="0"/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'11_Base_Graficos'!$A$5:$A$12</c:f>
              <c:strCache>
                <c:ptCount val="8"/>
                <c:pt idx="0">
                  <c:v>RND</c:v>
                </c:pt>
                <c:pt idx="1">
                  <c:v>SNP</c:v>
                </c:pt>
                <c:pt idx="2">
                  <c:v>MTU</c:v>
                </c:pt>
                <c:pt idx="3">
                  <c:v>DRD</c:v>
                </c:pt>
                <c:pt idx="4">
                  <c:v>BLS</c:v>
                </c:pt>
                <c:pt idx="5">
                  <c:v>LEM</c:v>
                </c:pt>
                <c:pt idx="6">
                  <c:v>SDL</c:v>
                </c:pt>
                <c:pt idx="7">
                  <c:v>RVD</c:v>
                </c:pt>
              </c:strCache>
            </c:strRef>
          </c:cat>
          <c:val>
            <c:numRef>
              <c:f>'11_Base_Graficos'!$H$5:$H$12</c:f>
              <c:numCache>
                <c:formatCode>0;;;</c:formatCode>
                <c:ptCount val="8"/>
                <c:pt idx="0">
                  <c:v>1</c:v>
                </c:pt>
                <c:pt idx="1">
                  <c:v>5</c:v>
                </c:pt>
                <c:pt idx="2">
                  <c:v>0</c:v>
                </c:pt>
                <c:pt idx="3">
                  <c:v>2</c:v>
                </c:pt>
                <c:pt idx="4">
                  <c:v>7</c:v>
                </c:pt>
                <c:pt idx="5">
                  <c:v>3</c:v>
                </c:pt>
                <c:pt idx="6">
                  <c:v>6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FA4-430D-A519-A615E3D3BA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100"/>
        <c:axId val="822895"/>
        <c:axId val="47144639"/>
      </c:barChart>
      <c:catAx>
        <c:axId val="8228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pt-BR"/>
          </a:p>
        </c:txPr>
        <c:crossAx val="47144639"/>
        <c:crosses val="autoZero"/>
        <c:auto val="1"/>
        <c:lblAlgn val="ctr"/>
        <c:lblOffset val="100"/>
        <c:noMultiLvlLbl val="0"/>
      </c:catAx>
      <c:valAx>
        <c:axId val="47144639"/>
        <c:scaling>
          <c:orientation val="minMax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numFmt formatCode="0;;;" sourceLinked="1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pt-BR"/>
          </a:p>
        </c:txPr>
        <c:crossAx val="822895"/>
        <c:crosses val="autoZero"/>
        <c:crossBetween val="between"/>
      </c:valAx>
      <c:spPr>
        <a:noFill/>
        <a:ln w="0">
          <a:noFill/>
        </a:ln>
      </c:spPr>
    </c:plotArea>
    <c:legend>
      <c:legendPos val="b"/>
      <c:overlay val="0"/>
      <c:spPr>
        <a:noFill/>
        <a:ln w="0">
          <a:noFill/>
        </a:ln>
      </c:spPr>
      <c:txPr>
        <a:bodyPr/>
        <a:lstStyle/>
        <a:p>
          <a:pPr>
            <a:defRPr sz="1000" b="0" strike="noStrike" spc="-1">
              <a:solidFill>
                <a:srgbClr val="000000"/>
              </a:solidFill>
              <a:latin typeface="Calibri"/>
            </a:defRPr>
          </a:pPr>
          <a:endParaRPr lang="pt-BR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c:style val="2"/>
  <c:chart>
    <c:title>
      <c:tx>
        <c: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Calibri"/>
              </a:defRPr>
            </a:pPr>
            <a:r>
              <a:rPr lang="pt-BR" sz="1800" b="1" strike="noStrike" spc="-1">
                <a:solidFill>
                  <a:srgbClr val="000000"/>
                </a:solidFill>
                <a:latin typeface="Calibri"/>
              </a:rPr>
              <a:t>Projetos por etapa atual — em andamento x concluídos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'11_Base_Graficos'!$K$4</c:f>
              <c:strCache>
                <c:ptCount val="1"/>
                <c:pt idx="0">
                  <c:v>ATIVOS</c:v>
                </c:pt>
              </c:strCache>
            </c:strRef>
          </c:tx>
          <c:spPr>
            <a:solidFill>
              <a:srgbClr val="3A7CA5"/>
            </a:solidFill>
            <a:ln w="0">
              <a:noFill/>
            </a:ln>
          </c:spPr>
          <c:invertIfNegative val="0"/>
          <c:dLbls>
            <c:numFmt formatCode="0;;;" sourceLinked="0"/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'11_Base_Graficos'!$J$5:$J$15</c:f>
              <c:strCache>
                <c:ptCount val="11"/>
                <c:pt idx="0">
                  <c:v>ELABORAÇÃO DO PROJETO</c:v>
                </c:pt>
                <c:pt idx="1">
                  <c:v>ABERTURA DA SOLICITAÇÃO DE COMPRA</c:v>
                </c:pt>
                <c:pt idx="2">
                  <c:v>FLUXO DE SUPRIMENTOS</c:v>
                </c:pt>
                <c:pt idx="3">
                  <c:v>ENTREGA DO MATERIAL</c:v>
                </c:pt>
                <c:pt idx="4">
                  <c:v>LIBERAÇÃO DO MATERIAL</c:v>
                </c:pt>
                <c:pt idx="5">
                  <c:v>INFRAESTRUTURA DE TI</c:v>
                </c:pt>
                <c:pt idx="6">
                  <c:v>ALIMENTAÇÃO ELÉTRICA</c:v>
                </c:pt>
                <c:pt idx="7">
                  <c:v>INSTALAÇÃO</c:v>
                </c:pt>
                <c:pt idx="8">
                  <c:v>DISPONIBILIZAÇÃO DE IP</c:v>
                </c:pt>
                <c:pt idx="9">
                  <c:v>INCLUSÃO NO VMS</c:v>
                </c:pt>
                <c:pt idx="10">
                  <c:v>VALIDAÇÃO E ENCERRAMENTO</c:v>
                </c:pt>
              </c:strCache>
            </c:strRef>
          </c:cat>
          <c:val>
            <c:numRef>
              <c:f>'11_Base_Graficos'!$K$5:$K$15</c:f>
              <c:numCache>
                <c:formatCode>0;;;</c:formatCode>
                <c:ptCount val="11"/>
                <c:pt idx="0">
                  <c:v>5</c:v>
                </c:pt>
                <c:pt idx="1">
                  <c:v>3</c:v>
                </c:pt>
                <c:pt idx="2">
                  <c:v>31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C4-4F90-BC4F-FA26FD35EEA7}"/>
            </c:ext>
          </c:extLst>
        </c:ser>
        <c:ser>
          <c:idx val="1"/>
          <c:order val="1"/>
          <c:tx>
            <c:strRef>
              <c:f>'11_Base_Graficos'!$L$4</c:f>
              <c:strCache>
                <c:ptCount val="1"/>
                <c:pt idx="0">
                  <c:v>CONCLUÍDOS</c:v>
                </c:pt>
              </c:strCache>
            </c:strRef>
          </c:tx>
          <c:spPr>
            <a:solidFill>
              <a:srgbClr val="4C956C"/>
            </a:solidFill>
            <a:ln w="0">
              <a:noFill/>
            </a:ln>
          </c:spPr>
          <c:invertIfNegative val="0"/>
          <c:dLbls>
            <c:numFmt formatCode="0;;;" sourceLinked="0"/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'11_Base_Graficos'!$J$5:$J$15</c:f>
              <c:strCache>
                <c:ptCount val="11"/>
                <c:pt idx="0">
                  <c:v>ELABORAÇÃO DO PROJETO</c:v>
                </c:pt>
                <c:pt idx="1">
                  <c:v>ABERTURA DA SOLICITAÇÃO DE COMPRA</c:v>
                </c:pt>
                <c:pt idx="2">
                  <c:v>FLUXO DE SUPRIMENTOS</c:v>
                </c:pt>
                <c:pt idx="3">
                  <c:v>ENTREGA DO MATERIAL</c:v>
                </c:pt>
                <c:pt idx="4">
                  <c:v>LIBERAÇÃO DO MATERIAL</c:v>
                </c:pt>
                <c:pt idx="5">
                  <c:v>INFRAESTRUTURA DE TI</c:v>
                </c:pt>
                <c:pt idx="6">
                  <c:v>ALIMENTAÇÃO ELÉTRICA</c:v>
                </c:pt>
                <c:pt idx="7">
                  <c:v>INSTALAÇÃO</c:v>
                </c:pt>
                <c:pt idx="8">
                  <c:v>DISPONIBILIZAÇÃO DE IP</c:v>
                </c:pt>
                <c:pt idx="9">
                  <c:v>INCLUSÃO NO VMS</c:v>
                </c:pt>
                <c:pt idx="10">
                  <c:v>VALIDAÇÃO E ENCERRAMENTO</c:v>
                </c:pt>
              </c:strCache>
            </c:strRef>
          </c:cat>
          <c:val>
            <c:numRef>
              <c:f>'11_Base_Graficos'!$L$5:$L$15</c:f>
              <c:numCache>
                <c:formatCode>0;;;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C4-4F90-BC4F-FA26FD35EE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overlap val="100"/>
        <c:axId val="71576427"/>
        <c:axId val="62672955"/>
      </c:barChart>
      <c:catAx>
        <c:axId val="7157642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pt-BR"/>
          </a:p>
        </c:txPr>
        <c:crossAx val="62672955"/>
        <c:crosses val="autoZero"/>
        <c:auto val="1"/>
        <c:lblAlgn val="ctr"/>
        <c:lblOffset val="100"/>
        <c:noMultiLvlLbl val="0"/>
      </c:catAx>
      <c:valAx>
        <c:axId val="62672955"/>
        <c:scaling>
          <c:orientation val="minMax"/>
        </c:scaling>
        <c:delete val="0"/>
        <c:axPos val="b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numFmt formatCode="0;;;" sourceLinked="1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pt-BR"/>
          </a:p>
        </c:txPr>
        <c:crossAx val="71576427"/>
        <c:crosses val="autoZero"/>
        <c:crossBetween val="between"/>
      </c:valAx>
      <c:spPr>
        <a:noFill/>
        <a:ln w="0">
          <a:noFill/>
        </a:ln>
      </c:spPr>
    </c:plotArea>
    <c:legend>
      <c:legendPos val="b"/>
      <c:overlay val="0"/>
      <c:spPr>
        <a:noFill/>
        <a:ln w="0">
          <a:noFill/>
        </a:ln>
      </c:spPr>
      <c:txPr>
        <a:bodyPr/>
        <a:lstStyle/>
        <a:p>
          <a:pPr>
            <a:defRPr sz="1000" b="0" strike="noStrike" spc="-1">
              <a:solidFill>
                <a:srgbClr val="000000"/>
              </a:solidFill>
              <a:latin typeface="Calibri"/>
            </a:defRPr>
          </a:pPr>
          <a:endParaRPr lang="pt-BR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c:style val="2"/>
  <c:chart>
    <c:title>
      <c:tx>
        <c: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Calibri"/>
              </a:defRPr>
            </a:pPr>
            <a:r>
              <a:rPr lang="pt-BR" sz="1800" b="1" strike="noStrike" spc="-1">
                <a:solidFill>
                  <a:srgbClr val="000000"/>
                </a:solidFill>
                <a:latin typeface="Calibri"/>
              </a:rPr>
              <a:t>Funil físico do material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'11_Base_Graficos'!$S$4</c:f>
              <c:strCache>
                <c:ptCount val="1"/>
                <c:pt idx="0">
                  <c:v>QUANTIDADE</c:v>
                </c:pt>
              </c:strCache>
            </c:strRef>
          </c:tx>
          <c:spPr>
            <a:solidFill>
              <a:srgbClr val="3A7CA5"/>
            </a:solidFill>
            <a:ln w="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'11_Base_Graficos'!$R$5:$R$12</c:f>
              <c:strCache>
                <c:ptCount val="8"/>
                <c:pt idx="0">
                  <c:v>PREVISTO</c:v>
                </c:pt>
                <c:pt idx="1">
                  <c:v>SOLICITADO</c:v>
                </c:pt>
                <c:pt idx="2">
                  <c:v>COMPRADO</c:v>
                </c:pt>
                <c:pt idx="3">
                  <c:v>RECEBIDO</c:v>
                </c:pt>
                <c:pt idx="4">
                  <c:v>LIBERADO</c:v>
                </c:pt>
                <c:pt idx="5">
                  <c:v>INSTALADO</c:v>
                </c:pt>
                <c:pt idx="6">
                  <c:v>IP DISPONIBILIZADO</c:v>
                </c:pt>
                <c:pt idx="7">
                  <c:v>NO VMS</c:v>
                </c:pt>
              </c:strCache>
            </c:strRef>
          </c:cat>
          <c:val>
            <c:numRef>
              <c:f>'11_Base_Graficos'!$S$5:$S$12</c:f>
              <c:numCache>
                <c:formatCode>0</c:formatCode>
                <c:ptCount val="8"/>
                <c:pt idx="0">
                  <c:v>2980</c:v>
                </c:pt>
                <c:pt idx="1">
                  <c:v>2980</c:v>
                </c:pt>
                <c:pt idx="2">
                  <c:v>2384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FC-4AE3-A831-C6BC02EAFC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97444539"/>
        <c:axId val="63796304"/>
      </c:barChart>
      <c:catAx>
        <c:axId val="974445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pt-BR"/>
          </a:p>
        </c:txPr>
        <c:crossAx val="63796304"/>
        <c:crosses val="autoZero"/>
        <c:auto val="1"/>
        <c:lblAlgn val="ctr"/>
        <c:lblOffset val="100"/>
        <c:noMultiLvlLbl val="0"/>
      </c:catAx>
      <c:valAx>
        <c:axId val="63796304"/>
        <c:scaling>
          <c:orientation val="minMax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numFmt formatCode="0" sourceLinked="1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pt-BR"/>
          </a:p>
        </c:txPr>
        <c:crossAx val="97444539"/>
        <c:crosses val="autoZero"/>
        <c:crossBetween val="between"/>
      </c:valAx>
      <c:spPr>
        <a:noFill/>
        <a:ln w="0">
          <a:noFill/>
        </a:ln>
      </c:spPr>
    </c:plotArea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c:style val="2"/>
  <c:chart>
    <c:title>
      <c:tx>
        <c: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Calibri"/>
              </a:defRPr>
            </a:pPr>
            <a:r>
              <a:rPr lang="pt-BR" sz="1800" b="1" strike="noStrike" spc="-1">
                <a:solidFill>
                  <a:srgbClr val="000000"/>
                </a:solidFill>
                <a:latin typeface="Calibri"/>
              </a:rPr>
              <a:t>SLA x realizado por etapa (dias)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'11_Base_Graficos'!$O$4</c:f>
              <c:strCache>
                <c:ptCount val="1"/>
                <c:pt idx="0">
                  <c:v>SLA (DIAS)</c:v>
                </c:pt>
              </c:strCache>
            </c:strRef>
          </c:tx>
          <c:spPr>
            <a:solidFill>
              <a:srgbClr val="C5CCD4"/>
            </a:solidFill>
            <a:ln w="0">
              <a:noFill/>
            </a:ln>
          </c:spPr>
          <c:invertIfNegative val="0"/>
          <c:dLbls>
            <c:numFmt formatCode="0.#;;;" sourceLinked="0"/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'11_Base_Graficos'!$N$5:$N$15</c:f>
              <c:strCache>
                <c:ptCount val="11"/>
                <c:pt idx="0">
                  <c:v>ELABORAÇÃO DO PROJETO</c:v>
                </c:pt>
                <c:pt idx="1">
                  <c:v>ABERTURA DA SOLICITAÇÃO DE COMPRA</c:v>
                </c:pt>
                <c:pt idx="2">
                  <c:v>FLUXO DE SUPRIMENTOS</c:v>
                </c:pt>
                <c:pt idx="3">
                  <c:v>ENTREGA DO MATERIAL</c:v>
                </c:pt>
                <c:pt idx="4">
                  <c:v>LIBERAÇÃO DO MATERIAL</c:v>
                </c:pt>
                <c:pt idx="5">
                  <c:v>INFRAESTRUTURA DE TI</c:v>
                </c:pt>
                <c:pt idx="6">
                  <c:v>ALIMENTAÇÃO ELÉTRICA</c:v>
                </c:pt>
                <c:pt idx="7">
                  <c:v>INSTALAÇÃO</c:v>
                </c:pt>
                <c:pt idx="8">
                  <c:v>DISPONIBILIZAÇÃO DE IP</c:v>
                </c:pt>
                <c:pt idx="9">
                  <c:v>INCLUSÃO NO VMS</c:v>
                </c:pt>
                <c:pt idx="10">
                  <c:v>VALIDAÇÃO E ENCERRAMENTO</c:v>
                </c:pt>
              </c:strCache>
            </c:strRef>
          </c:cat>
          <c:val>
            <c:numRef>
              <c:f>'11_Base_Graficos'!$O$5:$O$15</c:f>
              <c:numCache>
                <c:formatCode>0;;;</c:formatCode>
                <c:ptCount val="11"/>
                <c:pt idx="0">
                  <c:v>7</c:v>
                </c:pt>
                <c:pt idx="1">
                  <c:v>3</c:v>
                </c:pt>
                <c:pt idx="2">
                  <c:v>10</c:v>
                </c:pt>
                <c:pt idx="3">
                  <c:v>35</c:v>
                </c:pt>
                <c:pt idx="4">
                  <c:v>3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5</c:v>
                </c:pt>
                <c:pt idx="9">
                  <c:v>3</c:v>
                </c:pt>
                <c:pt idx="1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73-48E4-BED8-F68C2DC2E7F0}"/>
            </c:ext>
          </c:extLst>
        </c:ser>
        <c:ser>
          <c:idx val="1"/>
          <c:order val="1"/>
          <c:tx>
            <c:strRef>
              <c:f>'11_Base_Graficos'!$P$4</c:f>
              <c:strCache>
                <c:ptCount val="1"/>
                <c:pt idx="0">
                  <c:v>MÉDIA REALIZADA</c:v>
                </c:pt>
              </c:strCache>
            </c:strRef>
          </c:tx>
          <c:spPr>
            <a:solidFill>
              <a:srgbClr val="3A7CA5"/>
            </a:solidFill>
            <a:ln w="0">
              <a:noFill/>
            </a:ln>
          </c:spPr>
          <c:invertIfNegative val="0"/>
          <c:dLbls>
            <c:numFmt formatCode="0.#;;;" sourceLinked="0"/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'11_Base_Graficos'!$N$5:$N$15</c:f>
              <c:strCache>
                <c:ptCount val="11"/>
                <c:pt idx="0">
                  <c:v>ELABORAÇÃO DO PROJETO</c:v>
                </c:pt>
                <c:pt idx="1">
                  <c:v>ABERTURA DA SOLICITAÇÃO DE COMPRA</c:v>
                </c:pt>
                <c:pt idx="2">
                  <c:v>FLUXO DE SUPRIMENTOS</c:v>
                </c:pt>
                <c:pt idx="3">
                  <c:v>ENTREGA DO MATERIAL</c:v>
                </c:pt>
                <c:pt idx="4">
                  <c:v>LIBERAÇÃO DO MATERIAL</c:v>
                </c:pt>
                <c:pt idx="5">
                  <c:v>INFRAESTRUTURA DE TI</c:v>
                </c:pt>
                <c:pt idx="6">
                  <c:v>ALIMENTAÇÃO ELÉTRICA</c:v>
                </c:pt>
                <c:pt idx="7">
                  <c:v>INSTALAÇÃO</c:v>
                </c:pt>
                <c:pt idx="8">
                  <c:v>DISPONIBILIZAÇÃO DE IP</c:v>
                </c:pt>
                <c:pt idx="9">
                  <c:v>INCLUSÃO NO VMS</c:v>
                </c:pt>
                <c:pt idx="10">
                  <c:v>VALIDAÇÃO E ENCERRAMENTO</c:v>
                </c:pt>
              </c:strCache>
            </c:strRef>
          </c:cat>
          <c:val>
            <c:numRef>
              <c:f>'11_Base_Graficos'!$P$5:$P$15</c:f>
              <c:numCache>
                <c:formatCode>0.0;;;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91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73-48E4-BED8-F68C2DC2E7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-20"/>
        <c:axId val="47798114"/>
        <c:axId val="16391320"/>
      </c:barChart>
      <c:catAx>
        <c:axId val="4779811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pt-BR"/>
          </a:p>
        </c:txPr>
        <c:crossAx val="16391320"/>
        <c:crosses val="autoZero"/>
        <c:auto val="1"/>
        <c:lblAlgn val="ctr"/>
        <c:lblOffset val="100"/>
        <c:noMultiLvlLbl val="0"/>
      </c:catAx>
      <c:valAx>
        <c:axId val="16391320"/>
        <c:scaling>
          <c:orientation val="minMax"/>
        </c:scaling>
        <c:delete val="0"/>
        <c:axPos val="b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numFmt formatCode="0;;;" sourceLinked="1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pt-BR"/>
          </a:p>
        </c:txPr>
        <c:crossAx val="47798114"/>
        <c:crosses val="autoZero"/>
        <c:crossBetween val="between"/>
      </c:valAx>
      <c:spPr>
        <a:noFill/>
        <a:ln w="0">
          <a:noFill/>
        </a:ln>
      </c:spPr>
    </c:plotArea>
    <c:legend>
      <c:legendPos val="b"/>
      <c:overlay val="0"/>
      <c:spPr>
        <a:noFill/>
        <a:ln w="0">
          <a:noFill/>
        </a:ln>
      </c:spPr>
      <c:txPr>
        <a:bodyPr/>
        <a:lstStyle/>
        <a:p>
          <a:pPr>
            <a:defRPr sz="1000" b="0" strike="noStrike" spc="-1">
              <a:solidFill>
                <a:srgbClr val="000000"/>
              </a:solidFill>
              <a:latin typeface="Calibri"/>
            </a:defRPr>
          </a:pPr>
          <a:endParaRPr lang="pt-BR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17</xdr:row>
      <xdr:rowOff>0</xdr:rowOff>
    </xdr:from>
    <xdr:to>
      <xdr:col>7</xdr:col>
      <xdr:colOff>802080</xdr:colOff>
      <xdr:row>35</xdr:row>
      <xdr:rowOff>1786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0</xdr:colOff>
      <xdr:row>17</xdr:row>
      <xdr:rowOff>0</xdr:rowOff>
    </xdr:from>
    <xdr:to>
      <xdr:col>15</xdr:col>
      <xdr:colOff>801720</xdr:colOff>
      <xdr:row>38</xdr:row>
      <xdr:rowOff>138960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0</xdr:colOff>
      <xdr:row>41</xdr:row>
      <xdr:rowOff>0</xdr:rowOff>
    </xdr:from>
    <xdr:to>
      <xdr:col>7</xdr:col>
      <xdr:colOff>802080</xdr:colOff>
      <xdr:row>59</xdr:row>
      <xdr:rowOff>1786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0</xdr:colOff>
      <xdr:row>41</xdr:row>
      <xdr:rowOff>0</xdr:rowOff>
    </xdr:from>
    <xdr:to>
      <xdr:col>15</xdr:col>
      <xdr:colOff>801720</xdr:colOff>
      <xdr:row>62</xdr:row>
      <xdr:rowOff>138960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0000000}" name="ProjetosTable" displayName="ProjetosTable" ref="A4:AF152" totalsRowShown="0">
  <autoFilter ref="A4:AF152" xr:uid="{00000000-0009-0000-0100-000007000000}"/>
  <tableColumns count="32">
    <tableColumn id="1" xr3:uid="{00000000-0010-0000-0000-000001000000}" name="Nº DO CHAMADO"/>
    <tableColumn id="2" xr3:uid="{00000000-0010-0000-0000-000002000000}" name="NOME DO PROJETO"/>
    <tableColumn id="3" xr3:uid="{00000000-0010-0000-0000-000003000000}" name="UNIDADE"/>
    <tableColumn id="4" xr3:uid="{00000000-0010-0000-0000-000004000000}" name="ÁREA DEMANDANTE"/>
    <tableColumn id="5" xr3:uid="{00000000-0010-0000-0000-000005000000}" name="CÓD. OBJETO DE CUSTO"/>
    <tableColumn id="6" xr3:uid="{00000000-0010-0000-0000-000006000000}" name="DESCRIÇÃO OBJETO DE CUSTO"/>
    <tableColumn id="7" xr3:uid="{00000000-0010-0000-0000-000007000000}" name="RESP. DEMANDANTE"/>
    <tableColumn id="8" xr3:uid="{00000000-0010-0000-0000-000008000000}" name="DATA DE ABERTURA"/>
    <tableColumn id="9" xr3:uid="{00000000-0010-0000-0000-000009000000}" name="ETAPA ATUAL"/>
    <tableColumn id="10" xr3:uid="{00000000-0010-0000-0000-00000A000000}" name="RESPONSÁVEL ATUAL"/>
    <tableColumn id="11" xr3:uid="{00000000-0010-0000-0000-00000B000000}" name="DATA INÍCIO DA ETAPA"/>
    <tableColumn id="12" xr3:uid="{00000000-0010-0000-0000-00000C000000}" name="STATUS INFORMADO"/>
    <tableColumn id="13" xr3:uid="{00000000-0010-0000-0000-00000D000000}" name="BLOQUEADO?"/>
    <tableColumn id="14" xr3:uid="{00000000-0010-0000-0000-00000E000000}" name="DIFICULDADES ENCONTRADAS"/>
    <tableColumn id="15" xr3:uid="{00000000-0010-0000-0000-00000F000000}" name="PRÓXIMA AÇÃO"/>
    <tableColumn id="16" xr3:uid="{00000000-0010-0000-0000-000010000000}" name="SLA DA ETAPA"/>
    <tableColumn id="17" xr3:uid="{00000000-0010-0000-0000-000011000000}" name="DIAS NA ETAPA"/>
    <tableColumn id="18" xr3:uid="{00000000-0010-0000-0000-000012000000}" name="CONSUMO DO SLA"/>
    <tableColumn id="19" xr3:uid="{00000000-0010-0000-0000-000013000000}" name="DIAS TOTAIS"/>
    <tableColumn id="20" xr3:uid="{00000000-0010-0000-0000-000014000000}" name="DIAS DE ATRASO"/>
    <tableColumn id="21" xr3:uid="{00000000-0010-0000-0000-000015000000}" name="SITUAÇÃO"/>
    <tableColumn id="22" xr3:uid="{00000000-0010-0000-0000-000016000000}" name="MOTIVO PRINCIPAL"/>
    <tableColumn id="23" xr3:uid="{00000000-0010-0000-0000-000017000000}" name="CÂMERAS PREVISTAS"/>
    <tableColumn id="24" xr3:uid="{00000000-0010-0000-0000-000018000000}" name="CÂMERAS RECEBIDAS"/>
    <tableColumn id="25" xr3:uid="{00000000-0010-0000-0000-000019000000}" name="CÂMERAS INSTALADAS"/>
    <tableColumn id="26" xr3:uid="{00000000-0010-0000-0000-00001A000000}" name="LICENÇAS NECESSÁRIAS"/>
    <tableColumn id="27" xr3:uid="{00000000-0010-0000-0000-00001B000000}" name="LICENÇAS RECEBIDAS"/>
    <tableColumn id="28" xr3:uid="{00000000-0010-0000-0000-00001C000000}" name="ITENS COM DESVIO"/>
    <tableColumn id="29" xr3:uid="{00000000-0010-0000-0000-00001D000000}" name="DIVERGÊNCIA DE INSTALAÇÃO"/>
    <tableColumn id="30" xr3:uid="{00000000-0010-0000-0000-00001E000000}" name="ORDEM NO PAINEL"/>
    <tableColumn id="31" xr3:uid="{00000000-0010-0000-0000-00001F000000}" name="PROJETO (RÓTULO DO FILTRO)"/>
    <tableColumn id="32" xr3:uid="{00000000-0010-0000-0000-000020000000}" name="ORDEM DA ETAPA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CadastroItensTable" displayName="CadastroItensTable" ref="A4:X154" totalsRowShown="0">
  <autoFilter ref="A4:X154" xr:uid="{00000000-0009-0000-0100-000001000000}"/>
  <tableColumns count="24">
    <tableColumn id="1" xr3:uid="{00000000-0010-0000-0100-000001000000}" name="ID DO ITEM"/>
    <tableColumn id="2" xr3:uid="{00000000-0010-0000-0100-000002000000}" name="Nº DO CHAMADO"/>
    <tableColumn id="3" xr3:uid="{00000000-0010-0000-0100-000003000000}" name="CÓDIGO DO PRODUTO"/>
    <tableColumn id="4" xr3:uid="{00000000-0010-0000-0100-000004000000}" name="DESCRIÇÃO DO PRODUTO"/>
    <tableColumn id="5" xr3:uid="{00000000-0010-0000-0100-000005000000}" name="TIPO DE ITEM"/>
    <tableColumn id="6" xr3:uid="{00000000-0010-0000-0100-000006000000}" name="QTD. PREVISTA"/>
    <tableColumn id="7" xr3:uid="{00000000-0010-0000-0100-000007000000}" name="Nº REQUISIÇÃO"/>
    <tableColumn id="8" xr3:uid="{00000000-0010-0000-0100-000008000000}" name="Nº SC"/>
    <tableColumn id="9" xr3:uid="{00000000-0010-0000-0100-000009000000}" name="QTD. REQUISITADA"/>
    <tableColumn id="10" xr3:uid="{00000000-0010-0000-0100-00000A000000}" name="DATA DA REQUISIÇÃO"/>
    <tableColumn id="11" xr3:uid="{00000000-0010-0000-0100-00000B000000}" name="ENVIO AO SUPRIMENTOS"/>
    <tableColumn id="12" xr3:uid="{00000000-0010-0000-0100-00000C000000}" name="COMPRADOR"/>
    <tableColumn id="13" xr3:uid="{00000000-0010-0000-0100-00000D000000}" name="Nº OC"/>
    <tableColumn id="14" xr3:uid="{00000000-0010-0000-0100-00000E000000}" name="FORNECEDOR"/>
    <tableColumn id="15" xr3:uid="{00000000-0010-0000-0100-00000F000000}" name="DATA DA OC"/>
    <tableColumn id="16" xr3:uid="{00000000-0010-0000-0100-000010000000}" name="PREVISÃO DE ENTREGA"/>
    <tableColumn id="17" xr3:uid="{00000000-0010-0000-0100-000011000000}" name="QTD. COMPRADA"/>
    <tableColumn id="18" xr3:uid="{00000000-0010-0000-0100-000012000000}" name="QTD. LIBERADA"/>
    <tableColumn id="19" xr3:uid="{00000000-0010-0000-0100-000013000000}" name="QTD. INSTALADA"/>
    <tableColumn id="20" xr3:uid="{00000000-0010-0000-0100-000014000000}" name="IPS DISPONIBILIZADOS"/>
    <tableColumn id="21" xr3:uid="{00000000-0010-0000-0100-000015000000}" name="QTD. INCLUÍDA NO VMS"/>
    <tableColumn id="22" xr3:uid="{00000000-0010-0000-0100-000016000000}" name="QTD. RECEBIDA"/>
    <tableColumn id="23" xr3:uid="{00000000-0010-0000-0100-000017000000}" name="SITUAÇÃO DO ITEM"/>
    <tableColumn id="24" xr3:uid="{00000000-0010-0000-0100-000018000000}" name="ITEM PARA LANÇAR ENTREGA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EscopoItensTable" displayName="EscopoItensTable" ref="A4:Y154" totalsRowShown="0">
  <autoFilter ref="A4:Y154" xr:uid="{00000000-0009-0000-0100-000004000000}"/>
  <tableColumns count="25">
    <tableColumn id="1" xr3:uid="{00000000-0010-0000-0200-000001000000}" name="Nº DO CHAMADO"/>
    <tableColumn id="2" xr3:uid="{00000000-0010-0000-0200-000002000000}" name="CÓDIGO DO PRODUTO"/>
    <tableColumn id="3" xr3:uid="{00000000-0010-0000-0200-000003000000}" name="DESCRIÇÃO"/>
    <tableColumn id="4" xr3:uid="{00000000-0010-0000-0200-000004000000}" name="TIPO DE ITEM"/>
    <tableColumn id="5" xr3:uid="{00000000-0010-0000-0200-000005000000}" name="QTD. PREVISTA"/>
    <tableColumn id="6" xr3:uid="{00000000-0010-0000-0200-000006000000}" name="QTD. SOLICITADA"/>
    <tableColumn id="7" xr3:uid="{00000000-0010-0000-0200-000007000000}" name="QTD. COMPRADA"/>
    <tableColumn id="8" xr3:uid="{00000000-0010-0000-0200-000008000000}" name="QTD. RECEBIDA"/>
    <tableColumn id="9" xr3:uid="{00000000-0010-0000-0200-000009000000}" name="QTD. LIBERADA"/>
    <tableColumn id="10" xr3:uid="{00000000-0010-0000-0200-00000A000000}" name="QTD. INSTALADA"/>
    <tableColumn id="11" xr3:uid="{00000000-0010-0000-0200-00000B000000}" name="IPS DISPONIBILIZADOS"/>
    <tableColumn id="12" xr3:uid="{00000000-0010-0000-0200-00000C000000}" name="QTD. INCLUÍDA NO VMS"/>
    <tableColumn id="13" xr3:uid="{00000000-0010-0000-0200-00000D000000}" name="PREV. x SOLIC."/>
    <tableColumn id="14" xr3:uid="{00000000-0010-0000-0200-00000E000000}" name="SOLIC. x COMP."/>
    <tableColumn id="15" xr3:uid="{00000000-0010-0000-0200-00000F000000}" name="COMP. x RECEB."/>
    <tableColumn id="16" xr3:uid="{00000000-0010-0000-0200-000010000000}" name="RECEB. x LIB."/>
    <tableColumn id="17" xr3:uid="{00000000-0010-0000-0200-000011000000}" name="LIB. x INST."/>
    <tableColumn id="18" xr3:uid="{00000000-0010-0000-0200-000012000000}" name="INST. x IP"/>
    <tableColumn id="19" xr3:uid="{00000000-0010-0000-0200-000013000000}" name="IP x VMS"/>
    <tableColumn id="20" xr3:uid="{00000000-0010-0000-0200-000014000000}" name="STATUS QUANTITATIVO"/>
    <tableColumn id="21" xr3:uid="{00000000-0010-0000-0200-000015000000}" name="SALDO ATÉ O VMS"/>
    <tableColumn id="22" xr3:uid="{00000000-0010-0000-0200-000016000000}" name="UNIDADE"/>
    <tableColumn id="23" xr3:uid="{00000000-0010-0000-0200-000017000000}" name="PROJETO (RÓTULO DO FILTRO)"/>
    <tableColumn id="24" xr3:uid="{00000000-0010-0000-0200-000018000000}" name="ORDEM DA ETAPA"/>
    <tableColumn id="25" xr3:uid="{00000000-0010-0000-0200-000019000000}" name="TEM DESVIO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ComprasSCTable" displayName="ComprasSCTable" ref="A4:O154" totalsRowShown="0">
  <autoFilter ref="A4:O154" xr:uid="{00000000-0009-0000-0100-000002000000}"/>
  <tableColumns count="15">
    <tableColumn id="1" xr3:uid="{00000000-0010-0000-0300-000001000000}" name="Nº REQUISIÇÃO"/>
    <tableColumn id="2" xr3:uid="{00000000-0010-0000-0300-000002000000}" name="Nº SC"/>
    <tableColumn id="3" xr3:uid="{00000000-0010-0000-0300-000003000000}" name="Nº DO CHAMADO"/>
    <tableColumn id="4" xr3:uid="{00000000-0010-0000-0300-000004000000}" name="CÓDIGO DO PRODUTO"/>
    <tableColumn id="5" xr3:uid="{00000000-0010-0000-0300-000005000000}" name="DESCRIÇÃO"/>
    <tableColumn id="6" xr3:uid="{00000000-0010-0000-0300-000006000000}" name="QTD. REQUISITADA"/>
    <tableColumn id="7" xr3:uid="{00000000-0010-0000-0300-000007000000}" name="DATA DA REQUISIÇÃO"/>
    <tableColumn id="8" xr3:uid="{00000000-0010-0000-0300-000008000000}" name="ENVIO AO SUPRIMENTOS"/>
    <tableColumn id="9" xr3:uid="{00000000-0010-0000-0300-000009000000}" name="COMPRADOR"/>
    <tableColumn id="10" xr3:uid="{00000000-0010-0000-0300-00000A000000}" name="QTD. COMPRADA (OC)"/>
    <tableColumn id="11" xr3:uid="{00000000-0010-0000-0300-00000B000000}" name="SALDO SEM OC"/>
    <tableColumn id="12" xr3:uid="{00000000-0010-0000-0300-00000C000000}" name="DATA DA ÚLTIMA OC"/>
    <tableColumn id="13" xr3:uid="{00000000-0010-0000-0300-00000D000000}" name="DIAS EM SUPRIMENTOS"/>
    <tableColumn id="14" xr3:uid="{00000000-0010-0000-0300-00000E000000}" name="SLA COMPRAS"/>
    <tableColumn id="15" xr3:uid="{00000000-0010-0000-0300-00000F000000}" name="SITUAÇÃO DA COMPRA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4000000}" name="OCFornecedorTable" displayName="OCFornecedorTable" ref="A4:O154" totalsRowShown="0">
  <autoFilter ref="A4:O154" xr:uid="{00000000-0009-0000-0100-000006000000}"/>
  <tableColumns count="15">
    <tableColumn id="1" xr3:uid="{00000000-0010-0000-0400-000001000000}" name="Nº OC"/>
    <tableColumn id="2" xr3:uid="{00000000-0010-0000-0400-000002000000}" name="Nº SC"/>
    <tableColumn id="3" xr3:uid="{00000000-0010-0000-0400-000003000000}" name="Nº DO CHAMADO"/>
    <tableColumn id="4" xr3:uid="{00000000-0010-0000-0400-000004000000}" name="CÓDIGO DO PRODUTO"/>
    <tableColumn id="5" xr3:uid="{00000000-0010-0000-0400-000005000000}" name="DESCRIÇÃO"/>
    <tableColumn id="6" xr3:uid="{00000000-0010-0000-0400-000006000000}" name="FORNECEDOR"/>
    <tableColumn id="7" xr3:uid="{00000000-0010-0000-0400-000007000000}" name="DATA DA OC"/>
    <tableColumn id="8" xr3:uid="{00000000-0010-0000-0400-000008000000}" name="PREVISÃO DE ENTREGA"/>
    <tableColumn id="9" xr3:uid="{00000000-0010-0000-0400-000009000000}" name="QTD. COMPRADA"/>
    <tableColumn id="10" xr3:uid="{00000000-0010-0000-0400-00000A000000}" name="QTD. RECEBIDA"/>
    <tableColumn id="11" xr3:uid="{00000000-0010-0000-0400-00000B000000}" name="SALDO PENDENTE"/>
    <tableColumn id="12" xr3:uid="{00000000-0010-0000-0400-00000C000000}" name="ÚLTIMO RECEBIMENTO"/>
    <tableColumn id="13" xr3:uid="{00000000-0010-0000-0400-00000D000000}" name="DIAS DO FORNECEDOR"/>
    <tableColumn id="14" xr3:uid="{00000000-0010-0000-0400-00000E000000}" name="SLA FORNECEDOR"/>
    <tableColumn id="15" xr3:uid="{00000000-0010-0000-0400-00000F000000}" name="SITUAÇÃO DA ENTREGA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5000000}" name="EntregasTable" displayName="EntregasTable" ref="A4:P154" totalsRowShown="0">
  <autoFilter ref="A4:P154" xr:uid="{00000000-0009-0000-0100-000003000000}"/>
  <tableColumns count="16">
    <tableColumn id="1" xr3:uid="{00000000-0010-0000-0500-000001000000}" name="NF / REMESSA"/>
    <tableColumn id="2" xr3:uid="{00000000-0010-0000-0500-000002000000}" name="ITEM (selecione)"/>
    <tableColumn id="3" xr3:uid="{00000000-0010-0000-0500-000003000000}" name="ID DO ITEM"/>
    <tableColumn id="4" xr3:uid="{00000000-0010-0000-0500-000004000000}" name="Nº OC"/>
    <tableColumn id="5" xr3:uid="{00000000-0010-0000-0500-000005000000}" name="Nº SC"/>
    <tableColumn id="6" xr3:uid="{00000000-0010-0000-0500-000006000000}" name="Nº DO CHAMADO"/>
    <tableColumn id="7" xr3:uid="{00000000-0010-0000-0500-000007000000}" name="CÓDIGO DO PRODUTO"/>
    <tableColumn id="8" xr3:uid="{00000000-0010-0000-0500-000008000000}" name="DESCRIÇÃO"/>
    <tableColumn id="9" xr3:uid="{00000000-0010-0000-0500-000009000000}" name="DATA DE RECEBIMENTO"/>
    <tableColumn id="10" xr3:uid="{00000000-0010-0000-0500-00000A000000}" name="QTD. RECEBIDA"/>
    <tableColumn id="11" xr3:uid="{00000000-0010-0000-0500-00000B000000}" name="UNIDADE RECEBEDORA"/>
    <tableColumn id="12" xr3:uid="{00000000-0010-0000-0500-00000C000000}" name="LOCAL DE CUSTÓDIA"/>
    <tableColumn id="13" xr3:uid="{00000000-0010-0000-0500-00000D000000}" name="SITUAÇÃO FÍSICA"/>
    <tableColumn id="14" xr3:uid="{00000000-0010-0000-0500-00000E000000}" name="OBSERVAÇÃO"/>
    <tableColumn id="15" xr3:uid="{00000000-0010-0000-0500-00000F000000}" name="FORNECEDOR"/>
    <tableColumn id="16" xr3:uid="{00000000-0010-0000-0500-000010000000}" name="CONFERÊNCIA COM A OC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6000000}" name="HistoricoEtapasTable" displayName="HistoricoEtapasTable" ref="A4:L154" totalsRowShown="0">
  <autoFilter ref="A4:L154" xr:uid="{00000000-0009-0000-0100-000005000000}"/>
  <tableColumns count="12">
    <tableColumn id="1" xr3:uid="{00000000-0010-0000-0600-000001000000}" name="Nº DO CHAMADO"/>
    <tableColumn id="2" xr3:uid="{00000000-0010-0000-0600-000002000000}" name="ETAPA"/>
    <tableColumn id="3" xr3:uid="{00000000-0010-0000-0600-000003000000}" name="RESPONSÁVEL"/>
    <tableColumn id="4" xr3:uid="{00000000-0010-0000-0600-000004000000}" name="DATA DE INÍCIO"/>
    <tableColumn id="5" xr3:uid="{00000000-0010-0000-0600-000005000000}" name="DATA DE CONCLUSÃO"/>
    <tableColumn id="6" xr3:uid="{00000000-0010-0000-0600-000006000000}" name="SLA"/>
    <tableColumn id="7" xr3:uid="{00000000-0010-0000-0600-000007000000}" name="DIAS REALIZADOS"/>
    <tableColumn id="8" xr3:uid="{00000000-0010-0000-0600-000008000000}" name="SLA ATENDIDO?"/>
    <tableColumn id="9" xr3:uid="{00000000-0010-0000-0600-000009000000}" name="DIAS DE ATRASO"/>
    <tableColumn id="10" xr3:uid="{00000000-0010-0000-0600-00000A000000}" name="SITUAÇÃO"/>
    <tableColumn id="11" xr3:uid="{00000000-0010-0000-0600-00000B000000}" name="UNIDADE"/>
    <tableColumn id="12" xr3:uid="{00000000-0010-0000-0600-00000C000000}" name="PROJETO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2F4858"/>
  </sheetPr>
  <dimension ref="A2:P96"/>
  <sheetViews>
    <sheetView showGridLines="0" zoomScale="85" zoomScaleNormal="85" workbookViewId="0">
      <selection activeCell="V15" sqref="V15"/>
    </sheetView>
  </sheetViews>
  <sheetFormatPr defaultColWidth="8.6640625" defaultRowHeight="14.4" x14ac:dyDescent="0.3"/>
  <cols>
    <col min="1" max="1" width="2" customWidth="1"/>
    <col min="2" max="16" width="13" customWidth="1"/>
    <col min="17" max="17" width="2" customWidth="1"/>
  </cols>
  <sheetData>
    <row r="2" spans="2:16" ht="30" customHeight="1" x14ac:dyDescent="0.3">
      <c r="B2" s="72" t="s">
        <v>0</v>
      </c>
      <c r="C2" s="72"/>
      <c r="D2" s="72"/>
      <c r="E2" s="72"/>
      <c r="F2" s="72"/>
      <c r="G2" s="72"/>
      <c r="H2" s="72"/>
      <c r="I2" s="72"/>
      <c r="M2" s="73" t="s">
        <v>1</v>
      </c>
      <c r="N2" s="73"/>
      <c r="O2" s="74">
        <f ca="1">DataRef</f>
        <v>46260</v>
      </c>
      <c r="P2" s="74"/>
    </row>
    <row r="3" spans="2:16" x14ac:dyDescent="0.3">
      <c r="B3" s="75" t="s">
        <v>2</v>
      </c>
      <c r="C3" s="75"/>
      <c r="D3" s="75"/>
      <c r="E3" s="75"/>
      <c r="F3" s="75"/>
      <c r="G3" s="75"/>
      <c r="H3" s="75"/>
      <c r="I3" s="75"/>
      <c r="M3" s="76" t="str">
        <f ca="1">IF('10_Verificacoes'!$B$22=0,"Base consistente — nenhuma inconsistência aberta","Atenção: "&amp;'10_Verificacoes'!$B$22&amp;" inconsistência(s) — ver aba 10_Verificacoes")</f>
        <v>Base consistente — nenhuma inconsistência aberta</v>
      </c>
      <c r="N3" s="76"/>
      <c r="O3" s="76"/>
      <c r="P3" s="76"/>
    </row>
    <row r="5" spans="2:16" x14ac:dyDescent="0.3">
      <c r="B5" s="3" t="s">
        <v>3</v>
      </c>
    </row>
    <row r="6" spans="2:16" ht="19.5" customHeight="1" x14ac:dyDescent="0.3">
      <c r="B6" s="77" t="s">
        <v>4</v>
      </c>
      <c r="C6" s="77"/>
      <c r="D6" s="78" t="s">
        <v>5</v>
      </c>
      <c r="E6" s="78"/>
      <c r="F6" s="78"/>
      <c r="G6" s="78"/>
      <c r="H6" s="2" t="s">
        <v>6</v>
      </c>
      <c r="I6" s="78" t="s">
        <v>7</v>
      </c>
      <c r="J6" s="78"/>
      <c r="K6" s="78"/>
      <c r="L6" s="78"/>
      <c r="M6" s="78"/>
      <c r="N6" s="78"/>
      <c r="O6" s="78"/>
      <c r="P6" s="78"/>
    </row>
    <row r="7" spans="2:16" x14ac:dyDescent="0.3">
      <c r="B7" s="4" t="s">
        <v>8</v>
      </c>
    </row>
    <row r="9" spans="2:16" ht="3.75" customHeight="1" x14ac:dyDescent="0.3">
      <c r="B9" s="79"/>
      <c r="C9" s="79"/>
      <c r="D9" s="79"/>
      <c r="E9" s="68"/>
      <c r="F9" s="68"/>
      <c r="G9" s="68"/>
      <c r="H9" s="80"/>
      <c r="I9" s="80"/>
      <c r="J9" s="80"/>
      <c r="K9" s="80"/>
      <c r="L9" s="80"/>
      <c r="M9" s="80"/>
      <c r="N9" s="67"/>
      <c r="O9" s="67"/>
      <c r="P9" s="67"/>
    </row>
    <row r="10" spans="2:16" ht="15.75" customHeight="1" x14ac:dyDescent="0.3">
      <c r="B10" s="69" t="s">
        <v>9</v>
      </c>
      <c r="C10" s="69"/>
      <c r="D10" s="69"/>
      <c r="E10" s="69" t="s">
        <v>10</v>
      </c>
      <c r="F10" s="69"/>
      <c r="G10" s="69"/>
      <c r="H10" s="69" t="s">
        <v>11</v>
      </c>
      <c r="I10" s="69"/>
      <c r="J10" s="69"/>
      <c r="K10" s="69" t="s">
        <v>12</v>
      </c>
      <c r="L10" s="69"/>
      <c r="M10" s="69"/>
      <c r="N10" s="69" t="s">
        <v>13</v>
      </c>
      <c r="O10" s="69"/>
      <c r="P10" s="69"/>
    </row>
    <row r="11" spans="2:16" ht="31.5" customHeight="1" x14ac:dyDescent="0.3">
      <c r="B11" s="70">
        <f>SUMPRODUCT((Proj_Cham&lt;&gt;"")*1*((Proj_Unid=Filtro_Unid)+(Filtro_Unid="(TODAS AS UNIDADES)")&gt;0)*((Proj_Rotulo=Filtro_Proj)+(Filtro_Proj="(TODOS OS PROJETOS)")&gt;0))</f>
        <v>78</v>
      </c>
      <c r="C11" s="70"/>
      <c r="D11" s="70"/>
      <c r="E11" s="64">
        <f>SUMPRODUCT((Proj_Cham&lt;&gt;"")*(Proj_Ordem&lt;&gt;"")*((Proj_Unid=Filtro_Unid)+(Filtro_Unid="(TODAS AS UNIDADES)")&gt;0)*((Proj_Rotulo=Filtro_Proj)+(Filtro_Proj="(TODOS OS PROJETOS)")&gt;0))</f>
        <v>54</v>
      </c>
      <c r="F11" s="64"/>
      <c r="G11" s="64"/>
      <c r="H11" s="71">
        <f>SUMPRODUCT((Proj_Cham&lt;&gt;"")*(Proj_Status="CONCLUÍDO")*((Proj_Unid=Filtro_Unid)+(Filtro_Unid="(TODAS AS UNIDADES)")&gt;0)*((Proj_Rotulo=Filtro_Proj)+(Filtro_Proj="(TODOS OS PROJETOS)")&gt;0))</f>
        <v>24</v>
      </c>
      <c r="I11" s="71"/>
      <c r="J11" s="71"/>
      <c r="K11" s="71">
        <f ca="1">SUMPRODUCT((Proj_Cham&lt;&gt;"")*(Proj_Situacao="NO PRAZO")*((Proj_Unid=Filtro_Unid)+(Filtro_Unid="(TODAS AS UNIDADES)")&gt;0)*((Proj_Rotulo=Filtro_Proj)+(Filtro_Proj="(TODOS OS PROJETOS)")&gt;0))</f>
        <v>31</v>
      </c>
      <c r="L11" s="71"/>
      <c r="M11" s="71"/>
      <c r="N11" s="62">
        <f ca="1">SUMPRODUCT((Proj_Cham&lt;&gt;"")*((Proj_Situacao="ATENÇÃO")+(Proj_Situacao="EM RISCO"))*((Proj_Unid=Filtro_Unid)+(Filtro_Unid="(TODAS AS UNIDADES)")&gt;0)*((Proj_Rotulo=Filtro_Proj)+(Filtro_Proj="(TODOS OS PROJETOS)")&gt;0))</f>
        <v>0</v>
      </c>
      <c r="O11" s="62"/>
      <c r="P11" s="62"/>
    </row>
    <row r="13" spans="2:16" ht="3.75" customHeight="1" x14ac:dyDescent="0.3">
      <c r="B13" s="66"/>
      <c r="C13" s="66"/>
      <c r="D13" s="66"/>
      <c r="E13" s="66"/>
      <c r="F13" s="66"/>
      <c r="G13" s="66"/>
      <c r="H13" s="67"/>
      <c r="I13" s="67"/>
      <c r="J13" s="67"/>
      <c r="K13" s="68"/>
      <c r="L13" s="68"/>
      <c r="M13" s="68"/>
      <c r="N13" s="68"/>
      <c r="O13" s="68"/>
      <c r="P13" s="68"/>
    </row>
    <row r="14" spans="2:16" ht="15.75" customHeight="1" x14ac:dyDescent="0.3">
      <c r="B14" s="69" t="s">
        <v>14</v>
      </c>
      <c r="C14" s="69"/>
      <c r="D14" s="69"/>
      <c r="E14" s="69" t="s">
        <v>15</v>
      </c>
      <c r="F14" s="69"/>
      <c r="G14" s="69"/>
      <c r="H14" s="69" t="s">
        <v>16</v>
      </c>
      <c r="I14" s="69"/>
      <c r="J14" s="69"/>
      <c r="K14" s="69" t="s">
        <v>17</v>
      </c>
      <c r="L14" s="69"/>
      <c r="M14" s="69"/>
      <c r="N14" s="69" t="s">
        <v>18</v>
      </c>
      <c r="O14" s="69"/>
      <c r="P14" s="69"/>
    </row>
    <row r="15" spans="2:16" ht="31.5" customHeight="1" x14ac:dyDescent="0.3">
      <c r="B15" s="61">
        <f ca="1">SUMPRODUCT((Proj_Cham&lt;&gt;"")*(Proj_Situacao="ATRASADO")*((Proj_Unid=Filtro_Unid)+(Filtro_Unid="(TODAS AS UNIDADES)")&gt;0)*((Proj_Rotulo=Filtro_Proj)+(Filtro_Proj="(TODOS OS PROJETOS)")&gt;0))</f>
        <v>23</v>
      </c>
      <c r="C15" s="61"/>
      <c r="D15" s="61"/>
      <c r="E15" s="61">
        <f ca="1">SUMPRODUCT((Proj_Cham&lt;&gt;"")*(Proj_Situacao="BLOQUEADO")*((Proj_Unid=Filtro_Unid)+(Filtro_Unid="(TODAS AS UNIDADES)")&gt;0)*((Proj_Rotulo=Filtro_Proj)+(Filtro_Proj="(TODOS OS PROJETOS)")&gt;0))</f>
        <v>0</v>
      </c>
      <c r="F15" s="61"/>
      <c r="G15" s="61"/>
      <c r="H15" s="62" cm="1">
        <f t="array" ref="H15">SUMPRODUCT((Proj_Cham&lt;&gt;"")*(Proj_Desvio&gt;0)*((Proj_Unid=Filtro_Unid)+(Filtro_Unid="(TODAS AS UNIDADES)")&gt;0)*((Proj_Rotulo=Filtro_Proj)+(Filtro_Proj="(TODOS OS PROJETOS)")&gt;0))</f>
        <v>5</v>
      </c>
      <c r="I15" s="62"/>
      <c r="J15" s="62"/>
      <c r="K15" s="63">
        <f>IFERROR(COUNTIFS(His_Situacao,"CONCLUÍDA",His_Atend,"SIM")/(COUNTIFS(His_Situacao,"CONCLUÍDA",His_Atend,"SIM")+COUNTIFS(His_Situacao,"CONCLUÍDA",His_Atend,"NÃO")),"—")</f>
        <v>0</v>
      </c>
      <c r="L15" s="63"/>
      <c r="M15" s="63"/>
      <c r="N15" s="64">
        <f>SUM(OC_Saldo)</f>
        <v>219</v>
      </c>
      <c r="O15" s="64"/>
      <c r="P15" s="64"/>
    </row>
    <row r="65" spans="1:16" ht="15.6" x14ac:dyDescent="0.3">
      <c r="B65" s="5" t="s">
        <v>19</v>
      </c>
    </row>
    <row r="66" spans="1:16" ht="22.35" customHeight="1" x14ac:dyDescent="0.3">
      <c r="B66" s="6" t="s">
        <v>20</v>
      </c>
      <c r="C66" s="65" t="s">
        <v>21</v>
      </c>
      <c r="D66" s="65"/>
      <c r="E66" s="6" t="s">
        <v>22</v>
      </c>
      <c r="F66" s="65" t="s">
        <v>23</v>
      </c>
      <c r="G66" s="65"/>
      <c r="H66" s="6" t="s">
        <v>24</v>
      </c>
      <c r="I66" s="6" t="s">
        <v>25</v>
      </c>
      <c r="J66" s="6" t="s">
        <v>26</v>
      </c>
      <c r="K66" s="6" t="s">
        <v>27</v>
      </c>
      <c r="L66" s="6" t="s">
        <v>28</v>
      </c>
      <c r="M66" s="6" t="s">
        <v>29</v>
      </c>
      <c r="N66" s="65" t="s">
        <v>30</v>
      </c>
      <c r="O66" s="65"/>
      <c r="P66" s="65"/>
    </row>
    <row r="67" spans="1:16" x14ac:dyDescent="0.3">
      <c r="A67" s="7">
        <v>1</v>
      </c>
      <c r="B67" s="8">
        <f>IFERROR(INDEX('01_Projetos'!$A$5:$A$598,MATCH($A67,Proj_Ordem,0)),"")</f>
        <v>123</v>
      </c>
      <c r="C67" s="60" t="str">
        <f>IFERROR(INDEX('01_Projetos'!$B$5:$B$598,MATCH($A67,Proj_Ordem,0))&amp;"","")</f>
        <v>CONTROLE DE ACESSO - VICE PRESIDÊNCIA</v>
      </c>
      <c r="D67" s="60"/>
      <c r="E67" s="10" t="str">
        <f>IFERROR(INDEX('01_Projetos'!$C$5:$C$598,MATCH($A67,Proj_Ordem,0))&amp;"","")</f>
        <v>SNP</v>
      </c>
      <c r="F67" s="60" t="str">
        <f>IFERROR(INDEX('01_Projetos'!$I$5:$I$598,MATCH($A67,Proj_Ordem,0))&amp;"","")</f>
        <v>VALIDAÇÃO E ENCERRAMENTO</v>
      </c>
      <c r="G67" s="60"/>
      <c r="H67" s="9" t="str">
        <f>IFERROR(INDEX('01_Projetos'!$J$5:$J$598,MATCH($A67,Proj_Ordem,0))&amp;"","")</f>
        <v>MONITORAMENTO</v>
      </c>
      <c r="I67" s="8">
        <f ca="1">IFERROR(INDEX('01_Projetos'!$Q$5:$Q$598,MATCH($A67,Proj_Ordem,0)),"")</f>
        <v>154</v>
      </c>
      <c r="J67" s="8">
        <f>IFERROR(INDEX('01_Projetos'!$P$5:$P$598,MATCH($A67,Proj_Ordem,0)),"")</f>
        <v>5</v>
      </c>
      <c r="K67" s="11">
        <f ca="1">IFERROR(INDEX('01_Projetos'!$R$5:$R$598,MATCH($A67,Proj_Ordem,0)),"")</f>
        <v>30.8</v>
      </c>
      <c r="L67" s="8">
        <f ca="1">IFERROR(INDEX('01_Projetos'!$T$5:$T$598,MATCH($A67,Proj_Ordem,0)),"")</f>
        <v>149</v>
      </c>
      <c r="M67" s="10" t="str">
        <f ca="1">IFERROR(INDEX('01_Projetos'!$U$5:$U$598,MATCH($A67,Proj_Ordem,0))&amp;"","")</f>
        <v>ATRASADO</v>
      </c>
      <c r="N67" s="60" t="str">
        <f>IFERROR(IF(INDEX('01_Projetos'!$N$5:$N$598,MATCH($A67,Proj_Ordem,0))&amp;""&lt;&gt;"",INDEX('01_Projetos'!$N$5:$N$598,MATCH($A67,Proj_Ordem,0))&amp;"",INDEX('01_Projetos'!$O$5:$O$598,MATCH($A67,Proj_Ordem,0))&amp;""),"")</f>
        <v>INSTALAÇÃO DO VIDEOPORTEIRO E COBERTURA</v>
      </c>
      <c r="O67" s="60"/>
      <c r="P67" s="60"/>
    </row>
    <row r="68" spans="1:16" x14ac:dyDescent="0.3">
      <c r="A68" s="7">
        <v>2</v>
      </c>
      <c r="B68" s="8" t="str">
        <f>IFERROR(INDEX('01_Projetos'!$A$5:$A$598,MATCH($A68,Proj_Ordem,0)),"")</f>
        <v>N/A01</v>
      </c>
      <c r="C68" s="60" t="str">
        <f>IFERROR(INDEX('01_Projetos'!$B$5:$B$598,MATCH($A68,Proj_Ordem,0))&amp;"","")</f>
        <v>ETANOL</v>
      </c>
      <c r="D68" s="60"/>
      <c r="E68" s="10" t="str">
        <f>IFERROR(INDEX('01_Projetos'!$C$5:$C$598,MATCH($A68,Proj_Ordem,0))&amp;"","")</f>
        <v>BLS</v>
      </c>
      <c r="F68" s="60" t="str">
        <f>IFERROR(INDEX('01_Projetos'!$I$5:$I$598,MATCH($A68,Proj_Ordem,0))&amp;"","")</f>
        <v>INCLUSÃO NO VMS</v>
      </c>
      <c r="G68" s="60"/>
      <c r="H68" s="9" t="str">
        <f>IFERROR(INDEX('01_Projetos'!$J$5:$J$598,MATCH($A68,Proj_Ordem,0))&amp;"","")</f>
        <v>MONITORAMENTO</v>
      </c>
      <c r="I68" s="8">
        <f ca="1">IFERROR(INDEX('01_Projetos'!$Q$5:$Q$598,MATCH($A68,Proj_Ordem,0)),"")</f>
        <v>1</v>
      </c>
      <c r="J68" s="8">
        <f>IFERROR(INDEX('01_Projetos'!$P$5:$P$598,MATCH($A68,Proj_Ordem,0)),"")</f>
        <v>3</v>
      </c>
      <c r="K68" s="11">
        <f ca="1">IFERROR(INDEX('01_Projetos'!$R$5:$R$598,MATCH($A68,Proj_Ordem,0)),"")</f>
        <v>0.33333333333333331</v>
      </c>
      <c r="L68" s="8">
        <f ca="1">IFERROR(INDEX('01_Projetos'!$T$5:$T$598,MATCH($A68,Proj_Ordem,0)),"")</f>
        <v>0</v>
      </c>
      <c r="M68" s="10" t="str">
        <f ca="1">IFERROR(INDEX('01_Projetos'!$U$5:$U$598,MATCH($A68,Proj_Ordem,0))&amp;"","")</f>
        <v>NO PRAZO</v>
      </c>
      <c r="N68" s="60" t="str">
        <f>IFERROR(IF(INDEX('01_Projetos'!$N$5:$N$598,MATCH($A68,Proj_Ordem,0))&amp;""&lt;&gt;"",INDEX('01_Projetos'!$N$5:$N$598,MATCH($A68,Proj_Ordem,0))&amp;"",INDEX('01_Projetos'!$O$5:$O$598,MATCH($A68,Proj_Ordem,0))&amp;""),"")</f>
        <v/>
      </c>
      <c r="O68" s="60"/>
      <c r="P68" s="60"/>
    </row>
    <row r="69" spans="1:16" x14ac:dyDescent="0.3">
      <c r="A69" s="7">
        <v>3</v>
      </c>
      <c r="B69" s="10" t="str">
        <f>IFERROR(INDEX('01_Projetos'!$A$5:$A$598,MATCH($A69,Proj_Ordem,0)),"")</f>
        <v>N/A02</v>
      </c>
      <c r="C69" s="60" t="str">
        <f>IFERROR(INDEX('01_Projetos'!$B$5:$B$598,MATCH($A69,Proj_Ordem,0))&amp;"","")</f>
        <v>STACKER RECLAIMER</v>
      </c>
      <c r="D69" s="60"/>
      <c r="E69" s="10" t="str">
        <f>IFERROR(INDEX('01_Projetos'!$C$5:$C$598,MATCH($A69,Proj_Ordem,0))&amp;"","")</f>
        <v>SNP</v>
      </c>
      <c r="F69" s="60" t="str">
        <f>IFERROR(INDEX('01_Projetos'!$I$5:$I$598,MATCH($A69,Proj_Ordem,0))&amp;"","")</f>
        <v>INFRAESTRUTURA DE TI</v>
      </c>
      <c r="G69" s="60"/>
      <c r="H69" s="9" t="str">
        <f>IFERROR(INDEX('01_Projetos'!$J$5:$J$598,MATCH($A69,Proj_Ordem,0))&amp;"","")</f>
        <v>TI</v>
      </c>
      <c r="I69" s="8">
        <f ca="1">IFERROR(INDEX('01_Projetos'!$Q$5:$Q$598,MATCH($A69,Proj_Ordem,0)),"")</f>
        <v>21</v>
      </c>
      <c r="J69" s="8">
        <f>IFERROR(INDEX('01_Projetos'!$P$5:$P$598,MATCH($A69,Proj_Ordem,0)),"")</f>
        <v>10</v>
      </c>
      <c r="K69" s="11">
        <f ca="1">IFERROR(INDEX('01_Projetos'!$R$5:$R$598,MATCH($A69,Proj_Ordem,0)),"")</f>
        <v>2.1</v>
      </c>
      <c r="L69" s="8">
        <f ca="1">IFERROR(INDEX('01_Projetos'!$T$5:$T$598,MATCH($A69,Proj_Ordem,0)),"")</f>
        <v>11</v>
      </c>
      <c r="M69" s="10" t="str">
        <f ca="1">IFERROR(INDEX('01_Projetos'!$U$5:$U$598,MATCH($A69,Proj_Ordem,0))&amp;"","")</f>
        <v>ATRASADO</v>
      </c>
      <c r="N69" s="60" t="str">
        <f>IFERROR(IF(INDEX('01_Projetos'!$N$5:$N$598,MATCH($A69,Proj_Ordem,0))&amp;""&lt;&gt;"",INDEX('01_Projetos'!$N$5:$N$598,MATCH($A69,Proj_Ordem,0))&amp;"",INDEX('01_Projetos'!$O$5:$O$598,MATCH($A69,Proj_Ordem,0))&amp;""),"")</f>
        <v>ACOMPANHAMENTO DE COMPRAS DE CFTV</v>
      </c>
      <c r="O69" s="60"/>
      <c r="P69" s="60"/>
    </row>
    <row r="70" spans="1:16" x14ac:dyDescent="0.3">
      <c r="A70" s="7">
        <v>4</v>
      </c>
      <c r="B70" s="10" t="str">
        <f>IFERROR(INDEX('01_Projetos'!$A$5:$A$598,MATCH($A70,Proj_Ordem,0)),"")</f>
        <v>N/A03</v>
      </c>
      <c r="C70" s="60" t="str">
        <f>IFERROR(INDEX('01_Projetos'!$B$5:$B$598,MATCH($A70,Proj_Ordem,0))&amp;"","")</f>
        <v>CENTRAL DE RESIDUOS</v>
      </c>
      <c r="D70" s="60"/>
      <c r="E70" s="10" t="str">
        <f>IFERROR(INDEX('01_Projetos'!$C$5:$C$598,MATCH($A70,Proj_Ordem,0))&amp;"","")</f>
        <v>SNP</v>
      </c>
      <c r="F70" s="60" t="str">
        <f>IFERROR(INDEX('01_Projetos'!$I$5:$I$598,MATCH($A70,Proj_Ordem,0))&amp;"","")</f>
        <v>DISPONIBILIZAÇÃO DE IP</v>
      </c>
      <c r="G70" s="60"/>
      <c r="H70" s="9" t="str">
        <f>IFERROR(INDEX('01_Projetos'!$J$5:$J$598,MATCH($A70,Proj_Ordem,0))&amp;"","")</f>
        <v>TI</v>
      </c>
      <c r="I70" s="8">
        <f ca="1">IFERROR(INDEX('01_Projetos'!$Q$5:$Q$598,MATCH($A70,Proj_Ordem,0)),"")</f>
        <v>1</v>
      </c>
      <c r="J70" s="8">
        <f>IFERROR(INDEX('01_Projetos'!$P$5:$P$598,MATCH($A70,Proj_Ordem,0)),"")</f>
        <v>5</v>
      </c>
      <c r="K70" s="11">
        <f ca="1">IFERROR(INDEX('01_Projetos'!$R$5:$R$598,MATCH($A70,Proj_Ordem,0)),"")</f>
        <v>0.2</v>
      </c>
      <c r="L70" s="8">
        <f ca="1">IFERROR(INDEX('01_Projetos'!$T$5:$T$598,MATCH($A70,Proj_Ordem,0)),"")</f>
        <v>0</v>
      </c>
      <c r="M70" s="10" t="str">
        <f ca="1">IFERROR(INDEX('01_Projetos'!$U$5:$U$598,MATCH($A70,Proj_Ordem,0))&amp;"","")</f>
        <v>NO PRAZO</v>
      </c>
      <c r="N70" s="60" t="str">
        <f>IFERROR(IF(INDEX('01_Projetos'!$N$5:$N$598,MATCH($A70,Proj_Ordem,0))&amp;""&lt;&gt;"",INDEX('01_Projetos'!$N$5:$N$598,MATCH($A70,Proj_Ordem,0))&amp;"",INDEX('01_Projetos'!$O$5:$O$598,MATCH($A70,Proj_Ordem,0))&amp;""),"")</f>
        <v>VALIDAR INFORMAÇÕES COMPLEMENTAR DA DEMANDA</v>
      </c>
      <c r="O70" s="60"/>
      <c r="P70" s="60"/>
    </row>
    <row r="71" spans="1:16" x14ac:dyDescent="0.3">
      <c r="A71" s="7">
        <v>5</v>
      </c>
      <c r="B71" s="10" t="str">
        <f>IFERROR(INDEX('01_Projetos'!$A$5:$A$598,MATCH($A71,Proj_Ordem,0)),"")</f>
        <v>N/A04</v>
      </c>
      <c r="C71" s="60" t="str">
        <f>IFERROR(INDEX('01_Projetos'!$B$5:$B$598,MATCH($A71,Proj_Ordem,0))&amp;"","")</f>
        <v>ARMAZÉM DE MILHO</v>
      </c>
      <c r="D71" s="60"/>
      <c r="E71" s="10" t="str">
        <f>IFERROR(INDEX('01_Projetos'!$C$5:$C$598,MATCH($A71,Proj_Ordem,0))&amp;"","")</f>
        <v>SNP</v>
      </c>
      <c r="F71" s="60" t="str">
        <f>IFERROR(INDEX('01_Projetos'!$I$5:$I$598,MATCH($A71,Proj_Ordem,0))&amp;"","")</f>
        <v>VALIDAÇÃO E ENCERRAMENTO</v>
      </c>
      <c r="G71" s="60"/>
      <c r="H71" s="9" t="str">
        <f>IFERROR(INDEX('01_Projetos'!$J$5:$J$598,MATCH($A71,Proj_Ordem,0))&amp;"","")</f>
        <v>MONITORAMENTO</v>
      </c>
      <c r="I71" s="8">
        <f ca="1">IFERROR(INDEX('01_Projetos'!$Q$5:$Q$598,MATCH($A71,Proj_Ordem,0)),"")</f>
        <v>237</v>
      </c>
      <c r="J71" s="8">
        <f>IFERROR(INDEX('01_Projetos'!$P$5:$P$598,MATCH($A71,Proj_Ordem,0)),"")</f>
        <v>5</v>
      </c>
      <c r="K71" s="11">
        <f ca="1">IFERROR(INDEX('01_Projetos'!$R$5:$R$598,MATCH($A71,Proj_Ordem,0)),"")</f>
        <v>47.4</v>
      </c>
      <c r="L71" s="8">
        <f ca="1">IFERROR(INDEX('01_Projetos'!$T$5:$T$598,MATCH($A71,Proj_Ordem,0)),"")</f>
        <v>232</v>
      </c>
      <c r="M71" s="10" t="str">
        <f ca="1">IFERROR(INDEX('01_Projetos'!$U$5:$U$598,MATCH($A71,Proj_Ordem,0))&amp;"","")</f>
        <v>ATRASADO</v>
      </c>
      <c r="N71" s="60" t="str">
        <f>IFERROR(IF(INDEX('01_Projetos'!$N$5:$N$598,MATCH($A71,Proj_Ordem,0))&amp;""&lt;&gt;"",INDEX('01_Projetos'!$N$5:$N$598,MATCH($A71,Proj_Ordem,0))&amp;"",INDEX('01_Projetos'!$O$5:$O$598,MATCH($A71,Proj_Ordem,0))&amp;""),"")</f>
        <v>FALTA INSTALAÇÃO DA  CÂMERAS EX - FALTA ELÉTRICA</v>
      </c>
      <c r="O71" s="60"/>
      <c r="P71" s="60"/>
    </row>
    <row r="72" spans="1:16" x14ac:dyDescent="0.3">
      <c r="A72" s="7">
        <v>6</v>
      </c>
      <c r="B72" s="10" t="str">
        <f>IFERROR(INDEX('01_Projetos'!$A$5:$A$598,MATCH($A72,Proj_Ordem,0)),"")</f>
        <v>N/A05</v>
      </c>
      <c r="C72" s="60" t="str">
        <f>IFERROR(INDEX('01_Projetos'!$B$5:$B$598,MATCH($A72,Proj_Ordem,0))&amp;"","")</f>
        <v>CLASSIFICAÇÃO + CONTROLE DE ACESSO</v>
      </c>
      <c r="D72" s="60"/>
      <c r="E72" s="10" t="str">
        <f>IFERROR(INDEX('01_Projetos'!$C$5:$C$598,MATCH($A72,Proj_Ordem,0))&amp;"","")</f>
        <v>SNP</v>
      </c>
      <c r="F72" s="60" t="str">
        <f>IFERROR(INDEX('01_Projetos'!$I$5:$I$598,MATCH($A72,Proj_Ordem,0))&amp;"","")</f>
        <v>VALIDAÇÃO E ENCERRAMENTO</v>
      </c>
      <c r="G72" s="60"/>
      <c r="H72" s="9" t="str">
        <f>IFERROR(INDEX('01_Projetos'!$J$5:$J$598,MATCH($A72,Proj_Ordem,0))&amp;"","")</f>
        <v>MONITORAMENTO</v>
      </c>
      <c r="I72" s="8">
        <f ca="1">IFERROR(INDEX('01_Projetos'!$Q$5:$Q$598,MATCH($A72,Proj_Ordem,0)),"")</f>
        <v>237</v>
      </c>
      <c r="J72" s="8">
        <f>IFERROR(INDEX('01_Projetos'!$P$5:$P$598,MATCH($A72,Proj_Ordem,0)),"")</f>
        <v>5</v>
      </c>
      <c r="K72" s="11">
        <f ca="1">IFERROR(INDEX('01_Projetos'!$R$5:$R$598,MATCH($A72,Proj_Ordem,0)),"")</f>
        <v>47.4</v>
      </c>
      <c r="L72" s="8">
        <f ca="1">IFERROR(INDEX('01_Projetos'!$T$5:$T$598,MATCH($A72,Proj_Ordem,0)),"")</f>
        <v>232</v>
      </c>
      <c r="M72" s="10" t="str">
        <f ca="1">IFERROR(INDEX('01_Projetos'!$U$5:$U$598,MATCH($A72,Proj_Ordem,0))&amp;"","")</f>
        <v>ATRASADO</v>
      </c>
      <c r="N72" s="60" t="str">
        <f>IFERROR(IF(INDEX('01_Projetos'!$N$5:$N$598,MATCH($A72,Proj_Ordem,0))&amp;""&lt;&gt;"",INDEX('01_Projetos'!$N$5:$N$598,MATCH($A72,Proj_Ordem,0))&amp;"",INDEX('01_Projetos'!$O$5:$O$598,MATCH($A72,Proj_Ordem,0))&amp;""),"")</f>
        <v>FALTA CONFIGURAÇÃO INICIAL DO CONTROLE DE ACESSO</v>
      </c>
      <c r="O72" s="60"/>
      <c r="P72" s="60"/>
    </row>
    <row r="73" spans="1:16" x14ac:dyDescent="0.3">
      <c r="A73" s="7">
        <v>7</v>
      </c>
      <c r="B73" s="10" t="str">
        <f>IFERROR(INDEX('01_Projetos'!$A$5:$A$598,MATCH($A73,Proj_Ordem,0)),"")</f>
        <v>N/A07</v>
      </c>
      <c r="C73" s="60" t="str">
        <f>IFERROR(INDEX('01_Projetos'!$B$5:$B$598,MATCH($A73,Proj_Ordem,0))&amp;"","")</f>
        <v>REFORMA CALDEIRA I E II</v>
      </c>
      <c r="D73" s="60"/>
      <c r="E73" s="10" t="str">
        <f>IFERROR(INDEX('01_Projetos'!$C$5:$C$598,MATCH($A73,Proj_Ordem,0))&amp;"","")</f>
        <v>SNP</v>
      </c>
      <c r="F73" s="60" t="str">
        <f>IFERROR(INDEX('01_Projetos'!$I$5:$I$598,MATCH($A73,Proj_Ordem,0))&amp;"","")</f>
        <v>INFRAESTRUTURA DE TI</v>
      </c>
      <c r="G73" s="60"/>
      <c r="H73" s="9" t="str">
        <f>IFERROR(INDEX('01_Projetos'!$J$5:$J$598,MATCH($A73,Proj_Ordem,0))&amp;"","")</f>
        <v>TI</v>
      </c>
      <c r="I73" s="8">
        <f ca="1">IFERROR(INDEX('01_Projetos'!$Q$5:$Q$598,MATCH($A73,Proj_Ordem,0)),"")</f>
        <v>0</v>
      </c>
      <c r="J73" s="8">
        <f>IFERROR(INDEX('01_Projetos'!$P$5:$P$598,MATCH($A73,Proj_Ordem,0)),"")</f>
        <v>10</v>
      </c>
      <c r="K73" s="11">
        <f ca="1">IFERROR(INDEX('01_Projetos'!$R$5:$R$598,MATCH($A73,Proj_Ordem,0)),"")</f>
        <v>0</v>
      </c>
      <c r="L73" s="8">
        <f ca="1">IFERROR(INDEX('01_Projetos'!$T$5:$T$598,MATCH($A73,Proj_Ordem,0)),"")</f>
        <v>0</v>
      </c>
      <c r="M73" s="10" t="str">
        <f ca="1">IFERROR(INDEX('01_Projetos'!$U$5:$U$598,MATCH($A73,Proj_Ordem,0))&amp;"","")</f>
        <v>NO PRAZO</v>
      </c>
      <c r="N73" s="60" t="str">
        <f>IFERROR(IF(INDEX('01_Projetos'!$N$5:$N$598,MATCH($A73,Proj_Ordem,0))&amp;""&lt;&gt;"",INDEX('01_Projetos'!$N$5:$N$598,MATCH($A73,Proj_Ordem,0))&amp;"",INDEX('01_Projetos'!$O$5:$O$598,MATCH($A73,Proj_Ordem,0))&amp;""),"")</f>
        <v>EM ANDAMENTO DE EXECUÇÃO DE INFRA - PEDIDO DE CÂMERAS PRECISA SER AJUSTADO (ITENS OBSOLETOS)</v>
      </c>
      <c r="O73" s="60"/>
      <c r="P73" s="60"/>
    </row>
    <row r="74" spans="1:16" x14ac:dyDescent="0.3">
      <c r="A74" s="7">
        <v>8</v>
      </c>
      <c r="B74" s="10" t="str">
        <f>IFERROR(INDEX('01_Projetos'!$A$5:$A$598,MATCH($A74,Proj_Ordem,0)),"")</f>
        <v>N/A11</v>
      </c>
      <c r="C74" s="60" t="str">
        <f>IFERROR(INDEX('01_Projetos'!$B$5:$B$598,MATCH($A74,Proj_Ordem,0))&amp;"","")</f>
        <v>BULKMETER</v>
      </c>
      <c r="D74" s="60"/>
      <c r="E74" s="10" t="str">
        <f>IFERROR(INDEX('01_Projetos'!$C$5:$C$598,MATCH($A74,Proj_Ordem,0))&amp;"","")</f>
        <v>MTU</v>
      </c>
      <c r="F74" s="60" t="str">
        <f>IFERROR(INDEX('01_Projetos'!$I$5:$I$598,MATCH($A74,Proj_Ordem,0))&amp;"","")</f>
        <v>FLUXO DE SUPRIMENTOS</v>
      </c>
      <c r="G74" s="60"/>
      <c r="H74" s="9" t="str">
        <f>IFERROR(INDEX('01_Projetos'!$J$5:$J$598,MATCH($A74,Proj_Ordem,0))&amp;"","")</f>
        <v>SUPRIMENTOS</v>
      </c>
      <c r="I74" s="8">
        <f ca="1">IFERROR(INDEX('01_Projetos'!$Q$5:$Q$598,MATCH($A74,Proj_Ordem,0)),"")</f>
        <v>25</v>
      </c>
      <c r="J74" s="8">
        <f>IFERROR(INDEX('01_Projetos'!$P$5:$P$598,MATCH($A74,Proj_Ordem,0)),"")</f>
        <v>10</v>
      </c>
      <c r="K74" s="11">
        <f ca="1">IFERROR(INDEX('01_Projetos'!$R$5:$R$598,MATCH($A74,Proj_Ordem,0)),"")</f>
        <v>2.5</v>
      </c>
      <c r="L74" s="8">
        <f ca="1">IFERROR(INDEX('01_Projetos'!$T$5:$T$598,MATCH($A74,Proj_Ordem,0)),"")</f>
        <v>15</v>
      </c>
      <c r="M74" s="10" t="str">
        <f ca="1">IFERROR(INDEX('01_Projetos'!$U$5:$U$598,MATCH($A74,Proj_Ordem,0))&amp;"","")</f>
        <v>ATRASADO</v>
      </c>
      <c r="N74" s="60" t="str">
        <f>IFERROR(IF(INDEX('01_Projetos'!$N$5:$N$598,MATCH($A74,Proj_Ordem,0))&amp;""&lt;&gt;"",INDEX('01_Projetos'!$N$5:$N$598,MATCH($A74,Proj_Ordem,0))&amp;"",INDEX('01_Projetos'!$O$5:$O$598,MATCH($A74,Proj_Ordem,0))&amp;""),"")</f>
        <v/>
      </c>
      <c r="O74" s="60"/>
      <c r="P74" s="60"/>
    </row>
    <row r="75" spans="1:16" x14ac:dyDescent="0.3">
      <c r="A75" s="7">
        <v>9</v>
      </c>
      <c r="B75" s="10" t="str">
        <f>IFERROR(INDEX('01_Projetos'!$A$5:$A$598,MATCH($A75,Proj_Ordem,0)),"")</f>
        <v>N/A12</v>
      </c>
      <c r="C75" s="60" t="str">
        <f>IFERROR(INDEX('01_Projetos'!$B$5:$B$598,MATCH($A75,Proj_Ordem,0))&amp;"","")</f>
        <v>CLASSIFICAÇÃO + CONTROLE DE ACESSO</v>
      </c>
      <c r="D75" s="60"/>
      <c r="E75" s="10" t="str">
        <f>IFERROR(INDEX('01_Projetos'!$C$5:$C$598,MATCH($A75,Proj_Ordem,0))&amp;"","")</f>
        <v>MTU</v>
      </c>
      <c r="F75" s="60" t="str">
        <f>IFERROR(INDEX('01_Projetos'!$I$5:$I$598,MATCH($A75,Proj_Ordem,0))&amp;"","")</f>
        <v>VALIDAÇÃO E ENCERRAMENTO</v>
      </c>
      <c r="G75" s="60"/>
      <c r="H75" s="9" t="str">
        <f>IFERROR(INDEX('01_Projetos'!$J$5:$J$598,MATCH($A75,Proj_Ordem,0))&amp;"","")</f>
        <v>MONITORAMENTO</v>
      </c>
      <c r="I75" s="8">
        <f ca="1">IFERROR(INDEX('01_Projetos'!$Q$5:$Q$598,MATCH($A75,Proj_Ordem,0)),"")</f>
        <v>25</v>
      </c>
      <c r="J75" s="8">
        <f>IFERROR(INDEX('01_Projetos'!$P$5:$P$598,MATCH($A75,Proj_Ordem,0)),"")</f>
        <v>5</v>
      </c>
      <c r="K75" s="11">
        <f ca="1">IFERROR(INDEX('01_Projetos'!$R$5:$R$598,MATCH($A75,Proj_Ordem,0)),"")</f>
        <v>5</v>
      </c>
      <c r="L75" s="8">
        <f ca="1">IFERROR(INDEX('01_Projetos'!$T$5:$T$598,MATCH($A75,Proj_Ordem,0)),"")</f>
        <v>20</v>
      </c>
      <c r="M75" s="10" t="str">
        <f ca="1">IFERROR(INDEX('01_Projetos'!$U$5:$U$598,MATCH($A75,Proj_Ordem,0))&amp;"","")</f>
        <v>ATRASADO</v>
      </c>
      <c r="N75" s="60" t="str">
        <f>IFERROR(IF(INDEX('01_Projetos'!$N$5:$N$598,MATCH($A75,Proj_Ordem,0))&amp;""&lt;&gt;"",INDEX('01_Projetos'!$N$5:$N$598,MATCH($A75,Proj_Ordem,0))&amp;"",INDEX('01_Projetos'!$O$5:$O$598,MATCH($A75,Proj_Ordem,0))&amp;""),"")</f>
        <v>FALTA CONFIGURAÇÃO INICIAL DO CONTROLE DE ACESSO</v>
      </c>
      <c r="O75" s="60"/>
      <c r="P75" s="60"/>
    </row>
    <row r="76" spans="1:16" x14ac:dyDescent="0.3">
      <c r="A76" s="7">
        <v>10</v>
      </c>
      <c r="B76" s="10" t="str">
        <f>IFERROR(INDEX('01_Projetos'!$A$5:$A$598,MATCH($A76,Proj_Ordem,0)),"")</f>
        <v>N/A13</v>
      </c>
      <c r="C76" s="60" t="str">
        <f>IFERROR(INDEX('01_Projetos'!$B$5:$B$598,MATCH($A76,Proj_Ordem,0))&amp;"","")</f>
        <v>CASA DE FORÇA - 02</v>
      </c>
      <c r="D76" s="60"/>
      <c r="E76" s="10" t="str">
        <f>IFERROR(INDEX('01_Projetos'!$C$5:$C$598,MATCH($A76,Proj_Ordem,0))&amp;"","")</f>
        <v>MTU</v>
      </c>
      <c r="F76" s="60" t="str">
        <f>IFERROR(INDEX('01_Projetos'!$I$5:$I$598,MATCH($A76,Proj_Ordem,0))&amp;"","")</f>
        <v>ALIMENTAÇÃO ELÉTRICA</v>
      </c>
      <c r="G76" s="60"/>
      <c r="H76" s="9" t="str">
        <f>IFERROR(INDEX('01_Projetos'!$J$5:$J$598,MATCH($A76,Proj_Ordem,0))&amp;"","")</f>
        <v>ELÉTRICA</v>
      </c>
      <c r="I76" s="8">
        <f ca="1">IFERROR(INDEX('01_Projetos'!$Q$5:$Q$598,MATCH($A76,Proj_Ordem,0)),"")</f>
        <v>27</v>
      </c>
      <c r="J76" s="8">
        <f>IFERROR(INDEX('01_Projetos'!$P$5:$P$598,MATCH($A76,Proj_Ordem,0)),"")</f>
        <v>10</v>
      </c>
      <c r="K76" s="11">
        <f ca="1">IFERROR(INDEX('01_Projetos'!$R$5:$R$598,MATCH($A76,Proj_Ordem,0)),"")</f>
        <v>2.7</v>
      </c>
      <c r="L76" s="8">
        <f ca="1">IFERROR(INDEX('01_Projetos'!$T$5:$T$598,MATCH($A76,Proj_Ordem,0)),"")</f>
        <v>17</v>
      </c>
      <c r="M76" s="10" t="str">
        <f ca="1">IFERROR(INDEX('01_Projetos'!$U$5:$U$598,MATCH($A76,Proj_Ordem,0))&amp;"","")</f>
        <v>ATRASADO</v>
      </c>
      <c r="N76" s="60" t="str">
        <f>IFERROR(IF(INDEX('01_Projetos'!$N$5:$N$598,MATCH($A76,Proj_Ordem,0))&amp;""&lt;&gt;"",INDEX('01_Projetos'!$N$5:$N$598,MATCH($A76,Proj_Ordem,0))&amp;"",INDEX('01_Projetos'!$O$5:$O$598,MATCH($A76,Proj_Ordem,0))&amp;""),"")</f>
        <v>AGUARDANDO EMISSÃO DE NOTA</v>
      </c>
      <c r="O76" s="60"/>
      <c r="P76" s="60"/>
    </row>
    <row r="77" spans="1:16" x14ac:dyDescent="0.3">
      <c r="A77" s="7">
        <v>11</v>
      </c>
      <c r="B77" s="10" t="str">
        <f>IFERROR(INDEX('01_Projetos'!$A$5:$A$598,MATCH($A77,Proj_Ordem,0)),"")</f>
        <v>N/A14</v>
      </c>
      <c r="C77" s="60" t="str">
        <f>IFERROR(INDEX('01_Projetos'!$B$5:$B$598,MATCH($A77,Proj_Ordem,0))&amp;"","")</f>
        <v>ARMAZÉM DDGS</v>
      </c>
      <c r="D77" s="60"/>
      <c r="E77" s="10" t="str">
        <f>IFERROR(INDEX('01_Projetos'!$C$5:$C$598,MATCH($A77,Proj_Ordem,0))&amp;"","")</f>
        <v>DRD</v>
      </c>
      <c r="F77" s="60" t="str">
        <f>IFERROR(INDEX('01_Projetos'!$I$5:$I$598,MATCH($A77,Proj_Ordem,0))&amp;"","")</f>
        <v>ABERTURA DA SOLICITAÇÃO DE COMPRA</v>
      </c>
      <c r="G77" s="60"/>
      <c r="H77" s="9" t="str">
        <f>IFERROR(INDEX('01_Projetos'!$J$5:$J$598,MATCH($A77,Proj_Ordem,0))&amp;"","")</f>
        <v>MONITORAMENTO</v>
      </c>
      <c r="I77" s="8">
        <f ca="1">IFERROR(INDEX('01_Projetos'!$Q$5:$Q$598,MATCH($A77,Proj_Ordem,0)),"")</f>
        <v>1</v>
      </c>
      <c r="J77" s="8">
        <f>IFERROR(INDEX('01_Projetos'!$P$5:$P$598,MATCH($A77,Proj_Ordem,0)),"")</f>
        <v>3</v>
      </c>
      <c r="K77" s="11">
        <f ca="1">IFERROR(INDEX('01_Projetos'!$R$5:$R$598,MATCH($A77,Proj_Ordem,0)),"")</f>
        <v>0.33333333333333331</v>
      </c>
      <c r="L77" s="8">
        <f ca="1">IFERROR(INDEX('01_Projetos'!$T$5:$T$598,MATCH($A77,Proj_Ordem,0)),"")</f>
        <v>0</v>
      </c>
      <c r="M77" s="10" t="str">
        <f ca="1">IFERROR(INDEX('01_Projetos'!$U$5:$U$598,MATCH($A77,Proj_Ordem,0))&amp;"","")</f>
        <v>NO PRAZO</v>
      </c>
      <c r="N77" s="60" t="str">
        <f>IFERROR(IF(INDEX('01_Projetos'!$N$5:$N$598,MATCH($A77,Proj_Ordem,0))&amp;""&lt;&gt;"",INDEX('01_Projetos'!$N$5:$N$598,MATCH($A77,Proj_Ordem,0))&amp;"",INDEX('01_Projetos'!$O$5:$O$598,MATCH($A77,Proj_Ordem,0))&amp;""),"")</f>
        <v/>
      </c>
      <c r="O77" s="60"/>
      <c r="P77" s="60"/>
    </row>
    <row r="78" spans="1:16" x14ac:dyDescent="0.3">
      <c r="A78" s="7">
        <v>12</v>
      </c>
      <c r="B78" s="10" t="str">
        <f>IFERROR(INDEX('01_Projetos'!$A$5:$A$598,MATCH($A78,Proj_Ordem,0)),"")</f>
        <v>N/A15</v>
      </c>
      <c r="C78" s="60" t="str">
        <f>IFERROR(INDEX('01_Projetos'!$B$5:$B$598,MATCH($A78,Proj_Ordem,0))&amp;"","")</f>
        <v>CALDEIRA III</v>
      </c>
      <c r="D78" s="60"/>
      <c r="E78" s="10" t="str">
        <f>IFERROR(INDEX('01_Projetos'!$C$5:$C$598,MATCH($A78,Proj_Ordem,0))&amp;"","")</f>
        <v>DRD</v>
      </c>
      <c r="F78" s="60" t="str">
        <f>IFERROR(INDEX('01_Projetos'!$I$5:$I$598,MATCH($A78,Proj_Ordem,0))&amp;"","")</f>
        <v>ENTREGA DO MATERIAL</v>
      </c>
      <c r="G78" s="60"/>
      <c r="H78" s="9" t="str">
        <f>IFERROR(INDEX('01_Projetos'!$J$5:$J$598,MATCH($A78,Proj_Ordem,0))&amp;"","")</f>
        <v>FORNECEDOR</v>
      </c>
      <c r="I78" s="8">
        <f ca="1">IFERROR(INDEX('01_Projetos'!$Q$5:$Q$598,MATCH($A78,Proj_Ordem,0)),"")</f>
        <v>237</v>
      </c>
      <c r="J78" s="8">
        <f>IFERROR(INDEX('01_Projetos'!$P$5:$P$598,MATCH($A78,Proj_Ordem,0)),"")</f>
        <v>35</v>
      </c>
      <c r="K78" s="11">
        <f ca="1">IFERROR(INDEX('01_Projetos'!$R$5:$R$598,MATCH($A78,Proj_Ordem,0)),"")</f>
        <v>6.7714285714285714</v>
      </c>
      <c r="L78" s="8">
        <f ca="1">IFERROR(INDEX('01_Projetos'!$T$5:$T$598,MATCH($A78,Proj_Ordem,0)),"")</f>
        <v>202</v>
      </c>
      <c r="M78" s="10" t="str">
        <f ca="1">IFERROR(INDEX('01_Projetos'!$U$5:$U$598,MATCH($A78,Proj_Ordem,0))&amp;"","")</f>
        <v>ATRASADO</v>
      </c>
      <c r="N78" s="60" t="str">
        <f>IFERROR(IF(INDEX('01_Projetos'!$N$5:$N$598,MATCH($A78,Proj_Ordem,0))&amp;""&lt;&gt;"",INDEX('01_Projetos'!$N$5:$N$598,MATCH($A78,Proj_Ordem,0))&amp;"",INDEX('01_Projetos'!$O$5:$O$598,MATCH($A78,Proj_Ordem,0))&amp;""),"")</f>
        <v/>
      </c>
      <c r="O78" s="60"/>
      <c r="P78" s="60"/>
    </row>
    <row r="79" spans="1:16" x14ac:dyDescent="0.3">
      <c r="A79" s="7">
        <v>13</v>
      </c>
      <c r="B79" s="10" t="str">
        <f>IFERROR(INDEX('01_Projetos'!$A$5:$A$598,MATCH($A79,Proj_Ordem,0)),"")</f>
        <v>N/A16</v>
      </c>
      <c r="C79" s="60" t="str">
        <f>IFERROR(INDEX('01_Projetos'!$B$5:$B$598,MATCH($A79,Proj_Ordem,0))&amp;"","")</f>
        <v>CLASSIFICAÇÃO + CONTROLE DE ACESSO</v>
      </c>
      <c r="D79" s="60"/>
      <c r="E79" s="10" t="str">
        <f>IFERROR(INDEX('01_Projetos'!$C$5:$C$598,MATCH($A79,Proj_Ordem,0))&amp;"","")</f>
        <v>DRD</v>
      </c>
      <c r="F79" s="60" t="str">
        <f>IFERROR(INDEX('01_Projetos'!$I$5:$I$598,MATCH($A79,Proj_Ordem,0))&amp;"","")</f>
        <v>VALIDAÇÃO E ENCERRAMENTO</v>
      </c>
      <c r="G79" s="60"/>
      <c r="H79" s="9" t="str">
        <f>IFERROR(INDEX('01_Projetos'!$J$5:$J$598,MATCH($A79,Proj_Ordem,0))&amp;"","")</f>
        <v>MONITORAMENTO</v>
      </c>
      <c r="I79" s="8">
        <f ca="1">IFERROR(INDEX('01_Projetos'!$Q$5:$Q$598,MATCH($A79,Proj_Ordem,0)),"")</f>
        <v>237</v>
      </c>
      <c r="J79" s="8">
        <f>IFERROR(INDEX('01_Projetos'!$P$5:$P$598,MATCH($A79,Proj_Ordem,0)),"")</f>
        <v>5</v>
      </c>
      <c r="K79" s="11">
        <f ca="1">IFERROR(INDEX('01_Projetos'!$R$5:$R$598,MATCH($A79,Proj_Ordem,0)),"")</f>
        <v>47.4</v>
      </c>
      <c r="L79" s="8">
        <f ca="1">IFERROR(INDEX('01_Projetos'!$T$5:$T$598,MATCH($A79,Proj_Ordem,0)),"")</f>
        <v>232</v>
      </c>
      <c r="M79" s="10" t="str">
        <f ca="1">IFERROR(INDEX('01_Projetos'!$U$5:$U$598,MATCH($A79,Proj_Ordem,0))&amp;"","")</f>
        <v>ATRASADO</v>
      </c>
      <c r="N79" s="60" t="str">
        <f>IFERROR(IF(INDEX('01_Projetos'!$N$5:$N$598,MATCH($A79,Proj_Ordem,0))&amp;""&lt;&gt;"",INDEX('01_Projetos'!$N$5:$N$598,MATCH($A79,Proj_Ordem,0))&amp;"",INDEX('01_Projetos'!$O$5:$O$598,MATCH($A79,Proj_Ordem,0))&amp;""),"")</f>
        <v>FALTA CONFIGURAÇÃO INICIAL DO CONTROLE DE ACESSO</v>
      </c>
      <c r="O79" s="60"/>
      <c r="P79" s="60"/>
    </row>
    <row r="80" spans="1:16" x14ac:dyDescent="0.3">
      <c r="A80" s="7">
        <v>14</v>
      </c>
      <c r="B80" s="10" t="str">
        <f>IFERROR(INDEX('01_Projetos'!$A$5:$A$598,MATCH($A80,Proj_Ordem,0)),"")</f>
        <v>N/A19</v>
      </c>
      <c r="C80" s="60" t="str">
        <f>IFERROR(INDEX('01_Projetos'!$B$5:$B$598,MATCH($A80,Proj_Ordem,0))&amp;"","")</f>
        <v>ARMAZÉM DE MILHO</v>
      </c>
      <c r="D80" s="60"/>
      <c r="E80" s="10" t="str">
        <f>IFERROR(INDEX('01_Projetos'!$C$5:$C$598,MATCH($A80,Proj_Ordem,0))&amp;"","")</f>
        <v>SDL</v>
      </c>
      <c r="F80" s="60" t="str">
        <f>IFERROR(INDEX('01_Projetos'!$I$5:$I$598,MATCH($A80,Proj_Ordem,0))&amp;"","")</f>
        <v>INSTALAÇÃO</v>
      </c>
      <c r="G80" s="60"/>
      <c r="H80" s="9" t="str">
        <f>IFERROR(INDEX('01_Projetos'!$J$5:$J$598,MATCH($A80,Proj_Ordem,0))&amp;"","")</f>
        <v>MONITORAMENTO</v>
      </c>
      <c r="I80" s="8">
        <f ca="1">IFERROR(INDEX('01_Projetos'!$Q$5:$Q$598,MATCH($A80,Proj_Ordem,0)),"")</f>
        <v>237</v>
      </c>
      <c r="J80" s="8">
        <f>IFERROR(INDEX('01_Projetos'!$P$5:$P$598,MATCH($A80,Proj_Ordem,0)),"")</f>
        <v>10</v>
      </c>
      <c r="K80" s="11">
        <f ca="1">IFERROR(INDEX('01_Projetos'!$R$5:$R$598,MATCH($A80,Proj_Ordem,0)),"")</f>
        <v>23.7</v>
      </c>
      <c r="L80" s="8">
        <f ca="1">IFERROR(INDEX('01_Projetos'!$T$5:$T$598,MATCH($A80,Proj_Ordem,0)),"")</f>
        <v>227</v>
      </c>
      <c r="M80" s="10" t="str">
        <f ca="1">IFERROR(INDEX('01_Projetos'!$U$5:$U$598,MATCH($A80,Proj_Ordem,0))&amp;"","")</f>
        <v>ATRASADO</v>
      </c>
      <c r="N80" s="60" t="str">
        <f>IFERROR(IF(INDEX('01_Projetos'!$N$5:$N$598,MATCH($A80,Proj_Ordem,0))&amp;""&lt;&gt;"",INDEX('01_Projetos'!$N$5:$N$598,MATCH($A80,Proj_Ordem,0))&amp;"",INDEX('01_Projetos'!$O$5:$O$598,MATCH($A80,Proj_Ordem,0))&amp;""),"")</f>
        <v/>
      </c>
      <c r="O80" s="60"/>
      <c r="P80" s="60"/>
    </row>
    <row r="81" spans="1:16" x14ac:dyDescent="0.3">
      <c r="A81" s="7">
        <v>15</v>
      </c>
      <c r="B81" s="10" t="str">
        <f>IFERROR(INDEX('01_Projetos'!$A$5:$A$598,MATCH($A81,Proj_Ordem,0)),"")</f>
        <v>N/A20</v>
      </c>
      <c r="C81" s="60" t="str">
        <f>IFERROR(INDEX('01_Projetos'!$B$5:$B$598,MATCH($A81,Proj_Ordem,0))&amp;"","")</f>
        <v>ARMAZÉM DDGS</v>
      </c>
      <c r="D81" s="60"/>
      <c r="E81" s="10" t="str">
        <f>IFERROR(INDEX('01_Projetos'!$C$5:$C$598,MATCH($A81,Proj_Ordem,0))&amp;"","")</f>
        <v>SDL</v>
      </c>
      <c r="F81" s="60" t="str">
        <f>IFERROR(INDEX('01_Projetos'!$I$5:$I$598,MATCH($A81,Proj_Ordem,0))&amp;"","")</f>
        <v>ABERTURA DA SOLICITAÇÃO DE COMPRA</v>
      </c>
      <c r="G81" s="60"/>
      <c r="H81" s="9" t="str">
        <f>IFERROR(INDEX('01_Projetos'!$J$5:$J$598,MATCH($A81,Proj_Ordem,0))&amp;"","")</f>
        <v>MONITORAMENTO</v>
      </c>
      <c r="I81" s="8">
        <f ca="1">IFERROR(INDEX('01_Projetos'!$Q$5:$Q$598,MATCH($A81,Proj_Ordem,0)),"")</f>
        <v>1</v>
      </c>
      <c r="J81" s="8">
        <f>IFERROR(INDEX('01_Projetos'!$P$5:$P$598,MATCH($A81,Proj_Ordem,0)),"")</f>
        <v>3</v>
      </c>
      <c r="K81" s="11">
        <f ca="1">IFERROR(INDEX('01_Projetos'!$R$5:$R$598,MATCH($A81,Proj_Ordem,0)),"")</f>
        <v>0.33333333333333331</v>
      </c>
      <c r="L81" s="8">
        <f ca="1">IFERROR(INDEX('01_Projetos'!$T$5:$T$598,MATCH($A81,Proj_Ordem,0)),"")</f>
        <v>0</v>
      </c>
      <c r="M81" s="10" t="str">
        <f ca="1">IFERROR(INDEX('01_Projetos'!$U$5:$U$598,MATCH($A81,Proj_Ordem,0))&amp;"","")</f>
        <v>NO PRAZO</v>
      </c>
      <c r="N81" s="60" t="str">
        <f>IFERROR(IF(INDEX('01_Projetos'!$N$5:$N$598,MATCH($A81,Proj_Ordem,0))&amp;""&lt;&gt;"",INDEX('01_Projetos'!$N$5:$N$598,MATCH($A81,Proj_Ordem,0))&amp;"",INDEX('01_Projetos'!$O$5:$O$598,MATCH($A81,Proj_Ordem,0))&amp;""),"")</f>
        <v>DISPONIBILIZAÇÃO DE CÂMERAS SOBRASSALENTES PARA ATENDIMENTO EMERGENCIAL DO PROJETO</v>
      </c>
      <c r="O81" s="60"/>
      <c r="P81" s="60"/>
    </row>
    <row r="82" spans="1:16" x14ac:dyDescent="0.3">
      <c r="A82" s="7">
        <v>16</v>
      </c>
      <c r="B82" s="10" t="str">
        <f>IFERROR(INDEX('01_Projetos'!$A$5:$A$598,MATCH($A82,Proj_Ordem,0)),"")</f>
        <v>N/A24</v>
      </c>
      <c r="C82" s="60" t="str">
        <f>IFERROR(INDEX('01_Projetos'!$B$5:$B$598,MATCH($A82,Proj_Ordem,0))&amp;"","")</f>
        <v>CLASSIFICAÇÃO + CONTROLE DE ACESSO</v>
      </c>
      <c r="D82" s="60"/>
      <c r="E82" s="10" t="str">
        <f>IFERROR(INDEX('01_Projetos'!$C$5:$C$598,MATCH($A82,Proj_Ordem,0))&amp;"","")</f>
        <v>SDL</v>
      </c>
      <c r="F82" s="60" t="str">
        <f>IFERROR(INDEX('01_Projetos'!$I$5:$I$598,MATCH($A82,Proj_Ordem,0))&amp;"","")</f>
        <v>VALIDAÇÃO E ENCERRAMENTO</v>
      </c>
      <c r="G82" s="60"/>
      <c r="H82" s="9" t="str">
        <f>IFERROR(INDEX('01_Projetos'!$J$5:$J$598,MATCH($A82,Proj_Ordem,0))&amp;"","")</f>
        <v>MONITORAMENTO</v>
      </c>
      <c r="I82" s="8">
        <f ca="1">IFERROR(INDEX('01_Projetos'!$Q$5:$Q$598,MATCH($A82,Proj_Ordem,0)),"")</f>
        <v>237</v>
      </c>
      <c r="J82" s="8">
        <f>IFERROR(INDEX('01_Projetos'!$P$5:$P$598,MATCH($A82,Proj_Ordem,0)),"")</f>
        <v>5</v>
      </c>
      <c r="K82" s="11">
        <f ca="1">IFERROR(INDEX('01_Projetos'!$R$5:$R$598,MATCH($A82,Proj_Ordem,0)),"")</f>
        <v>47.4</v>
      </c>
      <c r="L82" s="8">
        <f ca="1">IFERROR(INDEX('01_Projetos'!$T$5:$T$598,MATCH($A82,Proj_Ordem,0)),"")</f>
        <v>232</v>
      </c>
      <c r="M82" s="10" t="str">
        <f ca="1">IFERROR(INDEX('01_Projetos'!$U$5:$U$598,MATCH($A82,Proj_Ordem,0))&amp;"","")</f>
        <v>ATRASADO</v>
      </c>
      <c r="N82" s="60" t="str">
        <f>IFERROR(IF(INDEX('01_Projetos'!$N$5:$N$598,MATCH($A82,Proj_Ordem,0))&amp;""&lt;&gt;"",INDEX('01_Projetos'!$N$5:$N$598,MATCH($A82,Proj_Ordem,0))&amp;"",INDEX('01_Projetos'!$O$5:$O$598,MATCH($A82,Proj_Ordem,0))&amp;""),"")</f>
        <v/>
      </c>
      <c r="O82" s="60"/>
      <c r="P82" s="60"/>
    </row>
    <row r="83" spans="1:16" x14ac:dyDescent="0.3">
      <c r="A83" s="7">
        <v>17</v>
      </c>
      <c r="B83" s="10" t="str">
        <f>IFERROR(INDEX('01_Projetos'!$A$5:$A$598,MATCH($A83,Proj_Ordem,0)),"")</f>
        <v>N/A37</v>
      </c>
      <c r="C83" s="60" t="str">
        <f>IFERROR(INDEX('01_Projetos'!$B$5:$B$598,MATCH($A83,Proj_Ordem,0))&amp;"","")</f>
        <v>ARMAZÉM DDGS</v>
      </c>
      <c r="D83" s="60"/>
      <c r="E83" s="10" t="str">
        <f>IFERROR(INDEX('01_Projetos'!$C$5:$C$598,MATCH($A83,Proj_Ordem,0))&amp;"","")</f>
        <v>LEM</v>
      </c>
      <c r="F83" s="60" t="str">
        <f>IFERROR(INDEX('01_Projetos'!$I$5:$I$598,MATCH($A83,Proj_Ordem,0))&amp;"","")</f>
        <v>ABERTURA DA SOLICITAÇÃO DE COMPRA</v>
      </c>
      <c r="G83" s="60"/>
      <c r="H83" s="9" t="str">
        <f>IFERROR(INDEX('01_Projetos'!$J$5:$J$598,MATCH($A83,Proj_Ordem,0))&amp;"","")</f>
        <v>MONITORAMENTO</v>
      </c>
      <c r="I83" s="8">
        <f ca="1">IFERROR(INDEX('01_Projetos'!$Q$5:$Q$598,MATCH($A83,Proj_Ordem,0)),"")</f>
        <v>2</v>
      </c>
      <c r="J83" s="8">
        <f>IFERROR(INDEX('01_Projetos'!$P$5:$P$598,MATCH($A83,Proj_Ordem,0)),"")</f>
        <v>3</v>
      </c>
      <c r="K83" s="11">
        <f ca="1">IFERROR(INDEX('01_Projetos'!$R$5:$R$598,MATCH($A83,Proj_Ordem,0)),"")</f>
        <v>0.66666666666666663</v>
      </c>
      <c r="L83" s="8">
        <f ca="1">IFERROR(INDEX('01_Projetos'!$T$5:$T$598,MATCH($A83,Proj_Ordem,0)),"")</f>
        <v>0</v>
      </c>
      <c r="M83" s="10" t="str">
        <f ca="1">IFERROR(INDEX('01_Projetos'!$U$5:$U$598,MATCH($A83,Proj_Ordem,0))&amp;"","")</f>
        <v>NO PRAZO</v>
      </c>
      <c r="N83" s="60" t="str">
        <f>IFERROR(IF(INDEX('01_Projetos'!$N$5:$N$598,MATCH($A83,Proj_Ordem,0))&amp;""&lt;&gt;"",INDEX('01_Projetos'!$N$5:$N$598,MATCH($A83,Proj_Ordem,0))&amp;"",INDEX('01_Projetos'!$O$5:$O$598,MATCH($A83,Proj_Ordem,0))&amp;""),"")</f>
        <v/>
      </c>
      <c r="O83" s="60"/>
      <c r="P83" s="60"/>
    </row>
    <row r="84" spans="1:16" x14ac:dyDescent="0.3">
      <c r="A84" s="7">
        <v>18</v>
      </c>
      <c r="B84" s="10" t="str">
        <f>IFERROR(INDEX('01_Projetos'!$A$5:$A$598,MATCH($A84,Proj_Ordem,0)),"")</f>
        <v>N/A39</v>
      </c>
      <c r="C84" s="60" t="str">
        <f>IFERROR(INDEX('01_Projetos'!$B$5:$B$598,MATCH($A84,Proj_Ordem,0))&amp;"","")</f>
        <v>BIOMASSA</v>
      </c>
      <c r="D84" s="60"/>
      <c r="E84" s="10" t="str">
        <f>IFERROR(INDEX('01_Projetos'!$C$5:$C$598,MATCH($A84,Proj_Ordem,0))&amp;"","")</f>
        <v>RVD</v>
      </c>
      <c r="F84" s="60" t="str">
        <f>IFERROR(INDEX('01_Projetos'!$I$5:$I$598,MATCH($A84,Proj_Ordem,0))&amp;"","")</f>
        <v>FLUXO DE SUPRIMENTOS</v>
      </c>
      <c r="G84" s="60"/>
      <c r="H84" s="9" t="str">
        <f>IFERROR(INDEX('01_Projetos'!$J$5:$J$598,MATCH($A84,Proj_Ordem,0))&amp;"","")</f>
        <v>SUPRIMENTOS</v>
      </c>
      <c r="I84" s="8">
        <f ca="1">IFERROR(INDEX('01_Projetos'!$Q$5:$Q$598,MATCH($A84,Proj_Ordem,0)),"")</f>
        <v>0</v>
      </c>
      <c r="J84" s="8">
        <f>IFERROR(INDEX('01_Projetos'!$P$5:$P$598,MATCH($A84,Proj_Ordem,0)),"")</f>
        <v>10</v>
      </c>
      <c r="K84" s="11">
        <f ca="1">IFERROR(INDEX('01_Projetos'!$R$5:$R$598,MATCH($A84,Proj_Ordem,0)),"")</f>
        <v>0</v>
      </c>
      <c r="L84" s="8">
        <f ca="1">IFERROR(INDEX('01_Projetos'!$T$5:$T$598,MATCH($A84,Proj_Ordem,0)),"")</f>
        <v>0</v>
      </c>
      <c r="M84" s="10" t="str">
        <f ca="1">IFERROR(INDEX('01_Projetos'!$U$5:$U$598,MATCH($A84,Proj_Ordem,0))&amp;"","")</f>
        <v>NO PRAZO</v>
      </c>
      <c r="N84" s="60" t="str">
        <f>IFERROR(IF(INDEX('01_Projetos'!$N$5:$N$598,MATCH($A84,Proj_Ordem,0))&amp;""&lt;&gt;"",INDEX('01_Projetos'!$N$5:$N$598,MATCH($A84,Proj_Ordem,0))&amp;"",INDEX('01_Projetos'!$O$5:$O$598,MATCH($A84,Proj_Ordem,0))&amp;""),"")</f>
        <v/>
      </c>
      <c r="O84" s="60"/>
      <c r="P84" s="60"/>
    </row>
    <row r="85" spans="1:16" x14ac:dyDescent="0.3">
      <c r="A85" s="7">
        <v>19</v>
      </c>
      <c r="B85" s="10" t="str">
        <f>IFERROR(INDEX('01_Projetos'!$A$5:$A$598,MATCH($A85,Proj_Ordem,0)),"")</f>
        <v>N/A40</v>
      </c>
      <c r="C85" s="60" t="str">
        <f>IFERROR(INDEX('01_Projetos'!$B$5:$B$598,MATCH($A85,Proj_Ordem,0))&amp;"","")</f>
        <v>MANUTENÇÃO INDUSTRIAL - ADMINISTRAÇÃO</v>
      </c>
      <c r="D85" s="60"/>
      <c r="E85" s="10" t="str">
        <f>IFERROR(INDEX('01_Projetos'!$C$5:$C$598,MATCH($A85,Proj_Ordem,0))&amp;"","")</f>
        <v>RVD</v>
      </c>
      <c r="F85" s="60" t="str">
        <f>IFERROR(INDEX('01_Projetos'!$I$5:$I$598,MATCH($A85,Proj_Ordem,0))&amp;"","")</f>
        <v>FLUXO DE SUPRIMENTOS</v>
      </c>
      <c r="G85" s="60"/>
      <c r="H85" s="9" t="str">
        <f>IFERROR(INDEX('01_Projetos'!$J$5:$J$598,MATCH($A85,Proj_Ordem,0))&amp;"","")</f>
        <v>SUPRIMENTOS</v>
      </c>
      <c r="I85" s="8">
        <f ca="1">IFERROR(INDEX('01_Projetos'!$Q$5:$Q$598,MATCH($A85,Proj_Ordem,0)),"")</f>
        <v>237</v>
      </c>
      <c r="J85" s="8">
        <f>IFERROR(INDEX('01_Projetos'!$P$5:$P$598,MATCH($A85,Proj_Ordem,0)),"")</f>
        <v>10</v>
      </c>
      <c r="K85" s="11">
        <f ca="1">IFERROR(INDEX('01_Projetos'!$R$5:$R$598,MATCH($A85,Proj_Ordem,0)),"")</f>
        <v>23.7</v>
      </c>
      <c r="L85" s="8">
        <f ca="1">IFERROR(INDEX('01_Projetos'!$T$5:$T$598,MATCH($A85,Proj_Ordem,0)),"")</f>
        <v>227</v>
      </c>
      <c r="M85" s="10" t="str">
        <f ca="1">IFERROR(INDEX('01_Projetos'!$U$5:$U$598,MATCH($A85,Proj_Ordem,0))&amp;"","")</f>
        <v>ATRASADO</v>
      </c>
      <c r="N85" s="60" t="str">
        <f>IFERROR(IF(INDEX('01_Projetos'!$N$5:$N$598,MATCH($A85,Proj_Ordem,0))&amp;""&lt;&gt;"",INDEX('01_Projetos'!$N$5:$N$598,MATCH($A85,Proj_Ordem,0))&amp;"",INDEX('01_Projetos'!$O$5:$O$598,MATCH($A85,Proj_Ordem,0))&amp;""),"")</f>
        <v/>
      </c>
      <c r="O85" s="60"/>
      <c r="P85" s="60"/>
    </row>
    <row r="86" spans="1:16" x14ac:dyDescent="0.3">
      <c r="A86" s="7">
        <v>20</v>
      </c>
      <c r="B86" s="10" t="str">
        <f>IFERROR(INDEX('01_Projetos'!$A$5:$A$598,MATCH($A86,Proj_Ordem,0)),"")</f>
        <v>N/A41</v>
      </c>
      <c r="C86" s="60" t="str">
        <f>IFERROR(INDEX('01_Projetos'!$B$5:$B$598,MATCH($A86,Proj_Ordem,0))&amp;"","")</f>
        <v>REFEITÓRIO</v>
      </c>
      <c r="D86" s="60"/>
      <c r="E86" s="10" t="str">
        <f>IFERROR(INDEX('01_Projetos'!$C$5:$C$598,MATCH($A86,Proj_Ordem,0))&amp;"","")</f>
        <v>RVD</v>
      </c>
      <c r="F86" s="60" t="str">
        <f>IFERROR(INDEX('01_Projetos'!$I$5:$I$598,MATCH($A86,Proj_Ordem,0))&amp;"","")</f>
        <v>FLUXO DE SUPRIMENTOS</v>
      </c>
      <c r="G86" s="60"/>
      <c r="H86" s="9" t="str">
        <f>IFERROR(INDEX('01_Projetos'!$J$5:$J$598,MATCH($A86,Proj_Ordem,0))&amp;"","")</f>
        <v>SUPRIMENTOS</v>
      </c>
      <c r="I86" s="8">
        <f ca="1">IFERROR(INDEX('01_Projetos'!$Q$5:$Q$598,MATCH($A86,Proj_Ordem,0)),"")</f>
        <v>237</v>
      </c>
      <c r="J86" s="8">
        <f>IFERROR(INDEX('01_Projetos'!$P$5:$P$598,MATCH($A86,Proj_Ordem,0)),"")</f>
        <v>10</v>
      </c>
      <c r="K86" s="11">
        <f ca="1">IFERROR(INDEX('01_Projetos'!$R$5:$R$598,MATCH($A86,Proj_Ordem,0)),"")</f>
        <v>23.7</v>
      </c>
      <c r="L86" s="8">
        <f ca="1">IFERROR(INDEX('01_Projetos'!$T$5:$T$598,MATCH($A86,Proj_Ordem,0)),"")</f>
        <v>227</v>
      </c>
      <c r="M86" s="10" t="str">
        <f ca="1">IFERROR(INDEX('01_Projetos'!$U$5:$U$598,MATCH($A86,Proj_Ordem,0))&amp;"","")</f>
        <v>ATRASADO</v>
      </c>
      <c r="N86" s="60" t="str">
        <f>IFERROR(IF(INDEX('01_Projetos'!$N$5:$N$598,MATCH($A86,Proj_Ordem,0))&amp;""&lt;&gt;"",INDEX('01_Projetos'!$N$5:$N$598,MATCH($A86,Proj_Ordem,0))&amp;"",INDEX('01_Projetos'!$O$5:$O$598,MATCH($A86,Proj_Ordem,0))&amp;""),"")</f>
        <v/>
      </c>
      <c r="O86" s="60"/>
      <c r="P86" s="60"/>
    </row>
    <row r="87" spans="1:16" x14ac:dyDescent="0.3">
      <c r="A87" s="7">
        <v>21</v>
      </c>
      <c r="B87" s="10" t="str">
        <f>IFERROR(INDEX('01_Projetos'!$A$5:$A$598,MATCH($A87,Proj_Ordem,0)),"")</f>
        <v>N/A42</v>
      </c>
      <c r="C87" s="60" t="str">
        <f>IFERROR(INDEX('01_Projetos'!$B$5:$B$598,MATCH($A87,Proj_Ordem,0))&amp;"","")</f>
        <v>PIPE RACK</v>
      </c>
      <c r="D87" s="60"/>
      <c r="E87" s="10" t="str">
        <f>IFERROR(INDEX('01_Projetos'!$C$5:$C$598,MATCH($A87,Proj_Ordem,0))&amp;"","")</f>
        <v>RVD</v>
      </c>
      <c r="F87" s="60" t="str">
        <f>IFERROR(INDEX('01_Projetos'!$I$5:$I$598,MATCH($A87,Proj_Ordem,0))&amp;"","")</f>
        <v>FLUXO DE SUPRIMENTOS</v>
      </c>
      <c r="G87" s="60"/>
      <c r="H87" s="9" t="str">
        <f>IFERROR(INDEX('01_Projetos'!$J$5:$J$598,MATCH($A87,Proj_Ordem,0))&amp;"","")</f>
        <v>SUPRIMENTOS</v>
      </c>
      <c r="I87" s="8">
        <f ca="1">IFERROR(INDEX('01_Projetos'!$Q$5:$Q$598,MATCH($A87,Proj_Ordem,0)),"")</f>
        <v>0</v>
      </c>
      <c r="J87" s="8">
        <f>IFERROR(INDEX('01_Projetos'!$P$5:$P$598,MATCH($A87,Proj_Ordem,0)),"")</f>
        <v>10</v>
      </c>
      <c r="K87" s="11">
        <f ca="1">IFERROR(INDEX('01_Projetos'!$R$5:$R$598,MATCH($A87,Proj_Ordem,0)),"")</f>
        <v>0</v>
      </c>
      <c r="L87" s="8">
        <f ca="1">IFERROR(INDEX('01_Projetos'!$T$5:$T$598,MATCH($A87,Proj_Ordem,0)),"")</f>
        <v>0</v>
      </c>
      <c r="M87" s="10" t="str">
        <f ca="1">IFERROR(INDEX('01_Projetos'!$U$5:$U$598,MATCH($A87,Proj_Ordem,0))&amp;"","")</f>
        <v>NO PRAZO</v>
      </c>
      <c r="N87" s="60" t="str">
        <f>IFERROR(IF(INDEX('01_Projetos'!$N$5:$N$598,MATCH($A87,Proj_Ordem,0))&amp;""&lt;&gt;"",INDEX('01_Projetos'!$N$5:$N$598,MATCH($A87,Proj_Ordem,0))&amp;"",INDEX('01_Projetos'!$O$5:$O$598,MATCH($A87,Proj_Ordem,0))&amp;""),"")</f>
        <v/>
      </c>
      <c r="O87" s="60"/>
      <c r="P87" s="60"/>
    </row>
    <row r="88" spans="1:16" x14ac:dyDescent="0.3">
      <c r="A88" s="7">
        <v>22</v>
      </c>
      <c r="B88" s="10" t="str">
        <f>IFERROR(INDEX('01_Projetos'!$A$5:$A$598,MATCH($A88,Proj_Ordem,0)),"")</f>
        <v>N/A43</v>
      </c>
      <c r="C88" s="60" t="str">
        <f>IFERROR(INDEX('01_Projetos'!$B$5:$B$598,MATCH($A88,Proj_Ordem,0))&amp;"","")</f>
        <v>ARMAZÉM DDGS</v>
      </c>
      <c r="D88" s="60"/>
      <c r="E88" s="10" t="str">
        <f>IFERROR(INDEX('01_Projetos'!$C$5:$C$598,MATCH($A88,Proj_Ordem,0))&amp;"","")</f>
        <v>RVD</v>
      </c>
      <c r="F88" s="60" t="str">
        <f>IFERROR(INDEX('01_Projetos'!$I$5:$I$598,MATCH($A88,Proj_Ordem,0))&amp;"","")</f>
        <v>FLUXO DE SUPRIMENTOS</v>
      </c>
      <c r="G88" s="60"/>
      <c r="H88" s="9" t="str">
        <f>IFERROR(INDEX('01_Projetos'!$J$5:$J$598,MATCH($A88,Proj_Ordem,0))&amp;"","")</f>
        <v>SUPRIMENTOS</v>
      </c>
      <c r="I88" s="8">
        <f ca="1">IFERROR(INDEX('01_Projetos'!$Q$5:$Q$598,MATCH($A88,Proj_Ordem,0)),"")</f>
        <v>0</v>
      </c>
      <c r="J88" s="8">
        <f>IFERROR(INDEX('01_Projetos'!$P$5:$P$598,MATCH($A88,Proj_Ordem,0)),"")</f>
        <v>10</v>
      </c>
      <c r="K88" s="11">
        <f ca="1">IFERROR(INDEX('01_Projetos'!$R$5:$R$598,MATCH($A88,Proj_Ordem,0)),"")</f>
        <v>0</v>
      </c>
      <c r="L88" s="8">
        <f ca="1">IFERROR(INDEX('01_Projetos'!$T$5:$T$598,MATCH($A88,Proj_Ordem,0)),"")</f>
        <v>0</v>
      </c>
      <c r="M88" s="10" t="str">
        <f ca="1">IFERROR(INDEX('01_Projetos'!$U$5:$U$598,MATCH($A88,Proj_Ordem,0))&amp;"","")</f>
        <v>NO PRAZO</v>
      </c>
      <c r="N88" s="60" t="str">
        <f>IFERROR(IF(INDEX('01_Projetos'!$N$5:$N$598,MATCH($A88,Proj_Ordem,0))&amp;""&lt;&gt;"",INDEX('01_Projetos'!$N$5:$N$598,MATCH($A88,Proj_Ordem,0))&amp;"",INDEX('01_Projetos'!$O$5:$O$598,MATCH($A88,Proj_Ordem,0))&amp;""),"")</f>
        <v/>
      </c>
      <c r="O88" s="60"/>
      <c r="P88" s="60"/>
    </row>
    <row r="89" spans="1:16" x14ac:dyDescent="0.3">
      <c r="A89" s="7">
        <v>23</v>
      </c>
      <c r="B89" s="10" t="str">
        <f>IFERROR(INDEX('01_Projetos'!$A$5:$A$598,MATCH($A89,Proj_Ordem,0)),"")</f>
        <v>N/A44</v>
      </c>
      <c r="C89" s="60" t="str">
        <f>IFERROR(INDEX('01_Projetos'!$B$5:$B$598,MATCH($A89,Proj_Ordem,0))&amp;"","")</f>
        <v>OSMOSE</v>
      </c>
      <c r="D89" s="60"/>
      <c r="E89" s="10" t="str">
        <f>IFERROR(INDEX('01_Projetos'!$C$5:$C$598,MATCH($A89,Proj_Ordem,0))&amp;"","")</f>
        <v>RVD</v>
      </c>
      <c r="F89" s="60" t="str">
        <f>IFERROR(INDEX('01_Projetos'!$I$5:$I$598,MATCH($A89,Proj_Ordem,0))&amp;"","")</f>
        <v>FLUXO DE SUPRIMENTOS</v>
      </c>
      <c r="G89" s="60"/>
      <c r="H89" s="9" t="str">
        <f>IFERROR(INDEX('01_Projetos'!$J$5:$J$598,MATCH($A89,Proj_Ordem,0))&amp;"","")</f>
        <v>SUPRIMENTOS</v>
      </c>
      <c r="I89" s="8">
        <f ca="1">IFERROR(INDEX('01_Projetos'!$Q$5:$Q$598,MATCH($A89,Proj_Ordem,0)),"")</f>
        <v>0</v>
      </c>
      <c r="J89" s="8">
        <f>IFERROR(INDEX('01_Projetos'!$P$5:$P$598,MATCH($A89,Proj_Ordem,0)),"")</f>
        <v>10</v>
      </c>
      <c r="K89" s="11">
        <f ca="1">IFERROR(INDEX('01_Projetos'!$R$5:$R$598,MATCH($A89,Proj_Ordem,0)),"")</f>
        <v>0</v>
      </c>
      <c r="L89" s="8">
        <f ca="1">IFERROR(INDEX('01_Projetos'!$T$5:$T$598,MATCH($A89,Proj_Ordem,0)),"")</f>
        <v>0</v>
      </c>
      <c r="M89" s="10" t="str">
        <f ca="1">IFERROR(INDEX('01_Projetos'!$U$5:$U$598,MATCH($A89,Proj_Ordem,0))&amp;"","")</f>
        <v>NO PRAZO</v>
      </c>
      <c r="N89" s="60" t="str">
        <f>IFERROR(IF(INDEX('01_Projetos'!$N$5:$N$598,MATCH($A89,Proj_Ordem,0))&amp;""&lt;&gt;"",INDEX('01_Projetos'!$N$5:$N$598,MATCH($A89,Proj_Ordem,0))&amp;"",INDEX('01_Projetos'!$O$5:$O$598,MATCH($A89,Proj_Ordem,0))&amp;""),"")</f>
        <v/>
      </c>
      <c r="O89" s="60"/>
      <c r="P89" s="60"/>
    </row>
    <row r="90" spans="1:16" x14ac:dyDescent="0.3">
      <c r="A90" s="7">
        <v>24</v>
      </c>
      <c r="B90" s="10" t="str">
        <f>IFERROR(INDEX('01_Projetos'!$A$5:$A$598,MATCH($A90,Proj_Ordem,0)),"")</f>
        <v>N/A45</v>
      </c>
      <c r="C90" s="60" t="str">
        <f>IFERROR(INDEX('01_Projetos'!$B$5:$B$598,MATCH($A90,Proj_Ordem,0))&amp;"","")</f>
        <v>CASA DE FORÇA</v>
      </c>
      <c r="D90" s="60"/>
      <c r="E90" s="10" t="str">
        <f>IFERROR(INDEX('01_Projetos'!$C$5:$C$598,MATCH($A90,Proj_Ordem,0))&amp;"","")</f>
        <v>RVD</v>
      </c>
      <c r="F90" s="60" t="str">
        <f>IFERROR(INDEX('01_Projetos'!$I$5:$I$598,MATCH($A90,Proj_Ordem,0))&amp;"","")</f>
        <v>FLUXO DE SUPRIMENTOS</v>
      </c>
      <c r="G90" s="60"/>
      <c r="H90" s="9" t="str">
        <f>IFERROR(INDEX('01_Projetos'!$J$5:$J$598,MATCH($A90,Proj_Ordem,0))&amp;"","")</f>
        <v>SUPRIMENTOS</v>
      </c>
      <c r="I90" s="8">
        <f ca="1">IFERROR(INDEX('01_Projetos'!$Q$5:$Q$598,MATCH($A90,Proj_Ordem,0)),"")</f>
        <v>0</v>
      </c>
      <c r="J90" s="8">
        <f>IFERROR(INDEX('01_Projetos'!$P$5:$P$598,MATCH($A90,Proj_Ordem,0)),"")</f>
        <v>10</v>
      </c>
      <c r="K90" s="11">
        <f ca="1">IFERROR(INDEX('01_Projetos'!$R$5:$R$598,MATCH($A90,Proj_Ordem,0)),"")</f>
        <v>0</v>
      </c>
      <c r="L90" s="8">
        <f ca="1">IFERROR(INDEX('01_Projetos'!$T$5:$T$598,MATCH($A90,Proj_Ordem,0)),"")</f>
        <v>0</v>
      </c>
      <c r="M90" s="10" t="str">
        <f ca="1">IFERROR(INDEX('01_Projetos'!$U$5:$U$598,MATCH($A90,Proj_Ordem,0))&amp;"","")</f>
        <v>NO PRAZO</v>
      </c>
      <c r="N90" s="60" t="str">
        <f>IFERROR(IF(INDEX('01_Projetos'!$N$5:$N$598,MATCH($A90,Proj_Ordem,0))&amp;""&lt;&gt;"",INDEX('01_Projetos'!$N$5:$N$598,MATCH($A90,Proj_Ordem,0))&amp;"",INDEX('01_Projetos'!$O$5:$O$598,MATCH($A90,Proj_Ordem,0))&amp;""),"")</f>
        <v/>
      </c>
      <c r="O90" s="60"/>
      <c r="P90" s="60"/>
    </row>
    <row r="91" spans="1:16" x14ac:dyDescent="0.3">
      <c r="A91" s="7">
        <v>25</v>
      </c>
      <c r="B91" s="10" t="str">
        <f>IFERROR(INDEX('01_Projetos'!$A$5:$A$598,MATCH($A91,Proj_Ordem,0)),"")</f>
        <v>N/A46</v>
      </c>
      <c r="C91" s="60" t="str">
        <f>IFERROR(INDEX('01_Projetos'!$B$5:$B$598,MATCH($A91,Proj_Ordem,0))&amp;"","")</f>
        <v>TANQUES DE ETANOL</v>
      </c>
      <c r="D91" s="60"/>
      <c r="E91" s="10" t="str">
        <f>IFERROR(INDEX('01_Projetos'!$C$5:$C$598,MATCH($A91,Proj_Ordem,0))&amp;"","")</f>
        <v>RVD</v>
      </c>
      <c r="F91" s="60" t="str">
        <f>IFERROR(INDEX('01_Projetos'!$I$5:$I$598,MATCH($A91,Proj_Ordem,0))&amp;"","")</f>
        <v>FLUXO DE SUPRIMENTOS</v>
      </c>
      <c r="G91" s="60"/>
      <c r="H91" s="9" t="str">
        <f>IFERROR(INDEX('01_Projetos'!$J$5:$J$598,MATCH($A91,Proj_Ordem,0))&amp;"","")</f>
        <v>SUPRIMENTOS</v>
      </c>
      <c r="I91" s="8">
        <f ca="1">IFERROR(INDEX('01_Projetos'!$Q$5:$Q$598,MATCH($A91,Proj_Ordem,0)),"")</f>
        <v>0</v>
      </c>
      <c r="J91" s="8">
        <f>IFERROR(INDEX('01_Projetos'!$P$5:$P$598,MATCH($A91,Proj_Ordem,0)),"")</f>
        <v>10</v>
      </c>
      <c r="K91" s="11">
        <f ca="1">IFERROR(INDEX('01_Projetos'!$R$5:$R$598,MATCH($A91,Proj_Ordem,0)),"")</f>
        <v>0</v>
      </c>
      <c r="L91" s="8">
        <f ca="1">IFERROR(INDEX('01_Projetos'!$T$5:$T$598,MATCH($A91,Proj_Ordem,0)),"")</f>
        <v>0</v>
      </c>
      <c r="M91" s="10" t="str">
        <f ca="1">IFERROR(INDEX('01_Projetos'!$U$5:$U$598,MATCH($A91,Proj_Ordem,0))&amp;"","")</f>
        <v>NO PRAZO</v>
      </c>
      <c r="N91" s="60" t="str">
        <f>IFERROR(IF(INDEX('01_Projetos'!$N$5:$N$598,MATCH($A91,Proj_Ordem,0))&amp;""&lt;&gt;"",INDEX('01_Projetos'!$N$5:$N$598,MATCH($A91,Proj_Ordem,0))&amp;"",INDEX('01_Projetos'!$O$5:$O$598,MATCH($A91,Proj_Ordem,0))&amp;""),"")</f>
        <v/>
      </c>
      <c r="O91" s="60"/>
      <c r="P91" s="60"/>
    </row>
    <row r="92" spans="1:16" x14ac:dyDescent="0.3">
      <c r="A92" s="7">
        <v>26</v>
      </c>
      <c r="B92" s="10" t="str">
        <f>IFERROR(INDEX('01_Projetos'!$A$5:$A$598,MATCH($A92,Proj_Ordem,0)),"")</f>
        <v>N/A47</v>
      </c>
      <c r="C92" s="60" t="str">
        <f>IFERROR(INDEX('01_Projetos'!$B$5:$B$598,MATCH($A92,Proj_Ordem,0))&amp;"","")</f>
        <v>EXPEDIÇÃO DE ETANOL</v>
      </c>
      <c r="D92" s="60"/>
      <c r="E92" s="10" t="str">
        <f>IFERROR(INDEX('01_Projetos'!$C$5:$C$598,MATCH($A92,Proj_Ordem,0))&amp;"","")</f>
        <v>RVD</v>
      </c>
      <c r="F92" s="60" t="str">
        <f>IFERROR(INDEX('01_Projetos'!$I$5:$I$598,MATCH($A92,Proj_Ordem,0))&amp;"","")</f>
        <v>FLUXO DE SUPRIMENTOS</v>
      </c>
      <c r="G92" s="60"/>
      <c r="H92" s="9" t="str">
        <f>IFERROR(INDEX('01_Projetos'!$J$5:$J$598,MATCH($A92,Proj_Ordem,0))&amp;"","")</f>
        <v>SUPRIMENTOS</v>
      </c>
      <c r="I92" s="8">
        <f ca="1">IFERROR(INDEX('01_Projetos'!$Q$5:$Q$598,MATCH($A92,Proj_Ordem,0)),"")</f>
        <v>0</v>
      </c>
      <c r="J92" s="8">
        <f>IFERROR(INDEX('01_Projetos'!$P$5:$P$598,MATCH($A92,Proj_Ordem,0)),"")</f>
        <v>10</v>
      </c>
      <c r="K92" s="11">
        <f ca="1">IFERROR(INDEX('01_Projetos'!$R$5:$R$598,MATCH($A92,Proj_Ordem,0)),"")</f>
        <v>0</v>
      </c>
      <c r="L92" s="8">
        <f ca="1">IFERROR(INDEX('01_Projetos'!$T$5:$T$598,MATCH($A92,Proj_Ordem,0)),"")</f>
        <v>0</v>
      </c>
      <c r="M92" s="10" t="str">
        <f ca="1">IFERROR(INDEX('01_Projetos'!$U$5:$U$598,MATCH($A92,Proj_Ordem,0))&amp;"","")</f>
        <v>NO PRAZO</v>
      </c>
      <c r="N92" s="60" t="str">
        <f>IFERROR(IF(INDEX('01_Projetos'!$N$5:$N$598,MATCH($A92,Proj_Ordem,0))&amp;""&lt;&gt;"",INDEX('01_Projetos'!$N$5:$N$598,MATCH($A92,Proj_Ordem,0))&amp;"",INDEX('01_Projetos'!$O$5:$O$598,MATCH($A92,Proj_Ordem,0))&amp;""),"")</f>
        <v/>
      </c>
      <c r="O92" s="60"/>
      <c r="P92" s="60"/>
    </row>
    <row r="93" spans="1:16" x14ac:dyDescent="0.3">
      <c r="A93" s="7">
        <v>27</v>
      </c>
      <c r="B93" s="10" t="str">
        <f>IFERROR(INDEX('01_Projetos'!$A$5:$A$598,MATCH($A93,Proj_Ordem,0)),"")</f>
        <v>N/A48</v>
      </c>
      <c r="C93" s="60" t="str">
        <f>IFERROR(INDEX('01_Projetos'!$B$5:$B$598,MATCH($A93,Proj_Ordem,0))&amp;"","")</f>
        <v>COZINHA INDUSTRIAL</v>
      </c>
      <c r="D93" s="60"/>
      <c r="E93" s="10" t="str">
        <f>IFERROR(INDEX('01_Projetos'!$C$5:$C$598,MATCH($A93,Proj_Ordem,0))&amp;"","")</f>
        <v>RVD</v>
      </c>
      <c r="F93" s="60" t="str">
        <f>IFERROR(INDEX('01_Projetos'!$I$5:$I$598,MATCH($A93,Proj_Ordem,0))&amp;"","")</f>
        <v>FLUXO DE SUPRIMENTOS</v>
      </c>
      <c r="G93" s="60"/>
      <c r="H93" s="9" t="str">
        <f>IFERROR(INDEX('01_Projetos'!$J$5:$J$598,MATCH($A93,Proj_Ordem,0))&amp;"","")</f>
        <v>SUPRIMENTOS</v>
      </c>
      <c r="I93" s="8">
        <f ca="1">IFERROR(INDEX('01_Projetos'!$Q$5:$Q$598,MATCH($A93,Proj_Ordem,0)),"")</f>
        <v>0</v>
      </c>
      <c r="J93" s="8">
        <f>IFERROR(INDEX('01_Projetos'!$P$5:$P$598,MATCH($A93,Proj_Ordem,0)),"")</f>
        <v>10</v>
      </c>
      <c r="K93" s="11">
        <f ca="1">IFERROR(INDEX('01_Projetos'!$R$5:$R$598,MATCH($A93,Proj_Ordem,0)),"")</f>
        <v>0</v>
      </c>
      <c r="L93" s="8">
        <f ca="1">IFERROR(INDEX('01_Projetos'!$T$5:$T$598,MATCH($A93,Proj_Ordem,0)),"")</f>
        <v>0</v>
      </c>
      <c r="M93" s="10" t="str">
        <f ca="1">IFERROR(INDEX('01_Projetos'!$U$5:$U$598,MATCH($A93,Proj_Ordem,0))&amp;"","")</f>
        <v>NO PRAZO</v>
      </c>
      <c r="N93" s="60" t="str">
        <f>IFERROR(IF(INDEX('01_Projetos'!$N$5:$N$598,MATCH($A93,Proj_Ordem,0))&amp;""&lt;&gt;"",INDEX('01_Projetos'!$N$5:$N$598,MATCH($A93,Proj_Ordem,0))&amp;"",INDEX('01_Projetos'!$O$5:$O$598,MATCH($A93,Proj_Ordem,0))&amp;""),"")</f>
        <v/>
      </c>
      <c r="O93" s="60"/>
      <c r="P93" s="60"/>
    </row>
    <row r="94" spans="1:16" x14ac:dyDescent="0.3">
      <c r="A94" s="7">
        <v>28</v>
      </c>
      <c r="B94" s="10" t="str">
        <f>IFERROR(INDEX('01_Projetos'!$A$5:$A$598,MATCH($A94,Proj_Ordem,0)),"")</f>
        <v>N/A49</v>
      </c>
      <c r="C94" s="60" t="str">
        <f>IFERROR(INDEX('01_Projetos'!$B$5:$B$598,MATCH($A94,Proj_Ordem,0))&amp;"","")</f>
        <v>TANQUES DE ÓLEO</v>
      </c>
      <c r="D94" s="60"/>
      <c r="E94" s="10" t="str">
        <f>IFERROR(INDEX('01_Projetos'!$C$5:$C$598,MATCH($A94,Proj_Ordem,0))&amp;"","")</f>
        <v>RVD</v>
      </c>
      <c r="F94" s="60" t="str">
        <f>IFERROR(INDEX('01_Projetos'!$I$5:$I$598,MATCH($A94,Proj_Ordem,0))&amp;"","")</f>
        <v>FLUXO DE SUPRIMENTOS</v>
      </c>
      <c r="G94" s="60"/>
      <c r="H94" s="9" t="str">
        <f>IFERROR(INDEX('01_Projetos'!$J$5:$J$598,MATCH($A94,Proj_Ordem,0))&amp;"","")</f>
        <v>SUPRIMENTOS</v>
      </c>
      <c r="I94" s="8">
        <f ca="1">IFERROR(INDEX('01_Projetos'!$Q$5:$Q$598,MATCH($A94,Proj_Ordem,0)),"")</f>
        <v>0</v>
      </c>
      <c r="J94" s="8">
        <f>IFERROR(INDEX('01_Projetos'!$P$5:$P$598,MATCH($A94,Proj_Ordem,0)),"")</f>
        <v>10</v>
      </c>
      <c r="K94" s="11">
        <f ca="1">IFERROR(INDEX('01_Projetos'!$R$5:$R$598,MATCH($A94,Proj_Ordem,0)),"")</f>
        <v>0</v>
      </c>
      <c r="L94" s="8">
        <f ca="1">IFERROR(INDEX('01_Projetos'!$T$5:$T$598,MATCH($A94,Proj_Ordem,0)),"")</f>
        <v>0</v>
      </c>
      <c r="M94" s="10" t="str">
        <f ca="1">IFERROR(INDEX('01_Projetos'!$U$5:$U$598,MATCH($A94,Proj_Ordem,0))&amp;"","")</f>
        <v>NO PRAZO</v>
      </c>
      <c r="N94" s="60" t="str">
        <f>IFERROR(IF(INDEX('01_Projetos'!$N$5:$N$598,MATCH($A94,Proj_Ordem,0))&amp;""&lt;&gt;"",INDEX('01_Projetos'!$N$5:$N$598,MATCH($A94,Proj_Ordem,0))&amp;"",INDEX('01_Projetos'!$O$5:$O$598,MATCH($A94,Proj_Ordem,0))&amp;""),"")</f>
        <v/>
      </c>
      <c r="O94" s="60"/>
      <c r="P94" s="60"/>
    </row>
    <row r="95" spans="1:16" x14ac:dyDescent="0.3">
      <c r="A95" s="7">
        <v>29</v>
      </c>
      <c r="B95" s="10" t="str">
        <f>IFERROR(INDEX('01_Projetos'!$A$5:$A$598,MATCH($A95,Proj_Ordem,0)),"")</f>
        <v>N/A50</v>
      </c>
      <c r="C95" s="60" t="str">
        <f>IFERROR(INDEX('01_Projetos'!$B$5:$B$598,MATCH($A95,Proj_Ordem,0))&amp;"","")</f>
        <v>TOMBADOR</v>
      </c>
      <c r="D95" s="60"/>
      <c r="E95" s="10" t="str">
        <f>IFERROR(INDEX('01_Projetos'!$C$5:$C$598,MATCH($A95,Proj_Ordem,0))&amp;"","")</f>
        <v>RVD</v>
      </c>
      <c r="F95" s="60" t="str">
        <f>IFERROR(INDEX('01_Projetos'!$I$5:$I$598,MATCH($A95,Proj_Ordem,0))&amp;"","")</f>
        <v>FLUXO DE SUPRIMENTOS</v>
      </c>
      <c r="G95" s="60"/>
      <c r="H95" s="9" t="str">
        <f>IFERROR(INDEX('01_Projetos'!$J$5:$J$598,MATCH($A95,Proj_Ordem,0))&amp;"","")</f>
        <v>SUPRIMENTOS</v>
      </c>
      <c r="I95" s="8">
        <f ca="1">IFERROR(INDEX('01_Projetos'!$Q$5:$Q$598,MATCH($A95,Proj_Ordem,0)),"")</f>
        <v>0</v>
      </c>
      <c r="J95" s="8">
        <f>IFERROR(INDEX('01_Projetos'!$P$5:$P$598,MATCH($A95,Proj_Ordem,0)),"")</f>
        <v>10</v>
      </c>
      <c r="K95" s="11">
        <f ca="1">IFERROR(INDEX('01_Projetos'!$R$5:$R$598,MATCH($A95,Proj_Ordem,0)),"")</f>
        <v>0</v>
      </c>
      <c r="L95" s="8">
        <f ca="1">IFERROR(INDEX('01_Projetos'!$T$5:$T$598,MATCH($A95,Proj_Ordem,0)),"")</f>
        <v>0</v>
      </c>
      <c r="M95" s="10" t="str">
        <f ca="1">IFERROR(INDEX('01_Projetos'!$U$5:$U$598,MATCH($A95,Proj_Ordem,0))&amp;"","")</f>
        <v>NO PRAZO</v>
      </c>
      <c r="N95" s="60" t="str">
        <f>IFERROR(IF(INDEX('01_Projetos'!$N$5:$N$598,MATCH($A95,Proj_Ordem,0))&amp;""&lt;&gt;"",INDEX('01_Projetos'!$N$5:$N$598,MATCH($A95,Proj_Ordem,0))&amp;"",INDEX('01_Projetos'!$O$5:$O$598,MATCH($A95,Proj_Ordem,0))&amp;""),"")</f>
        <v/>
      </c>
      <c r="O95" s="60"/>
      <c r="P95" s="60"/>
    </row>
    <row r="96" spans="1:16" x14ac:dyDescent="0.3">
      <c r="A96" s="7">
        <v>30</v>
      </c>
      <c r="B96" s="10" t="str">
        <f>IFERROR(INDEX('01_Projetos'!$A$5:$A$598,MATCH($A96,Proj_Ordem,0)),"")</f>
        <v>N/A51</v>
      </c>
      <c r="C96" s="60" t="str">
        <f>IFERROR(INDEX('01_Projetos'!$B$5:$B$598,MATCH($A96,Proj_Ordem,0))&amp;"","")</f>
        <v>ALMOX OPEX</v>
      </c>
      <c r="D96" s="60"/>
      <c r="E96" s="10" t="str">
        <f>IFERROR(INDEX('01_Projetos'!$C$5:$C$598,MATCH($A96,Proj_Ordem,0))&amp;"","")</f>
        <v>RVD</v>
      </c>
      <c r="F96" s="60" t="str">
        <f>IFERROR(INDEX('01_Projetos'!$I$5:$I$598,MATCH($A96,Proj_Ordem,0))&amp;"","")</f>
        <v>FLUXO DE SUPRIMENTOS</v>
      </c>
      <c r="G96" s="60"/>
      <c r="H96" s="9" t="str">
        <f>IFERROR(INDEX('01_Projetos'!$J$5:$J$598,MATCH($A96,Proj_Ordem,0))&amp;"","")</f>
        <v>SUPRIMENTOS</v>
      </c>
      <c r="I96" s="8">
        <f ca="1">IFERROR(INDEX('01_Projetos'!$Q$5:$Q$598,MATCH($A96,Proj_Ordem,0)),"")</f>
        <v>237</v>
      </c>
      <c r="J96" s="8">
        <f>IFERROR(INDEX('01_Projetos'!$P$5:$P$598,MATCH($A96,Proj_Ordem,0)),"")</f>
        <v>10</v>
      </c>
      <c r="K96" s="11">
        <f ca="1">IFERROR(INDEX('01_Projetos'!$R$5:$R$598,MATCH($A96,Proj_Ordem,0)),"")</f>
        <v>23.7</v>
      </c>
      <c r="L96" s="8">
        <f ca="1">IFERROR(INDEX('01_Projetos'!$T$5:$T$598,MATCH($A96,Proj_Ordem,0)),"")</f>
        <v>227</v>
      </c>
      <c r="M96" s="10" t="str">
        <f ca="1">IFERROR(INDEX('01_Projetos'!$U$5:$U$598,MATCH($A96,Proj_Ordem,0))&amp;"","")</f>
        <v>ATRASADO</v>
      </c>
      <c r="N96" s="60" t="str">
        <f>IFERROR(IF(INDEX('01_Projetos'!$N$5:$N$598,MATCH($A96,Proj_Ordem,0))&amp;""&lt;&gt;"",INDEX('01_Projetos'!$N$5:$N$598,MATCH($A96,Proj_Ordem,0))&amp;"",INDEX('01_Projetos'!$O$5:$O$598,MATCH($A96,Proj_Ordem,0))&amp;""),"")</f>
        <v/>
      </c>
      <c r="O96" s="60"/>
      <c r="P96" s="60"/>
    </row>
  </sheetData>
  <mergeCells count="131">
    <mergeCell ref="B2:I2"/>
    <mergeCell ref="M2:N2"/>
    <mergeCell ref="O2:P2"/>
    <mergeCell ref="B3:I3"/>
    <mergeCell ref="M3:P3"/>
    <mergeCell ref="B6:C6"/>
    <mergeCell ref="D6:G6"/>
    <mergeCell ref="I6:P6"/>
    <mergeCell ref="B9:D9"/>
    <mergeCell ref="E9:G9"/>
    <mergeCell ref="H9:J9"/>
    <mergeCell ref="K9:M9"/>
    <mergeCell ref="N9:P9"/>
    <mergeCell ref="B10:D10"/>
    <mergeCell ref="E10:G10"/>
    <mergeCell ref="H10:J10"/>
    <mergeCell ref="K10:M10"/>
    <mergeCell ref="N10:P10"/>
    <mergeCell ref="B11:D11"/>
    <mergeCell ref="E11:G11"/>
    <mergeCell ref="H11:J11"/>
    <mergeCell ref="K11:M11"/>
    <mergeCell ref="N11:P11"/>
    <mergeCell ref="B13:D13"/>
    <mergeCell ref="E13:G13"/>
    <mergeCell ref="H13:J13"/>
    <mergeCell ref="K13:M13"/>
    <mergeCell ref="N13:P13"/>
    <mergeCell ref="B14:D14"/>
    <mergeCell ref="E14:G14"/>
    <mergeCell ref="H14:J14"/>
    <mergeCell ref="K14:M14"/>
    <mergeCell ref="N14:P14"/>
    <mergeCell ref="B15:D15"/>
    <mergeCell ref="E15:G15"/>
    <mergeCell ref="H15:J15"/>
    <mergeCell ref="K15:M15"/>
    <mergeCell ref="N15:P15"/>
    <mergeCell ref="C66:D66"/>
    <mergeCell ref="F66:G66"/>
    <mergeCell ref="N66:P66"/>
    <mergeCell ref="C67:D67"/>
    <mergeCell ref="F67:G67"/>
    <mergeCell ref="N67:P67"/>
    <mergeCell ref="C68:D68"/>
    <mergeCell ref="F68:G68"/>
    <mergeCell ref="N68:P68"/>
    <mergeCell ref="C69:D69"/>
    <mergeCell ref="F69:G69"/>
    <mergeCell ref="N69:P69"/>
    <mergeCell ref="C70:D70"/>
    <mergeCell ref="F70:G70"/>
    <mergeCell ref="N70:P70"/>
    <mergeCell ref="C71:D71"/>
    <mergeCell ref="F71:G71"/>
    <mergeCell ref="N71:P71"/>
    <mergeCell ref="C72:D72"/>
    <mergeCell ref="F72:G72"/>
    <mergeCell ref="N72:P72"/>
    <mergeCell ref="C73:D73"/>
    <mergeCell ref="F73:G73"/>
    <mergeCell ref="N73:P73"/>
    <mergeCell ref="C74:D74"/>
    <mergeCell ref="F74:G74"/>
    <mergeCell ref="N74:P74"/>
    <mergeCell ref="C75:D75"/>
    <mergeCell ref="F75:G75"/>
    <mergeCell ref="N75:P75"/>
    <mergeCell ref="C76:D76"/>
    <mergeCell ref="F76:G76"/>
    <mergeCell ref="N76:P76"/>
    <mergeCell ref="C77:D77"/>
    <mergeCell ref="F77:G77"/>
    <mergeCell ref="N77:P77"/>
    <mergeCell ref="C78:D78"/>
    <mergeCell ref="F78:G78"/>
    <mergeCell ref="N78:P78"/>
    <mergeCell ref="C79:D79"/>
    <mergeCell ref="F79:G79"/>
    <mergeCell ref="N79:P79"/>
    <mergeCell ref="C80:D80"/>
    <mergeCell ref="F80:G80"/>
    <mergeCell ref="N80:P80"/>
    <mergeCell ref="C81:D81"/>
    <mergeCell ref="F81:G81"/>
    <mergeCell ref="N81:P81"/>
    <mergeCell ref="C82:D82"/>
    <mergeCell ref="F82:G82"/>
    <mergeCell ref="N82:P82"/>
    <mergeCell ref="C83:D83"/>
    <mergeCell ref="F83:G83"/>
    <mergeCell ref="N83:P83"/>
    <mergeCell ref="C84:D84"/>
    <mergeCell ref="F84:G84"/>
    <mergeCell ref="N84:P84"/>
    <mergeCell ref="C85:D85"/>
    <mergeCell ref="F85:G85"/>
    <mergeCell ref="N85:P85"/>
    <mergeCell ref="C86:D86"/>
    <mergeCell ref="F86:G86"/>
    <mergeCell ref="N86:P86"/>
    <mergeCell ref="C87:D87"/>
    <mergeCell ref="F87:G87"/>
    <mergeCell ref="N87:P87"/>
    <mergeCell ref="C88:D88"/>
    <mergeCell ref="F88:G88"/>
    <mergeCell ref="N88:P88"/>
    <mergeCell ref="C89:D89"/>
    <mergeCell ref="F89:G89"/>
    <mergeCell ref="N89:P89"/>
    <mergeCell ref="C90:D90"/>
    <mergeCell ref="F90:G90"/>
    <mergeCell ref="N90:P90"/>
    <mergeCell ref="C91:D91"/>
    <mergeCell ref="F91:G91"/>
    <mergeCell ref="N91:P91"/>
    <mergeCell ref="C95:D95"/>
    <mergeCell ref="F95:G95"/>
    <mergeCell ref="N95:P95"/>
    <mergeCell ref="C96:D96"/>
    <mergeCell ref="F96:G96"/>
    <mergeCell ref="N96:P96"/>
    <mergeCell ref="C92:D92"/>
    <mergeCell ref="F92:G92"/>
    <mergeCell ref="N92:P92"/>
    <mergeCell ref="C93:D93"/>
    <mergeCell ref="F93:G93"/>
    <mergeCell ref="N93:P93"/>
    <mergeCell ref="C94:D94"/>
    <mergeCell ref="F94:G94"/>
    <mergeCell ref="N94:P94"/>
  </mergeCells>
  <conditionalFormatting sqref="K67:K96">
    <cfRule type="dataBar" priority="10">
      <dataBar>
        <cfvo type="num" val="0"/>
        <cfvo type="num" val="1.5"/>
        <color rgb="FFBBD1E3"/>
      </dataBar>
      <extLst>
        <ext xmlns:x14="http://schemas.microsoft.com/office/spreadsheetml/2009/9/main" uri="{B025F937-C7B1-47D3-B67F-A62EFF666E3E}">
          <x14:id>{EB5038DD-8281-4084-AA9B-8E475DCDE28F}</x14:id>
        </ext>
      </extLst>
    </cfRule>
  </conditionalFormatting>
  <conditionalFormatting sqref="M67:M96">
    <cfRule type="expression" dxfId="29" priority="4">
      <formula>$M67="NO PRAZO"</formula>
    </cfRule>
    <cfRule type="expression" dxfId="28" priority="5">
      <formula>$M67="ATENÇÃO"</formula>
    </cfRule>
    <cfRule type="expression" dxfId="27" priority="6">
      <formula>$M67="EM RISCO"</formula>
    </cfRule>
    <cfRule type="expression" dxfId="26" priority="7">
      <formula>$M67="ATRASADO"</formula>
    </cfRule>
    <cfRule type="expression" dxfId="25" priority="8">
      <formula>$M67="BLOQUEADO"</formula>
    </cfRule>
    <cfRule type="expression" dxfId="24" priority="9">
      <formula>$M67="SEM DATA DE ETAPA"</formula>
    </cfRule>
  </conditionalFormatting>
  <dataValidations count="2">
    <dataValidation type="list" allowBlank="1" errorTitle="Unidade inválida" error="Escolha uma unidade da lista." sqref="D6" xr:uid="{00000000-0002-0000-0000-000000000000}">
      <formula1>Lista_FiltroUnid</formula1>
      <formula2>0</formula2>
    </dataValidation>
    <dataValidation type="list" allowBlank="1" errorTitle="Projeto inválido" error="Escolha um projeto da lista." sqref="I6" xr:uid="{00000000-0002-0000-0000-000001000000}">
      <formula1>Lista_FiltroProj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5038DD-8281-4084-AA9B-8E475DCDE28F}">
            <x14:dataBar axisPosition="none">
              <x14:cfvo type="num">
                <xm:f>0</xm:f>
              </x14:cfvo>
              <x14:cfvo type="num">
                <xm:f>1.5</xm:f>
              </x14:cfvo>
              <x14:negativeFillColor rgb="FFBBD1E3"/>
            </x14:dataBar>
          </x14:cfRule>
          <xm:sqref>K67:K96</xm:sqref>
        </x14:conditionalFormatting>
        <x14:conditionalFormatting xmlns:xm="http://schemas.microsoft.com/office/excel/2006/main">
          <x14:cfRule type="expression" priority="2" id="{00000000-000E-0000-0000-000002000000}">
            <xm:f>'10_Verificacoes'!$B$22&gt;0</xm:f>
            <x14:dxf>
              <font>
                <b/>
                <sz val="9"/>
                <color rgb="FF8A6116"/>
                <name val="Aptos Narrow"/>
                <charset val="1"/>
              </font>
            </x14:dxf>
          </x14:cfRule>
          <x14:cfRule type="expression" priority="3" id="{00000000-000E-0000-0000-000003000000}">
            <xm:f>'10_Verificacoes'!$B$22=0</xm:f>
            <x14:dxf>
              <font>
                <b/>
                <sz val="9"/>
                <color rgb="FF2E6B4F"/>
                <name val="Aptos Narrow"/>
                <charset val="1"/>
              </font>
            </x14:dxf>
          </x14:cfRule>
          <xm:sqref>M3:P3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1F4E79"/>
  </sheetPr>
  <dimension ref="A1:AI152"/>
  <sheetViews>
    <sheetView showGridLines="0" tabSelected="1" zoomScaleNormal="100" workbookViewId="0">
      <pane xSplit="2" ySplit="4" topLeftCell="C55" activePane="bottomRight" state="frozen"/>
      <selection pane="topRight" activeCell="C1" sqref="C1"/>
      <selection pane="bottomLeft" activeCell="A5" sqref="A5"/>
      <selection pane="bottomRight" activeCell="B63" sqref="A63:B63"/>
    </sheetView>
  </sheetViews>
  <sheetFormatPr defaultColWidth="8.6640625" defaultRowHeight="14.4" x14ac:dyDescent="0.3"/>
  <cols>
    <col min="1" max="1" width="14" customWidth="1"/>
    <col min="2" max="2" width="34" customWidth="1"/>
    <col min="3" max="3" width="11" customWidth="1"/>
    <col min="4" max="4" width="20" customWidth="1"/>
    <col min="5" max="5" width="12" customWidth="1"/>
    <col min="6" max="6" width="34" customWidth="1"/>
    <col min="7" max="7" width="20" customWidth="1"/>
    <col min="8" max="8" width="13" customWidth="1"/>
    <col min="9" max="9" width="28" customWidth="1"/>
    <col min="10" max="10" width="18" customWidth="1"/>
    <col min="11" max="11" width="13" customWidth="1"/>
    <col min="12" max="12" width="15" customWidth="1"/>
    <col min="13" max="13" width="10" customWidth="1"/>
    <col min="14" max="14" width="41.88671875" bestFit="1" customWidth="1"/>
    <col min="15" max="15" width="32" customWidth="1"/>
    <col min="16" max="17" width="10" customWidth="1"/>
    <col min="18" max="18" width="11" customWidth="1"/>
    <col min="19" max="20" width="10" customWidth="1"/>
    <col min="21" max="21" width="16" customWidth="1"/>
    <col min="22" max="22" width="32" customWidth="1"/>
    <col min="23" max="27" width="11" customWidth="1"/>
    <col min="28" max="28" width="10" customWidth="1"/>
    <col min="29" max="29" width="12" customWidth="1"/>
    <col min="30" max="30" width="4.44140625" hidden="1" customWidth="1"/>
    <col min="31" max="31" width="6.44140625" hidden="1" customWidth="1"/>
    <col min="32" max="32" width="4.6640625" hidden="1" customWidth="1"/>
  </cols>
  <sheetData>
    <row r="1" spans="1:35" ht="18" x14ac:dyDescent="0.35">
      <c r="A1" s="12" t="s">
        <v>31</v>
      </c>
      <c r="AG1" s="13">
        <f>SUMPRODUCT((Proj_Cham&lt;&gt;"")*(Proj_Status&lt;&gt;"CONCLUÍDO")*(Proj_Status&lt;&gt;"CANCELADO")*(N('01_Projetos'!$H$5:$H$598)=0))</f>
        <v>0</v>
      </c>
      <c r="AH1" s="13">
        <f>SUMPRODUCT((Proj_Cham&lt;&gt;"")*(Proj_Status&lt;&gt;"CONCLUÍDO")*(Proj_Status&lt;&gt;"CANCELADO")*(COUNTIFS(His_Cham,'01_Projetos'!$A$5:$A$598,His_Etapa,'01_Projetos'!$I$5:$I$598,His_Fim,"")=0))</f>
        <v>0</v>
      </c>
      <c r="AI1" s="14" t="s">
        <v>32</v>
      </c>
    </row>
    <row r="2" spans="1:35" x14ac:dyDescent="0.3">
      <c r="A2" s="15" t="s">
        <v>33</v>
      </c>
    </row>
    <row r="4" spans="1:35" ht="31.5" customHeight="1" thickBot="1" x14ac:dyDescent="0.35">
      <c r="A4" s="16" t="s">
        <v>34</v>
      </c>
      <c r="B4" s="16" t="s">
        <v>35</v>
      </c>
      <c r="C4" s="16" t="s">
        <v>22</v>
      </c>
      <c r="D4" s="16" t="s">
        <v>36</v>
      </c>
      <c r="E4" s="16" t="s">
        <v>37</v>
      </c>
      <c r="F4" s="16" t="s">
        <v>38</v>
      </c>
      <c r="G4" s="16" t="s">
        <v>39</v>
      </c>
      <c r="H4" s="16" t="s">
        <v>40</v>
      </c>
      <c r="I4" s="16" t="s">
        <v>23</v>
      </c>
      <c r="J4" s="16" t="s">
        <v>41</v>
      </c>
      <c r="K4" s="16" t="s">
        <v>42</v>
      </c>
      <c r="L4" s="16" t="s">
        <v>43</v>
      </c>
      <c r="M4" s="16" t="s">
        <v>44</v>
      </c>
      <c r="N4" s="59" t="s">
        <v>617</v>
      </c>
      <c r="O4" s="16" t="s">
        <v>45</v>
      </c>
      <c r="P4" s="16" t="s">
        <v>46</v>
      </c>
      <c r="Q4" s="16" t="s">
        <v>47</v>
      </c>
      <c r="R4" s="16" t="s">
        <v>48</v>
      </c>
      <c r="S4" s="16" t="s">
        <v>49</v>
      </c>
      <c r="T4" s="16" t="s">
        <v>50</v>
      </c>
      <c r="U4" s="16" t="s">
        <v>29</v>
      </c>
      <c r="V4" s="16" t="s">
        <v>51</v>
      </c>
      <c r="W4" s="16" t="s">
        <v>52</v>
      </c>
      <c r="X4" s="16" t="s">
        <v>53</v>
      </c>
      <c r="Y4" s="16" t="s">
        <v>54</v>
      </c>
      <c r="Z4" s="16" t="s">
        <v>55</v>
      </c>
      <c r="AA4" s="16" t="s">
        <v>56</v>
      </c>
      <c r="AB4" s="16" t="s">
        <v>57</v>
      </c>
      <c r="AC4" s="16" t="s">
        <v>58</v>
      </c>
      <c r="AD4" s="16" t="s">
        <v>59</v>
      </c>
      <c r="AE4" s="16" t="s">
        <v>60</v>
      </c>
      <c r="AF4" s="16" t="s">
        <v>61</v>
      </c>
    </row>
    <row r="5" spans="1:35" x14ac:dyDescent="0.3">
      <c r="A5" s="50">
        <v>440641</v>
      </c>
      <c r="B5" s="51" t="s">
        <v>62</v>
      </c>
      <c r="C5" s="51" t="s">
        <v>63</v>
      </c>
      <c r="D5" s="51" t="s">
        <v>64</v>
      </c>
      <c r="E5" s="50">
        <v>135</v>
      </c>
      <c r="F5" s="52" t="str">
        <f t="shared" ref="F5" si="0">IF($E5="","",IFERROR(INDEX(Obj_Desc,MATCH($E5,Obj_Cod,0)),"CÓDIGO NÃO CADASTRADO"))</f>
        <v>GERAÇÃO E DISTRIBUIÇÃO DE ENERGIA</v>
      </c>
      <c r="G5" s="51" t="s">
        <v>65</v>
      </c>
      <c r="H5" s="53">
        <v>45976</v>
      </c>
      <c r="I5" s="51" t="s">
        <v>72</v>
      </c>
      <c r="J5" s="52" t="str">
        <f t="shared" ref="J5" si="1">IF($I5="","",IFERROR(INDEX(Etapa_Resp,MATCH($I5,Lista_Etapas,0)),"ETAPA NÃO CADASTRADA"))</f>
        <v>MONITORAMENTO</v>
      </c>
      <c r="K5" s="53">
        <v>46254</v>
      </c>
      <c r="L5" s="51" t="s">
        <v>103</v>
      </c>
      <c r="M5" s="51" t="s">
        <v>67</v>
      </c>
      <c r="N5" s="51"/>
      <c r="O5" s="51" t="s">
        <v>68</v>
      </c>
      <c r="P5" s="54">
        <f t="shared" ref="P5" si="2">IF($I5="","",IFERROR(INDEX(Etapa_SLA,MATCH($I5,Lista_Etapas,0)),""))</f>
        <v>5</v>
      </c>
      <c r="Q5" s="54">
        <f t="shared" ref="Q5" ca="1" si="3">IF($K5="","",MAX(DataRef-$K5,0))</f>
        <v>6</v>
      </c>
      <c r="R5" s="55">
        <f t="shared" ref="R5" ca="1" si="4">IF(OR($P5="",$P5=0,$Q5=""),"",$Q5/$P5)</f>
        <v>1.2</v>
      </c>
      <c r="S5" s="54">
        <f t="shared" ref="S5" ca="1" si="5">IF($H5="","",MAX(DataRef-$H5,0))</f>
        <v>284</v>
      </c>
      <c r="T5" s="54">
        <f t="shared" ref="T5" ca="1" si="6">IF(OR($Q5="",$P5="",$P5=0),"",MAX($Q5-$P5,0))</f>
        <v>1</v>
      </c>
      <c r="U5" s="52" t="str">
        <f t="shared" ref="U5" si="7">IF($A5="","",IF($L5="CONCLUÍDO","CONCLUÍDO",IF($L5="CANCELADO","CANCELADO",IF($M5="SIM","BLOQUEADO",IF($K5="","SEM DATA DE ETAPA",IF($T5&gt;0,"ATRASADO",IF($R5&gt;=Lim_Risco,"EM RISCO",IF($R5&gt;=Lim_Atencao,"ATENÇÃO","NO PRAZO"))))))))</f>
        <v>CONCLUÍDO</v>
      </c>
      <c r="V5" s="52" t="str">
        <f>IF($A5="","",IF(OR($U5="CONCLUÍDO",$U5="CANCELADO"),"—",IF($U5="BLOQUEADO",IF($N5="","BLOQUEADO SEM MOTIVO INFORMADO",$N5),IF($U5="SEM DATA DE ETAPA","INFORMAR A DATA DE INÍCIO DA ETAPA",IF($T5&gt;0,"SLA DA ETAPA "&amp;$I5&amp;" EXCEDIDO EM "&amp;$T5&amp;" DIA(S)",IF($AB5&gt;0,"DIVERGÊNCIA QUANTITATIVA EM "&amp;$AB5&amp;" ITEM(NS)",IF($S5&gt;SLA_Total,"PRAZO TOTAL ACIMA DE "&amp;SLA_Total&amp;" DIAS","FLUXO REGULAR")))))))</f>
        <v>—</v>
      </c>
      <c r="W5" s="54">
        <f t="shared" ref="W5" si="8">IF($A5="","",SUMIFS(Esc_Prev,Esc_Cham,$A5,Esc_Tipo,"CÂMERA"))</f>
        <v>4</v>
      </c>
      <c r="X5" s="54">
        <f t="shared" ref="X5" si="9">IF($A5="","",SUMIFS(Esc_Receb,Esc_Cham,$A5,Esc_Tipo,"CÂMERA"))</f>
        <v>0</v>
      </c>
      <c r="Y5" s="54">
        <f t="shared" ref="Y5" si="10">IF($A5="","",SUMIFS(Esc_Inst,Esc_Cham,$A5,Esc_Tipo,"CÂMERA"))</f>
        <v>0</v>
      </c>
      <c r="Z5" s="54">
        <f t="shared" ref="Z5" si="11">IF($A5="","",ROUNDUP($W5/4,0))</f>
        <v>1</v>
      </c>
      <c r="AA5" s="54">
        <f t="shared" ref="AA5" si="12">IF($A5="","",SUMIFS(Esc_Receb,Esc_Cham,$A5,Esc_Tipo,"LICENÇA"))</f>
        <v>0</v>
      </c>
      <c r="AB5" s="54">
        <f t="shared" ref="AB5" si="13">IF($A5="","",COUNTIFS(Esc_Cham,$A5,Esc_Status,"&lt;&gt;OK",Esc_Status,"&lt;&gt;"))</f>
        <v>2</v>
      </c>
      <c r="AC5" s="54">
        <f t="shared" ref="AC5" si="14">IF($A5="","",IF(OR($I5="INSTALAÇÃO",$I5="DISPONIBILIZAÇÃO DE IP",$I5="INCLUSÃO NO VMS",$I5="VALIDAÇÃO E ENCERRAMENTO",$L5="CONCLUÍDO"),$Y5-$W5,""))</f>
        <v>-4</v>
      </c>
      <c r="AD5" s="54" t="str">
        <f>IF($A5="","",IF(OR($L5="CONCLUÍDO",$L5="CANCELADO"),"",MAX($AD$4:AD4)+1))</f>
        <v/>
      </c>
    </row>
    <row r="6" spans="1:35" x14ac:dyDescent="0.3">
      <c r="A6" s="50">
        <v>123</v>
      </c>
      <c r="B6" s="51" t="s">
        <v>69</v>
      </c>
      <c r="C6" s="51" t="s">
        <v>63</v>
      </c>
      <c r="D6" s="51" t="s">
        <v>70</v>
      </c>
      <c r="E6" s="50">
        <v>5</v>
      </c>
      <c r="F6" s="19" t="str">
        <f t="shared" ref="F6:F36" si="15">IF($E6="","",IFERROR(INDEX(Obj_Desc,MATCH($E6,Obj_Cod,0)),"CÓDIGO NÃO CADASTRADO"))</f>
        <v>VICE-PRESIDENCIA ADMINISTRATIVA</v>
      </c>
      <c r="G6" s="51" t="s">
        <v>71</v>
      </c>
      <c r="H6" s="53"/>
      <c r="I6" s="51" t="s">
        <v>72</v>
      </c>
      <c r="J6" s="19" t="str">
        <f t="shared" ref="J6:J36" si="16">IF($I6="","",IFERROR(INDEX(Etapa_Resp,MATCH($I6,Lista_Etapas,0)),"ETAPA NÃO CADASTRADA"))</f>
        <v>MONITORAMENTO</v>
      </c>
      <c r="K6" s="53">
        <v>46106</v>
      </c>
      <c r="L6" s="51" t="s">
        <v>10</v>
      </c>
      <c r="M6" s="51" t="s">
        <v>67</v>
      </c>
      <c r="N6" s="51"/>
      <c r="O6" s="51" t="s">
        <v>73</v>
      </c>
      <c r="P6" s="21">
        <f t="shared" ref="P6:P36" si="17">IF($I6="","",IFERROR(INDEX(Etapa_SLA,MATCH($I6,Lista_Etapas,0)),""))</f>
        <v>5</v>
      </c>
      <c r="Q6" s="21">
        <f t="shared" ref="Q6:Q36" ca="1" si="18">IF($K6="","",MAX(DataRef-$K6,0))</f>
        <v>154</v>
      </c>
      <c r="R6" s="22">
        <f t="shared" ref="R6:R36" ca="1" si="19">IF(OR($P6="",$P6=0,$Q6=""),"",$Q6/$P6)</f>
        <v>30.8</v>
      </c>
      <c r="S6" s="21" t="str">
        <f t="shared" ref="S6:S36" si="20">IF($H6="","",MAX(DataRef-$H6,0))</f>
        <v/>
      </c>
      <c r="T6" s="21">
        <f t="shared" ref="T6:T36" ca="1" si="21">IF(OR($Q6="",$P6="",$P6=0),"",MAX($Q6-$P6,0))</f>
        <v>149</v>
      </c>
      <c r="U6" s="19" t="str">
        <f t="shared" ref="U6:U36" ca="1" si="22">IF($A6="","",IF($L6="CONCLUÍDO","CONCLUÍDO",IF($L6="CANCELADO","CANCELADO",IF($M6="SIM","BLOQUEADO",IF($K6="","SEM DATA DE ETAPA",IF($T6&gt;0,"ATRASADO",IF($R6&gt;=Lim_Risco,"EM RISCO",IF($R6&gt;=Lim_Atencao,"ATENÇÃO","NO PRAZO"))))))))</f>
        <v>ATRASADO</v>
      </c>
      <c r="V6" s="19" t="str">
        <f ca="1">IF($A6="","",IF(OR($U6="CONCLUÍDO",$U6="CANCELADO"),"—",IF($U6="BLOQUEADO",IF($N6="","BLOQUEADO SEM MOTIVO INFORMADO",$N6),IF($U6="SEM DATA DE ETAPA","INFORMAR A DATA DE INÍCIO DA ETAPA",IF($T6&gt;0,"SLA DA ETAPA "&amp;$I6&amp;" EXCEDIDO EM "&amp;$T6&amp;" DIA(S)",IF($AB6&gt;0,"DIVERGÊNCIA QUANTITATIVA EM "&amp;$AB6&amp;" ITEM(NS)",IF($S6&gt;SLA_Total,"PRAZO TOTAL ACIMA DE "&amp;SLA_Total&amp;" DIAS","FLUXO REGULAR")))))))</f>
        <v>SLA DA ETAPA VALIDAÇÃO E ENCERRAMENTO EXCEDIDO EM 149 DIA(S)</v>
      </c>
      <c r="W6" s="21">
        <f t="shared" ref="W6:W36" si="23">IF($A6="","",SUMIFS(Esc_Prev,Esc_Cham,$A6,Esc_Tipo,"CÂMERA"))</f>
        <v>12</v>
      </c>
      <c r="X6" s="21">
        <f t="shared" ref="X6:X36" si="24">IF($A6="","",SUMIFS(Esc_Receb,Esc_Cham,$A6,Esc_Tipo,"CÂMERA"))</f>
        <v>5</v>
      </c>
      <c r="Y6" s="21">
        <f t="shared" ref="Y6:Y36" si="25">IF($A6="","",SUMIFS(Esc_Inst,Esc_Cham,$A6,Esc_Tipo,"CÂMERA"))</f>
        <v>5</v>
      </c>
      <c r="Z6" s="21">
        <f t="shared" ref="Z6:Z36" si="26">IF($A6="","",ROUNDUP($W6/4,0))</f>
        <v>3</v>
      </c>
      <c r="AA6" s="21">
        <f t="shared" ref="AA6:AA36" si="27">IF($A6="","",SUMIFS(Esc_Receb,Esc_Cham,$A6,Esc_Tipo,"LICENÇA"))</f>
        <v>0</v>
      </c>
      <c r="AB6" s="21">
        <f t="shared" ref="AB6:AB36" si="28">IF($A6="","",SUMIFS(Esc_Desvio,Esc_Cham,$A6))</f>
        <v>4</v>
      </c>
      <c r="AC6" s="21">
        <f t="shared" ref="AC6:AC36" si="29">IF($A6="","",IF(OR($I6="INSTALAÇÃO",$I6="DISPONIBILIZAÇÃO DE IP",$I6="INCLUSÃO NO VMS",$I6="VALIDAÇÃO E ENCERRAMENTO",$L6="CONCLUÍDO"),$Y6-$W6,""))</f>
        <v>-7</v>
      </c>
      <c r="AD6" s="21">
        <f>IF($A6="","",IF(OR($L6="CONCLUÍDO",$L6="CANCELADO"),"",IF(AND(OR(Filtro_Unid="(TODAS AS UNIDADES)",$C6=Filtro_Unid),OR(Filtro_Proj="(TODOS OS PROJETOS)",$AE6=Filtro_Proj)),MAX($AD$4:AD5)+1,"")))</f>
        <v>1</v>
      </c>
      <c r="AE6" s="19" t="str">
        <f t="shared" ref="AE6:AE36" si="30">IF($A6="","",$A6&amp;"  ·  "&amp;$B6&amp;"  ·  "&amp;$C6)</f>
        <v>123  ·  CONTROLE DE ACESSO - VICE PRESIDÊNCIA  ·  SNP</v>
      </c>
      <c r="AF6" s="21">
        <f t="shared" ref="AF6:AF36" si="31">IF($A6="","",IF($L6="CONCLUÍDO",99,IFERROR(MATCH($I6,Lista_Etapas,0),0)))</f>
        <v>11</v>
      </c>
    </row>
    <row r="7" spans="1:35" x14ac:dyDescent="0.3">
      <c r="A7" s="50" t="s">
        <v>74</v>
      </c>
      <c r="B7" s="51" t="s">
        <v>75</v>
      </c>
      <c r="C7" s="51" t="s">
        <v>76</v>
      </c>
      <c r="D7" s="51" t="s">
        <v>77</v>
      </c>
      <c r="E7" s="50">
        <v>167</v>
      </c>
      <c r="F7" s="19" t="str">
        <f t="shared" si="15"/>
        <v>EXPEDIÇÃO DE ETANOL</v>
      </c>
      <c r="G7" s="51"/>
      <c r="H7" s="53">
        <v>46073</v>
      </c>
      <c r="I7" s="51" t="s">
        <v>78</v>
      </c>
      <c r="J7" s="19" t="str">
        <f t="shared" si="16"/>
        <v>MONITORAMENTO</v>
      </c>
      <c r="K7" s="53">
        <v>46259</v>
      </c>
      <c r="L7" s="51" t="s">
        <v>10</v>
      </c>
      <c r="M7" s="51" t="s">
        <v>67</v>
      </c>
      <c r="N7" s="51"/>
      <c r="O7" s="51"/>
      <c r="P7" s="21">
        <f t="shared" si="17"/>
        <v>3</v>
      </c>
      <c r="Q7" s="21">
        <f t="shared" ca="1" si="18"/>
        <v>1</v>
      </c>
      <c r="R7" s="22">
        <f t="shared" ca="1" si="19"/>
        <v>0.33333333333333331</v>
      </c>
      <c r="S7" s="21">
        <f t="shared" ca="1" si="20"/>
        <v>187</v>
      </c>
      <c r="T7" s="21">
        <f t="shared" ca="1" si="21"/>
        <v>0</v>
      </c>
      <c r="U7" s="19" t="str">
        <f t="shared" ca="1" si="22"/>
        <v>NO PRAZO</v>
      </c>
      <c r="V7" s="19" t="str">
        <f ca="1">IF($A7="","",IF(OR($U7="CONCLUÍDO",$U7="CANCELADO"),"—",IF($U7="BLOQUEADO",IF($N7="","BLOQUEADO SEM MOTIVO INFORMADO",$N7),IF($U7="SEM DATA DE ETAPA","INFORMAR A DATA DE INÍCIO DA ETAPA",IF($T7&gt;0,"SLA DA ETAPA "&amp;$I7&amp;" EXCEDIDO EM "&amp;$T7&amp;" DIA(S)",IF($AB7&gt;0,"DIVERGÊNCIA QUANTITATIVA EM "&amp;$AB7&amp;" ITEM(NS)",IF($S7&gt;SLA_Total,"PRAZO TOTAL ACIMA DE "&amp;SLA_Total&amp;" DIAS","FLUXO REGULAR")))))))</f>
        <v>DIVERGÊNCIA QUANTITATIVA EM 5 ITEM(NS)</v>
      </c>
      <c r="W7" s="21">
        <f t="shared" si="23"/>
        <v>18</v>
      </c>
      <c r="X7" s="21">
        <f t="shared" si="24"/>
        <v>18</v>
      </c>
      <c r="Y7" s="21">
        <f t="shared" si="25"/>
        <v>0</v>
      </c>
      <c r="Z7" s="21">
        <f t="shared" si="26"/>
        <v>5</v>
      </c>
      <c r="AA7" s="21">
        <f t="shared" si="27"/>
        <v>1</v>
      </c>
      <c r="AB7" s="21">
        <f t="shared" si="28"/>
        <v>5</v>
      </c>
      <c r="AC7" s="21">
        <f t="shared" si="29"/>
        <v>-18</v>
      </c>
      <c r="AD7" s="21">
        <f>IF($A7="","",IF(OR($L7="CONCLUÍDO",$L7="CANCELADO"),"",IF(AND(OR(Filtro_Unid="(TODAS AS UNIDADES)",$C7=Filtro_Unid),OR(Filtro_Proj="(TODOS OS PROJETOS)",$AE7=Filtro_Proj)),MAX($AD$4:AD6)+1,"")))</f>
        <v>2</v>
      </c>
      <c r="AE7" s="19" t="str">
        <f t="shared" si="30"/>
        <v>N/A01  ·  ETANOL  ·  BLS</v>
      </c>
      <c r="AF7" s="21">
        <f t="shared" si="31"/>
        <v>10</v>
      </c>
    </row>
    <row r="8" spans="1:35" x14ac:dyDescent="0.3">
      <c r="A8" s="50" t="s">
        <v>79</v>
      </c>
      <c r="B8" s="51" t="s">
        <v>80</v>
      </c>
      <c r="C8" s="51" t="s">
        <v>63</v>
      </c>
      <c r="D8" s="51" t="s">
        <v>81</v>
      </c>
      <c r="E8" s="50">
        <v>3840</v>
      </c>
      <c r="F8" s="19" t="str">
        <f t="shared" si="15"/>
        <v>CONSTRUÇÃO - STACKER RECLAIMER</v>
      </c>
      <c r="G8" s="51" t="s">
        <v>82</v>
      </c>
      <c r="H8" s="53">
        <v>46114</v>
      </c>
      <c r="I8" s="51" t="s">
        <v>83</v>
      </c>
      <c r="J8" s="19" t="str">
        <f t="shared" si="16"/>
        <v>TI</v>
      </c>
      <c r="K8" s="53">
        <v>46239</v>
      </c>
      <c r="L8" s="51" t="s">
        <v>10</v>
      </c>
      <c r="M8" s="51" t="s">
        <v>67</v>
      </c>
      <c r="N8" s="51"/>
      <c r="O8" s="51" t="s">
        <v>84</v>
      </c>
      <c r="P8" s="21">
        <f t="shared" si="17"/>
        <v>10</v>
      </c>
      <c r="Q8" s="21">
        <f t="shared" ca="1" si="18"/>
        <v>21</v>
      </c>
      <c r="R8" s="22">
        <f t="shared" ca="1" si="19"/>
        <v>2.1</v>
      </c>
      <c r="S8" s="21">
        <f t="shared" ca="1" si="20"/>
        <v>146</v>
      </c>
      <c r="T8" s="21">
        <f t="shared" ca="1" si="21"/>
        <v>11</v>
      </c>
      <c r="U8" s="19" t="str">
        <f t="shared" ca="1" si="22"/>
        <v>ATRASADO</v>
      </c>
      <c r="V8" s="19" t="str">
        <f ca="1">IF($A8="","",IF(OR($U8="CONCLUÍDO",$U8="CANCELADO"),"—",IF($U8="BLOQUEADO",IF($N8="","BLOQUEADO SEM MOTIVO INFORMADO",$N8),IF($U8="SEM DATA DE ETAPA","INFORMAR A DATA DE INÍCIO DA ETAPA",IF($T8&gt;0,"SLA DA ETAPA "&amp;$I8&amp;" EXCEDIDO EM "&amp;$T8&amp;" DIA(S)",IF($AB8&gt;0,"DIVERGÊNCIA QUANTITATIVA EM "&amp;$AB8&amp;" ITEM(NS)",IF($S8&gt;SLA_Total,"PRAZO TOTAL ACIMA DE "&amp;SLA_Total&amp;" DIAS","FLUXO REGULAR")))))))</f>
        <v>SLA DA ETAPA INFRAESTRUTURA DE TI EXCEDIDO EM 11 DIA(S)</v>
      </c>
      <c r="W8" s="21">
        <f t="shared" si="23"/>
        <v>10</v>
      </c>
      <c r="X8" s="21">
        <f t="shared" si="24"/>
        <v>4</v>
      </c>
      <c r="Y8" s="21">
        <f t="shared" si="25"/>
        <v>0</v>
      </c>
      <c r="Z8" s="21">
        <f t="shared" si="26"/>
        <v>3</v>
      </c>
      <c r="AA8" s="21">
        <f t="shared" si="27"/>
        <v>0</v>
      </c>
      <c r="AB8" s="21">
        <f t="shared" si="28"/>
        <v>2</v>
      </c>
      <c r="AC8" s="21" t="str">
        <f t="shared" si="29"/>
        <v/>
      </c>
      <c r="AD8" s="21">
        <f>IF($A8="","",IF(OR($L8="CONCLUÍDO",$L8="CANCELADO"),"",IF(AND(OR(Filtro_Unid="(TODAS AS UNIDADES)",$C8=Filtro_Unid),OR(Filtro_Proj="(TODOS OS PROJETOS)",$AE8=Filtro_Proj)),MAX($AD$4:AD7)+1,"")))</f>
        <v>3</v>
      </c>
      <c r="AE8" s="19" t="str">
        <f t="shared" si="30"/>
        <v>N/A02  ·  STACKER RECLAIMER  ·  SNP</v>
      </c>
      <c r="AF8" s="21">
        <f t="shared" si="31"/>
        <v>6</v>
      </c>
    </row>
    <row r="9" spans="1:35" x14ac:dyDescent="0.3">
      <c r="A9" s="50" t="s">
        <v>85</v>
      </c>
      <c r="B9" s="51" t="s">
        <v>86</v>
      </c>
      <c r="C9" s="51" t="s">
        <v>63</v>
      </c>
      <c r="D9" s="51" t="s">
        <v>87</v>
      </c>
      <c r="E9" s="50">
        <v>11</v>
      </c>
      <c r="F9" s="19" t="str">
        <f t="shared" si="15"/>
        <v>MEIO AMBIENTE E LICENCIAMENTO</v>
      </c>
      <c r="G9" s="51"/>
      <c r="H9" s="53">
        <v>46251</v>
      </c>
      <c r="I9" s="51" t="s">
        <v>329</v>
      </c>
      <c r="J9" s="19" t="str">
        <f t="shared" si="16"/>
        <v>TI</v>
      </c>
      <c r="K9" s="53">
        <v>46259</v>
      </c>
      <c r="L9" s="51" t="s">
        <v>10</v>
      </c>
      <c r="M9" s="51" t="s">
        <v>67</v>
      </c>
      <c r="N9" s="51"/>
      <c r="O9" s="51" t="s">
        <v>89</v>
      </c>
      <c r="P9" s="21">
        <f t="shared" si="17"/>
        <v>5</v>
      </c>
      <c r="Q9" s="21">
        <f t="shared" ca="1" si="18"/>
        <v>1</v>
      </c>
      <c r="R9" s="22">
        <f t="shared" ca="1" si="19"/>
        <v>0.2</v>
      </c>
      <c r="S9" s="21">
        <f t="shared" ca="1" si="20"/>
        <v>9</v>
      </c>
      <c r="T9" s="21">
        <f t="shared" ca="1" si="21"/>
        <v>0</v>
      </c>
      <c r="U9" s="19" t="str">
        <f t="shared" ca="1" si="22"/>
        <v>NO PRAZO</v>
      </c>
      <c r="V9" s="19" t="str">
        <f ca="1">IF($A9="","",IF(OR($U9="CONCLUÍDO",$U9="CANCELADO"),"—",IF($U9="BLOQUEADO",IF($N9="","BLOQUEADO SEM MOTIVO INFORMADO",$N9),IF($U9="SEM DATA DE ETAPA","INFORMAR A DATA DE INÍCIO DA ETAPA",IF($T9&gt;0,"SLA DA ETAPA "&amp;$I9&amp;" EXCEDIDO EM "&amp;$T9&amp;" DIA(S)",IF($AB9&gt;0,"DIVERGÊNCIA QUANTITATIVA EM "&amp;$AB9&amp;" ITEM(NS)",IF($S9&gt;SLA_Total,"PRAZO TOTAL ACIMA DE "&amp;SLA_Total&amp;" DIAS","FLUXO REGULAR")))))))</f>
        <v>FLUXO REGULAR</v>
      </c>
      <c r="W9" s="21">
        <f t="shared" si="23"/>
        <v>0</v>
      </c>
      <c r="X9" s="21">
        <f t="shared" si="24"/>
        <v>0</v>
      </c>
      <c r="Y9" s="21">
        <f t="shared" si="25"/>
        <v>0</v>
      </c>
      <c r="Z9" s="21">
        <f t="shared" si="26"/>
        <v>0</v>
      </c>
      <c r="AA9" s="21">
        <f t="shared" si="27"/>
        <v>0</v>
      </c>
      <c r="AB9" s="21">
        <f t="shared" si="28"/>
        <v>0</v>
      </c>
      <c r="AC9" s="21">
        <f t="shared" si="29"/>
        <v>0</v>
      </c>
      <c r="AD9" s="21">
        <f>IF($A9="","",IF(OR($L9="CONCLUÍDO",$L9="CANCELADO"),"",IF(AND(OR(Filtro_Unid="(TODAS AS UNIDADES)",$C9=Filtro_Unid),OR(Filtro_Proj="(TODOS OS PROJETOS)",$AE9=Filtro_Proj)),MAX($AD$4:AD8)+1,"")))</f>
        <v>4</v>
      </c>
      <c r="AE9" s="19" t="str">
        <f t="shared" si="30"/>
        <v>N/A03  ·  CENTRAL DE RESIDUOS  ·  SNP</v>
      </c>
      <c r="AF9" s="21">
        <f t="shared" si="31"/>
        <v>9</v>
      </c>
    </row>
    <row r="10" spans="1:35" x14ac:dyDescent="0.3">
      <c r="A10" s="50" t="s">
        <v>90</v>
      </c>
      <c r="B10" s="51" t="s">
        <v>91</v>
      </c>
      <c r="C10" s="51" t="s">
        <v>63</v>
      </c>
      <c r="D10" s="51" t="s">
        <v>92</v>
      </c>
      <c r="E10" s="50">
        <v>202</v>
      </c>
      <c r="F10" s="19" t="str">
        <f t="shared" si="15"/>
        <v>ARMAZENAGEM DE GRÃOS</v>
      </c>
      <c r="G10" s="51"/>
      <c r="H10" s="53">
        <v>45835</v>
      </c>
      <c r="I10" s="51" t="s">
        <v>72</v>
      </c>
      <c r="J10" s="19" t="str">
        <f t="shared" si="16"/>
        <v>MONITORAMENTO</v>
      </c>
      <c r="K10" s="53">
        <v>46023</v>
      </c>
      <c r="L10" s="51" t="s">
        <v>10</v>
      </c>
      <c r="M10" s="51" t="s">
        <v>67</v>
      </c>
      <c r="N10" s="51" t="s">
        <v>93</v>
      </c>
      <c r="O10" s="51" t="s">
        <v>94</v>
      </c>
      <c r="P10" s="21">
        <f t="shared" si="17"/>
        <v>5</v>
      </c>
      <c r="Q10" s="21">
        <f t="shared" ca="1" si="18"/>
        <v>237</v>
      </c>
      <c r="R10" s="22">
        <f t="shared" ca="1" si="19"/>
        <v>47.4</v>
      </c>
      <c r="S10" s="21">
        <f t="shared" ca="1" si="20"/>
        <v>425</v>
      </c>
      <c r="T10" s="21">
        <f t="shared" ca="1" si="21"/>
        <v>232</v>
      </c>
      <c r="U10" s="19" t="str">
        <f t="shared" ca="1" si="22"/>
        <v>ATRASADO</v>
      </c>
      <c r="V10" s="19" t="str">
        <f ca="1">IF($A10="","",IF(OR($U10="CONCLUÍDO",$U10="CANCELADO"),"—",IF($U10="BLOQUEADO",IF($N10="","BLOQUEADO SEM MOTIVO INFORMADO",$N10),IF($U10="SEM DATA DE ETAPA","INFORMAR A DATA DE INÍCIO DA ETAPA",IF($T10&gt;0,"SLA DA ETAPA "&amp;$I10&amp;" EXCEDIDO EM "&amp;$T10&amp;" DIA(S)",IF($AB10&gt;0,"DIVERGÊNCIA QUANTITATIVA EM "&amp;$AB10&amp;" ITEM(NS)",IF($S10&gt;SLA_Total,"PRAZO TOTAL ACIMA DE "&amp;SLA_Total&amp;" DIAS","FLUXO REGULAR")))))))</f>
        <v>SLA DA ETAPA VALIDAÇÃO E ENCERRAMENTO EXCEDIDO EM 232 DIA(S)</v>
      </c>
      <c r="W10" s="21">
        <f t="shared" si="23"/>
        <v>0</v>
      </c>
      <c r="X10" s="21">
        <f t="shared" si="24"/>
        <v>0</v>
      </c>
      <c r="Y10" s="21">
        <f t="shared" si="25"/>
        <v>0</v>
      </c>
      <c r="Z10" s="21">
        <f t="shared" si="26"/>
        <v>0</v>
      </c>
      <c r="AA10" s="21">
        <f t="shared" si="27"/>
        <v>0</v>
      </c>
      <c r="AB10" s="21">
        <f t="shared" si="28"/>
        <v>0</v>
      </c>
      <c r="AC10" s="21">
        <f t="shared" si="29"/>
        <v>0</v>
      </c>
      <c r="AD10" s="21">
        <f>IF($A10="","",IF(OR($L10="CONCLUÍDO",$L10="CANCELADO"),"",IF(AND(OR(Filtro_Unid="(TODAS AS UNIDADES)",$C10=Filtro_Unid),OR(Filtro_Proj="(TODOS OS PROJETOS)",$AE10=Filtro_Proj)),MAX($AD$4:AD9)+1,"")))</f>
        <v>5</v>
      </c>
      <c r="AE10" s="19" t="str">
        <f t="shared" si="30"/>
        <v>N/A04  ·  ARMAZÉM DE MILHO  ·  SNP</v>
      </c>
      <c r="AF10" s="21">
        <f t="shared" si="31"/>
        <v>11</v>
      </c>
    </row>
    <row r="11" spans="1:35" x14ac:dyDescent="0.3">
      <c r="A11" s="50" t="s">
        <v>95</v>
      </c>
      <c r="B11" s="51" t="s">
        <v>96</v>
      </c>
      <c r="C11" s="51" t="s">
        <v>63</v>
      </c>
      <c r="D11" s="51" t="s">
        <v>608</v>
      </c>
      <c r="E11" s="50">
        <v>200</v>
      </c>
      <c r="F11" s="19" t="str">
        <f t="shared" si="15"/>
        <v>RECEPÇÃO DE GRÃOS</v>
      </c>
      <c r="G11" s="51"/>
      <c r="H11" s="53">
        <v>45908</v>
      </c>
      <c r="I11" s="51" t="s">
        <v>72</v>
      </c>
      <c r="J11" s="19" t="str">
        <f t="shared" si="16"/>
        <v>MONITORAMENTO</v>
      </c>
      <c r="K11" s="53">
        <v>46023</v>
      </c>
      <c r="L11" s="51" t="s">
        <v>10</v>
      </c>
      <c r="M11" s="51" t="s">
        <v>67</v>
      </c>
      <c r="N11" s="51" t="s">
        <v>97</v>
      </c>
      <c r="O11" s="51" t="s">
        <v>98</v>
      </c>
      <c r="P11" s="21">
        <f t="shared" si="17"/>
        <v>5</v>
      </c>
      <c r="Q11" s="21">
        <f t="shared" ca="1" si="18"/>
        <v>237</v>
      </c>
      <c r="R11" s="22">
        <f t="shared" ca="1" si="19"/>
        <v>47.4</v>
      </c>
      <c r="S11" s="21">
        <f t="shared" ca="1" si="20"/>
        <v>352</v>
      </c>
      <c r="T11" s="21">
        <f t="shared" ca="1" si="21"/>
        <v>232</v>
      </c>
      <c r="U11" s="19" t="str">
        <f t="shared" ca="1" si="22"/>
        <v>ATRASADO</v>
      </c>
      <c r="V11" s="19" t="str">
        <f ca="1">IF($A11="","",IF(OR($U11="CONCLUÍDO",$U11="CANCELADO"),"—",IF($U11="BLOQUEADO",IF($N11="","BLOQUEADO SEM MOTIVO INFORMADO",$N11),IF($U11="SEM DATA DE ETAPA","INFORMAR A DATA DE INÍCIO DA ETAPA",IF($T11&gt;0,"SLA DA ETAPA "&amp;$I11&amp;" EXCEDIDO EM "&amp;$T11&amp;" DIA(S)",IF($AB11&gt;0,"DIVERGÊNCIA QUANTITATIVA EM "&amp;$AB11&amp;" ITEM(NS)",IF($S11&gt;SLA_Total,"PRAZO TOTAL ACIMA DE "&amp;SLA_Total&amp;" DIAS","FLUXO REGULAR")))))))</f>
        <v>SLA DA ETAPA VALIDAÇÃO E ENCERRAMENTO EXCEDIDO EM 232 DIA(S)</v>
      </c>
      <c r="W11" s="21">
        <f t="shared" si="23"/>
        <v>0</v>
      </c>
      <c r="X11" s="21">
        <f t="shared" si="24"/>
        <v>0</v>
      </c>
      <c r="Y11" s="21">
        <f t="shared" si="25"/>
        <v>0</v>
      </c>
      <c r="Z11" s="21">
        <f t="shared" si="26"/>
        <v>0</v>
      </c>
      <c r="AA11" s="21">
        <f t="shared" si="27"/>
        <v>0</v>
      </c>
      <c r="AB11" s="21">
        <f t="shared" si="28"/>
        <v>0</v>
      </c>
      <c r="AC11" s="21">
        <f t="shared" si="29"/>
        <v>0</v>
      </c>
      <c r="AD11" s="21">
        <f>IF($A11="","",IF(OR($L11="CONCLUÍDO",$L11="CANCELADO"),"",IF(AND(OR(Filtro_Unid="(TODAS AS UNIDADES)",$C11=Filtro_Unid),OR(Filtro_Proj="(TODOS OS PROJETOS)",$AE11=Filtro_Proj)),MAX($AD$4:AD10)+1,"")))</f>
        <v>6</v>
      </c>
      <c r="AE11" s="19" t="str">
        <f t="shared" si="30"/>
        <v>N/A05  ·  CLASSIFICAÇÃO + CONTROLE DE ACESSO  ·  SNP</v>
      </c>
      <c r="AF11" s="21">
        <f t="shared" si="31"/>
        <v>11</v>
      </c>
    </row>
    <row r="12" spans="1:35" x14ac:dyDescent="0.3">
      <c r="A12" s="50" t="s">
        <v>99</v>
      </c>
      <c r="B12" s="51" t="s">
        <v>100</v>
      </c>
      <c r="C12" s="51" t="s">
        <v>63</v>
      </c>
      <c r="D12" s="51" t="s">
        <v>101</v>
      </c>
      <c r="E12" s="50">
        <v>9</v>
      </c>
      <c r="F12" s="19" t="str">
        <f t="shared" si="15"/>
        <v>FATURAMENTO LOCAL</v>
      </c>
      <c r="G12" s="51" t="s">
        <v>102</v>
      </c>
      <c r="H12" s="53">
        <v>45859</v>
      </c>
      <c r="I12" s="51" t="s">
        <v>72</v>
      </c>
      <c r="J12" s="19" t="str">
        <f t="shared" si="16"/>
        <v>MONITORAMENTO</v>
      </c>
      <c r="K12" s="53">
        <v>46064</v>
      </c>
      <c r="L12" s="51" t="s">
        <v>103</v>
      </c>
      <c r="M12" s="51" t="s">
        <v>67</v>
      </c>
      <c r="N12" s="51"/>
      <c r="O12" s="51"/>
      <c r="P12" s="21">
        <f t="shared" si="17"/>
        <v>5</v>
      </c>
      <c r="Q12" s="21">
        <f t="shared" ca="1" si="18"/>
        <v>196</v>
      </c>
      <c r="R12" s="22">
        <f t="shared" ca="1" si="19"/>
        <v>39.200000000000003</v>
      </c>
      <c r="S12" s="21">
        <f t="shared" ca="1" si="20"/>
        <v>401</v>
      </c>
      <c r="T12" s="21">
        <f t="shared" ca="1" si="21"/>
        <v>191</v>
      </c>
      <c r="U12" s="19" t="str">
        <f t="shared" si="22"/>
        <v>CONCLUÍDO</v>
      </c>
      <c r="V12" s="19" t="str">
        <f>IF($A12="","",IF(OR($U12="CONCLUÍDO",$U12="CANCELADO"),"—",IF($U12="BLOQUEADO",IF($N12="","BLOQUEADO SEM MOTIVO INFORMADO",$N12),IF($U12="SEM DATA DE ETAPA","INFORMAR A DATA DE INÍCIO DA ETAPA",IF($T12&gt;0,"SLA DA ETAPA "&amp;$I12&amp;" EXCEDIDO EM "&amp;$T12&amp;" DIA(S)",IF($AB12&gt;0,"DIVERGÊNCIA QUANTITATIVA EM "&amp;$AB12&amp;" ITEM(NS)",IF($S12&gt;SLA_Total,"PRAZO TOTAL ACIMA DE "&amp;SLA_Total&amp;" DIAS","FLUXO REGULAR")))))))</f>
        <v>—</v>
      </c>
      <c r="W12" s="21">
        <f t="shared" si="23"/>
        <v>0</v>
      </c>
      <c r="X12" s="21">
        <f t="shared" si="24"/>
        <v>0</v>
      </c>
      <c r="Y12" s="21">
        <f t="shared" si="25"/>
        <v>0</v>
      </c>
      <c r="Z12" s="21">
        <f t="shared" si="26"/>
        <v>0</v>
      </c>
      <c r="AA12" s="21">
        <f t="shared" si="27"/>
        <v>0</v>
      </c>
      <c r="AB12" s="21">
        <f t="shared" si="28"/>
        <v>0</v>
      </c>
      <c r="AC12" s="21">
        <f t="shared" si="29"/>
        <v>0</v>
      </c>
      <c r="AD12" s="21" t="str">
        <f>IF($A12="","",IF(OR($L12="CONCLUÍDO",$L12="CANCELADO"),"",IF(AND(OR(Filtro_Unid="(TODAS AS UNIDADES)",$C12=Filtro_Unid),OR(Filtro_Proj="(TODOS OS PROJETOS)",$AE12=Filtro_Proj)),MAX($AD$4:AD11)+1,"")))</f>
        <v/>
      </c>
      <c r="AE12" s="19" t="str">
        <f t="shared" si="30"/>
        <v>N/A06  ·  MCA BALANÇAS  ·  SNP</v>
      </c>
      <c r="AF12" s="21">
        <f t="shared" si="31"/>
        <v>99</v>
      </c>
    </row>
    <row r="13" spans="1:35" x14ac:dyDescent="0.3">
      <c r="A13" s="50" t="s">
        <v>104</v>
      </c>
      <c r="B13" s="51" t="s">
        <v>105</v>
      </c>
      <c r="C13" s="51" t="s">
        <v>63</v>
      </c>
      <c r="D13" s="51" t="s">
        <v>106</v>
      </c>
      <c r="E13" s="50">
        <v>134</v>
      </c>
      <c r="F13" s="19" t="str">
        <f t="shared" si="15"/>
        <v>GERAÇÃO DE VAPOR</v>
      </c>
      <c r="G13" s="57" t="s">
        <v>614</v>
      </c>
      <c r="H13" s="53">
        <v>46027</v>
      </c>
      <c r="I13" s="51" t="s">
        <v>83</v>
      </c>
      <c r="J13" s="19" t="str">
        <f t="shared" si="16"/>
        <v>TI</v>
      </c>
      <c r="K13" s="53">
        <v>46290</v>
      </c>
      <c r="L13" s="51" t="s">
        <v>10</v>
      </c>
      <c r="M13" s="51" t="s">
        <v>67</v>
      </c>
      <c r="N13" s="51"/>
      <c r="O13" s="51" t="s">
        <v>107</v>
      </c>
      <c r="P13" s="21">
        <f t="shared" si="17"/>
        <v>10</v>
      </c>
      <c r="Q13" s="21">
        <f t="shared" ca="1" si="18"/>
        <v>0</v>
      </c>
      <c r="R13" s="22">
        <f t="shared" ca="1" si="19"/>
        <v>0</v>
      </c>
      <c r="S13" s="21">
        <f t="shared" ca="1" si="20"/>
        <v>233</v>
      </c>
      <c r="T13" s="21">
        <f t="shared" ca="1" si="21"/>
        <v>0</v>
      </c>
      <c r="U13" s="19" t="str">
        <f t="shared" ca="1" si="22"/>
        <v>NO PRAZO</v>
      </c>
      <c r="V13" s="19" t="str">
        <f ca="1">IF($A13="","",IF(OR($U13="CONCLUÍDO",$U13="CANCELADO"),"—",IF($U13="BLOQUEADO",IF($N13="","BLOQUEADO SEM MOTIVO INFORMADO",$N13),IF($U13="SEM DATA DE ETAPA","INFORMAR A DATA DE INÍCIO DA ETAPA",IF($T13&gt;0,"SLA DA ETAPA "&amp;$I13&amp;" EXCEDIDO EM "&amp;$T13&amp;" DIA(S)",IF($AB13&gt;0,"DIVERGÊNCIA QUANTITATIVA EM "&amp;$AB13&amp;" ITEM(NS)",IF($S13&gt;SLA_Total,"PRAZO TOTAL ACIMA DE "&amp;SLA_Total&amp;" DIAS","FLUXO REGULAR")))))))</f>
        <v>PRAZO TOTAL ACIMA DE 55 DIAS</v>
      </c>
      <c r="W13" s="21">
        <f t="shared" si="23"/>
        <v>0</v>
      </c>
      <c r="X13" s="21">
        <f t="shared" si="24"/>
        <v>0</v>
      </c>
      <c r="Y13" s="21">
        <f t="shared" si="25"/>
        <v>0</v>
      </c>
      <c r="Z13" s="21">
        <f t="shared" si="26"/>
        <v>0</v>
      </c>
      <c r="AA13" s="21">
        <f t="shared" si="27"/>
        <v>0</v>
      </c>
      <c r="AB13" s="21">
        <f t="shared" si="28"/>
        <v>0</v>
      </c>
      <c r="AC13" s="21" t="str">
        <f t="shared" si="29"/>
        <v/>
      </c>
      <c r="AD13" s="21">
        <f>IF($A13="","",IF(OR($L13="CONCLUÍDO",$L13="CANCELADO"),"",IF(AND(OR(Filtro_Unid="(TODAS AS UNIDADES)",$C13=Filtro_Unid),OR(Filtro_Proj="(TODOS OS PROJETOS)",$AE13=Filtro_Proj)),MAX($AD$4:AD12)+1,"")))</f>
        <v>7</v>
      </c>
      <c r="AE13" s="19" t="str">
        <f t="shared" si="30"/>
        <v>N/A07  ·  REFORMA CALDEIRA I E II  ·  SNP</v>
      </c>
      <c r="AF13" s="21">
        <f t="shared" si="31"/>
        <v>6</v>
      </c>
    </row>
    <row r="14" spans="1:35" x14ac:dyDescent="0.3">
      <c r="A14" s="50" t="s">
        <v>108</v>
      </c>
      <c r="B14" s="51" t="s">
        <v>109</v>
      </c>
      <c r="C14" s="51" t="s">
        <v>63</v>
      </c>
      <c r="D14" s="51" t="s">
        <v>110</v>
      </c>
      <c r="E14" s="50">
        <v>32</v>
      </c>
      <c r="F14" s="19" t="str">
        <f t="shared" si="15"/>
        <v>DIRETORIA DE SSO</v>
      </c>
      <c r="G14" s="51"/>
      <c r="H14" s="53">
        <v>45894</v>
      </c>
      <c r="I14" s="51" t="s">
        <v>72</v>
      </c>
      <c r="J14" s="19" t="str">
        <f t="shared" si="16"/>
        <v>MONITORAMENTO</v>
      </c>
      <c r="K14" s="53">
        <v>46023</v>
      </c>
      <c r="L14" s="51" t="s">
        <v>103</v>
      </c>
      <c r="M14" s="51" t="s">
        <v>67</v>
      </c>
      <c r="N14" s="51"/>
      <c r="O14" s="51"/>
      <c r="P14" s="21">
        <f t="shared" si="17"/>
        <v>5</v>
      </c>
      <c r="Q14" s="21">
        <f t="shared" ca="1" si="18"/>
        <v>237</v>
      </c>
      <c r="R14" s="22">
        <f t="shared" ca="1" si="19"/>
        <v>47.4</v>
      </c>
      <c r="S14" s="21">
        <f t="shared" ca="1" si="20"/>
        <v>366</v>
      </c>
      <c r="T14" s="21">
        <f t="shared" ca="1" si="21"/>
        <v>232</v>
      </c>
      <c r="U14" s="19" t="str">
        <f t="shared" si="22"/>
        <v>CONCLUÍDO</v>
      </c>
      <c r="V14" s="19" t="str">
        <f>IF($A14="","",IF(OR($U14="CONCLUÍDO",$U14="CANCELADO"),"—",IF($U14="BLOQUEADO",IF($N14="","BLOQUEADO SEM MOTIVO INFORMADO",$N14),IF($U14="SEM DATA DE ETAPA","INFORMAR A DATA DE INÍCIO DA ETAPA",IF($T14&gt;0,"SLA DA ETAPA "&amp;$I14&amp;" EXCEDIDO EM "&amp;$T14&amp;" DIA(S)",IF($AB14&gt;0,"DIVERGÊNCIA QUANTITATIVA EM "&amp;$AB14&amp;" ITEM(NS)",IF($S14&gt;SLA_Total,"PRAZO TOTAL ACIMA DE "&amp;SLA_Total&amp;" DIAS","FLUXO REGULAR")))))))</f>
        <v>—</v>
      </c>
      <c r="W14" s="21">
        <f t="shared" si="23"/>
        <v>0</v>
      </c>
      <c r="X14" s="21">
        <f t="shared" si="24"/>
        <v>0</v>
      </c>
      <c r="Y14" s="21">
        <f t="shared" si="25"/>
        <v>0</v>
      </c>
      <c r="Z14" s="21">
        <f t="shared" si="26"/>
        <v>0</v>
      </c>
      <c r="AA14" s="21">
        <f t="shared" si="27"/>
        <v>0</v>
      </c>
      <c r="AB14" s="21">
        <f t="shared" si="28"/>
        <v>0</v>
      </c>
      <c r="AC14" s="21">
        <f t="shared" si="29"/>
        <v>0</v>
      </c>
      <c r="AD14" s="21" t="str">
        <f>IF($A14="","",IF(OR($L14="CONCLUÍDO",$L14="CANCELADO"),"",IF(AND(OR(Filtro_Unid="(TODAS AS UNIDADES)",$C14=Filtro_Unid),OR(Filtro_Proj="(TODOS OS PROJETOS)",$AE14=Filtro_Proj)),MAX($AD$4:AD13)+1,"")))</f>
        <v/>
      </c>
      <c r="AE14" s="19" t="str">
        <f t="shared" si="30"/>
        <v>N/A08  ·  CASA DE BOMBAS  ·  SNP</v>
      </c>
      <c r="AF14" s="21">
        <f t="shared" si="31"/>
        <v>99</v>
      </c>
    </row>
    <row r="15" spans="1:35" x14ac:dyDescent="0.3">
      <c r="A15" s="50" t="s">
        <v>111</v>
      </c>
      <c r="B15" s="51" t="s">
        <v>112</v>
      </c>
      <c r="C15" s="51" t="s">
        <v>63</v>
      </c>
      <c r="D15" s="51" t="s">
        <v>113</v>
      </c>
      <c r="E15" s="50">
        <v>114</v>
      </c>
      <c r="F15" s="19" t="str">
        <f t="shared" si="15"/>
        <v>PROCESSOS INDUSTRIAIS</v>
      </c>
      <c r="G15" s="51" t="s">
        <v>114</v>
      </c>
      <c r="H15" s="53">
        <v>45884</v>
      </c>
      <c r="I15" s="51" t="s">
        <v>72</v>
      </c>
      <c r="J15" s="19" t="str">
        <f t="shared" si="16"/>
        <v>MONITORAMENTO</v>
      </c>
      <c r="K15" s="53">
        <v>46023</v>
      </c>
      <c r="L15" s="51" t="s">
        <v>103</v>
      </c>
      <c r="M15" s="51" t="s">
        <v>67</v>
      </c>
      <c r="N15" s="51"/>
      <c r="O15" s="51"/>
      <c r="P15" s="21">
        <f t="shared" si="17"/>
        <v>5</v>
      </c>
      <c r="Q15" s="21">
        <f t="shared" ca="1" si="18"/>
        <v>237</v>
      </c>
      <c r="R15" s="22">
        <f t="shared" ca="1" si="19"/>
        <v>47.4</v>
      </c>
      <c r="S15" s="21">
        <f t="shared" ca="1" si="20"/>
        <v>376</v>
      </c>
      <c r="T15" s="21">
        <f t="shared" ca="1" si="21"/>
        <v>232</v>
      </c>
      <c r="U15" s="19" t="str">
        <f t="shared" si="22"/>
        <v>CONCLUÍDO</v>
      </c>
      <c r="V15" s="19" t="str">
        <f>IF($A15="","",IF(OR($U15="CONCLUÍDO",$U15="CANCELADO"),"—",IF($U15="BLOQUEADO",IF($N15="","BLOQUEADO SEM MOTIVO INFORMADO",$N15),IF($U15="SEM DATA DE ETAPA","INFORMAR A DATA DE INÍCIO DA ETAPA",IF($T15&gt;0,"SLA DA ETAPA "&amp;$I15&amp;" EXCEDIDO EM "&amp;$T15&amp;" DIA(S)",IF($AB15&gt;0,"DIVERGÊNCIA QUANTITATIVA EM "&amp;$AB15&amp;" ITEM(NS)",IF($S15&gt;SLA_Total,"PRAZO TOTAL ACIMA DE "&amp;SLA_Total&amp;" DIAS","FLUXO REGULAR")))))))</f>
        <v>—</v>
      </c>
      <c r="W15" s="21">
        <f t="shared" si="23"/>
        <v>0</v>
      </c>
      <c r="X15" s="21">
        <f t="shared" si="24"/>
        <v>0</v>
      </c>
      <c r="Y15" s="21">
        <f t="shared" si="25"/>
        <v>0</v>
      </c>
      <c r="Z15" s="21">
        <f t="shared" si="26"/>
        <v>0</v>
      </c>
      <c r="AA15" s="21">
        <f t="shared" si="27"/>
        <v>0</v>
      </c>
      <c r="AB15" s="21">
        <f t="shared" si="28"/>
        <v>0</v>
      </c>
      <c r="AC15" s="21">
        <f t="shared" si="29"/>
        <v>0</v>
      </c>
      <c r="AD15" s="21" t="str">
        <f>IF($A15="","",IF(OR($L15="CONCLUÍDO",$L15="CANCELADO"),"",IF(AND(OR(Filtro_Unid="(TODAS AS UNIDADES)",$C15=Filtro_Unid),OR(Filtro_Proj="(TODOS OS PROJETOS)",$AE15=Filtro_Proj)),MAX($AD$4:AD14)+1,"")))</f>
        <v/>
      </c>
      <c r="AE15" s="19" t="str">
        <f t="shared" si="30"/>
        <v>N/A09  ·  MANIPULAÇÃO DE QUÍMICOS  ·  SNP</v>
      </c>
      <c r="AF15" s="21">
        <f t="shared" si="31"/>
        <v>99</v>
      </c>
    </row>
    <row r="16" spans="1:35" x14ac:dyDescent="0.3">
      <c r="A16" s="50" t="s">
        <v>115</v>
      </c>
      <c r="B16" s="51" t="s">
        <v>116</v>
      </c>
      <c r="C16" s="51" t="s">
        <v>63</v>
      </c>
      <c r="D16" s="51" t="s">
        <v>101</v>
      </c>
      <c r="E16" s="50">
        <v>9</v>
      </c>
      <c r="F16" s="19" t="str">
        <f t="shared" si="15"/>
        <v>FATURAMENTO LOCAL</v>
      </c>
      <c r="G16" s="51" t="s">
        <v>102</v>
      </c>
      <c r="H16" s="53">
        <v>46244</v>
      </c>
      <c r="I16" s="51" t="s">
        <v>72</v>
      </c>
      <c r="J16" s="19" t="str">
        <f t="shared" si="16"/>
        <v>MONITORAMENTO</v>
      </c>
      <c r="K16" s="53">
        <v>46259</v>
      </c>
      <c r="L16" s="51" t="s">
        <v>103</v>
      </c>
      <c r="M16" s="51" t="s">
        <v>67</v>
      </c>
      <c r="N16" s="51"/>
      <c r="O16" s="51"/>
      <c r="P16" s="21">
        <f t="shared" si="17"/>
        <v>5</v>
      </c>
      <c r="Q16" s="21">
        <f t="shared" ca="1" si="18"/>
        <v>1</v>
      </c>
      <c r="R16" s="22">
        <f t="shared" ca="1" si="19"/>
        <v>0.2</v>
      </c>
      <c r="S16" s="21">
        <f t="shared" ca="1" si="20"/>
        <v>16</v>
      </c>
      <c r="T16" s="21">
        <f t="shared" ca="1" si="21"/>
        <v>0</v>
      </c>
      <c r="U16" s="19" t="str">
        <f t="shared" si="22"/>
        <v>CONCLUÍDO</v>
      </c>
      <c r="V16" s="19" t="str">
        <f>IF($A16="","",IF(OR($U16="CONCLUÍDO",$U16="CANCELADO"),"—",IF($U16="BLOQUEADO",IF($N16="","BLOQUEADO SEM MOTIVO INFORMADO",$N16),IF($U16="SEM DATA DE ETAPA","INFORMAR A DATA DE INÍCIO DA ETAPA",IF($T16&gt;0,"SLA DA ETAPA "&amp;$I16&amp;" EXCEDIDO EM "&amp;$T16&amp;" DIA(S)",IF($AB16&gt;0,"DIVERGÊNCIA QUANTITATIVA EM "&amp;$AB16&amp;" ITEM(NS)",IF($S16&gt;SLA_Total,"PRAZO TOTAL ACIMA DE "&amp;SLA_Total&amp;" DIAS","FLUXO REGULAR")))))))</f>
        <v>—</v>
      </c>
      <c r="W16" s="21">
        <f t="shared" si="23"/>
        <v>0</v>
      </c>
      <c r="X16" s="21">
        <f t="shared" si="24"/>
        <v>0</v>
      </c>
      <c r="Y16" s="21">
        <f t="shared" si="25"/>
        <v>0</v>
      </c>
      <c r="Z16" s="21">
        <f t="shared" si="26"/>
        <v>0</v>
      </c>
      <c r="AA16" s="21">
        <f t="shared" si="27"/>
        <v>0</v>
      </c>
      <c r="AB16" s="21">
        <f t="shared" si="28"/>
        <v>0</v>
      </c>
      <c r="AC16" s="21">
        <f t="shared" si="29"/>
        <v>0</v>
      </c>
      <c r="AD16" s="21" t="str">
        <f>IF($A16="","",IF(OR($L16="CONCLUÍDO",$L16="CANCELADO"),"",IF(AND(OR(Filtro_Unid="(TODAS AS UNIDADES)",$C16=Filtro_Unid),OR(Filtro_Proj="(TODOS OS PROJETOS)",$AE16=Filtro_Proj)),MAX($AD$4:AD15)+1,"")))</f>
        <v/>
      </c>
      <c r="AE16" s="19" t="str">
        <f t="shared" si="30"/>
        <v>N/A10  ·  CAIXA D'AGUA  ·  SNP</v>
      </c>
      <c r="AF16" s="21">
        <f t="shared" si="31"/>
        <v>99</v>
      </c>
    </row>
    <row r="17" spans="1:32" x14ac:dyDescent="0.3">
      <c r="A17" s="50" t="s">
        <v>117</v>
      </c>
      <c r="B17" s="51" t="s">
        <v>118</v>
      </c>
      <c r="C17" s="51" t="s">
        <v>119</v>
      </c>
      <c r="D17" s="51" t="s">
        <v>81</v>
      </c>
      <c r="E17" s="50"/>
      <c r="F17" s="19" t="str">
        <f t="shared" si="15"/>
        <v/>
      </c>
      <c r="G17" s="51" t="s">
        <v>102</v>
      </c>
      <c r="H17" s="53">
        <v>46216</v>
      </c>
      <c r="I17" s="51" t="s">
        <v>120</v>
      </c>
      <c r="J17" s="19" t="str">
        <f t="shared" si="16"/>
        <v>SUPRIMENTOS</v>
      </c>
      <c r="K17" s="53">
        <v>46235</v>
      </c>
      <c r="L17" s="51" t="s">
        <v>10</v>
      </c>
      <c r="M17" s="51" t="s">
        <v>67</v>
      </c>
      <c r="N17" s="51"/>
      <c r="O17" s="51"/>
      <c r="P17" s="21">
        <f t="shared" si="17"/>
        <v>10</v>
      </c>
      <c r="Q17" s="21">
        <f t="shared" ca="1" si="18"/>
        <v>25</v>
      </c>
      <c r="R17" s="22">
        <f t="shared" ca="1" si="19"/>
        <v>2.5</v>
      </c>
      <c r="S17" s="21">
        <f t="shared" ca="1" si="20"/>
        <v>44</v>
      </c>
      <c r="T17" s="21">
        <f t="shared" ca="1" si="21"/>
        <v>15</v>
      </c>
      <c r="U17" s="19" t="str">
        <f t="shared" ca="1" si="22"/>
        <v>ATRASADO</v>
      </c>
      <c r="V17" s="19" t="str">
        <f ca="1">IF($A17="","",IF(OR($U17="CONCLUÍDO",$U17="CANCELADO"),"—",IF($U17="BLOQUEADO",IF($N17="","BLOQUEADO SEM MOTIVO INFORMADO",$N17),IF($U17="SEM DATA DE ETAPA","INFORMAR A DATA DE INÍCIO DA ETAPA",IF($T17&gt;0,"SLA DA ETAPA "&amp;$I17&amp;" EXCEDIDO EM "&amp;$T17&amp;" DIA(S)",IF($AB17&gt;0,"DIVERGÊNCIA QUANTITATIVA EM "&amp;$AB17&amp;" ITEM(NS)",IF($S17&gt;SLA_Total,"PRAZO TOTAL ACIMA DE "&amp;SLA_Total&amp;" DIAS","FLUXO REGULAR")))))))</f>
        <v>SLA DA ETAPA FLUXO DE SUPRIMENTOS EXCEDIDO EM 15 DIA(S)</v>
      </c>
      <c r="W17" s="21">
        <f t="shared" si="23"/>
        <v>0</v>
      </c>
      <c r="X17" s="21">
        <f t="shared" si="24"/>
        <v>0</v>
      </c>
      <c r="Y17" s="21">
        <f t="shared" si="25"/>
        <v>0</v>
      </c>
      <c r="Z17" s="21">
        <f t="shared" si="26"/>
        <v>0</v>
      </c>
      <c r="AA17" s="21">
        <f t="shared" si="27"/>
        <v>0</v>
      </c>
      <c r="AB17" s="21">
        <f t="shared" si="28"/>
        <v>0</v>
      </c>
      <c r="AC17" s="21" t="str">
        <f t="shared" si="29"/>
        <v/>
      </c>
      <c r="AD17" s="21">
        <f>IF($A17="","",IF(OR($L17="CONCLUÍDO",$L17="CANCELADO"),"",IF(AND(OR(Filtro_Unid="(TODAS AS UNIDADES)",$C17=Filtro_Unid),OR(Filtro_Proj="(TODOS OS PROJETOS)",$AE17=Filtro_Proj)),MAX($AD$4:AD16)+1,"")))</f>
        <v>8</v>
      </c>
      <c r="AE17" s="19" t="str">
        <f t="shared" si="30"/>
        <v>N/A11  ·  BULKMETER  ·  MTU</v>
      </c>
      <c r="AF17" s="21">
        <f t="shared" si="31"/>
        <v>3</v>
      </c>
    </row>
    <row r="18" spans="1:32" x14ac:dyDescent="0.3">
      <c r="A18" s="50" t="s">
        <v>121</v>
      </c>
      <c r="B18" s="51" t="s">
        <v>96</v>
      </c>
      <c r="C18" s="51" t="s">
        <v>119</v>
      </c>
      <c r="D18" s="51" t="s">
        <v>92</v>
      </c>
      <c r="E18" s="50">
        <v>202</v>
      </c>
      <c r="F18" s="19" t="str">
        <f t="shared" si="15"/>
        <v>ARMAZENAGEM DE GRÃOS</v>
      </c>
      <c r="G18" s="51" t="s">
        <v>122</v>
      </c>
      <c r="H18" s="53">
        <v>45865</v>
      </c>
      <c r="I18" s="51" t="s">
        <v>72</v>
      </c>
      <c r="J18" s="19" t="str">
        <f t="shared" si="16"/>
        <v>MONITORAMENTO</v>
      </c>
      <c r="K18" s="53">
        <v>46235</v>
      </c>
      <c r="L18" s="51" t="s">
        <v>10</v>
      </c>
      <c r="M18" s="51" t="s">
        <v>67</v>
      </c>
      <c r="N18" s="51" t="s">
        <v>97</v>
      </c>
      <c r="O18" s="51" t="s">
        <v>98</v>
      </c>
      <c r="P18" s="21">
        <f t="shared" si="17"/>
        <v>5</v>
      </c>
      <c r="Q18" s="21">
        <f t="shared" ca="1" si="18"/>
        <v>25</v>
      </c>
      <c r="R18" s="22">
        <f t="shared" ca="1" si="19"/>
        <v>5</v>
      </c>
      <c r="S18" s="21">
        <f t="shared" ca="1" si="20"/>
        <v>395</v>
      </c>
      <c r="T18" s="21">
        <f t="shared" ca="1" si="21"/>
        <v>20</v>
      </c>
      <c r="U18" s="19" t="str">
        <f t="shared" ca="1" si="22"/>
        <v>ATRASADO</v>
      </c>
      <c r="V18" s="19" t="str">
        <f ca="1">IF($A18="","",IF(OR($U18="CONCLUÍDO",$U18="CANCELADO"),"—",IF($U18="BLOQUEADO",IF($N18="","BLOQUEADO SEM MOTIVO INFORMADO",$N18),IF($U18="SEM DATA DE ETAPA","INFORMAR A DATA DE INÍCIO DA ETAPA",IF($T18&gt;0,"SLA DA ETAPA "&amp;$I18&amp;" EXCEDIDO EM "&amp;$T18&amp;" DIA(S)",IF($AB18&gt;0,"DIVERGÊNCIA QUANTITATIVA EM "&amp;$AB18&amp;" ITEM(NS)",IF($S18&gt;SLA_Total,"PRAZO TOTAL ACIMA DE "&amp;SLA_Total&amp;" DIAS","FLUXO REGULAR")))))))</f>
        <v>SLA DA ETAPA VALIDAÇÃO E ENCERRAMENTO EXCEDIDO EM 20 DIA(S)</v>
      </c>
      <c r="W18" s="21">
        <f t="shared" si="23"/>
        <v>0</v>
      </c>
      <c r="X18" s="21">
        <f t="shared" si="24"/>
        <v>0</v>
      </c>
      <c r="Y18" s="21">
        <f t="shared" si="25"/>
        <v>0</v>
      </c>
      <c r="Z18" s="21">
        <f t="shared" si="26"/>
        <v>0</v>
      </c>
      <c r="AA18" s="21">
        <f t="shared" si="27"/>
        <v>0</v>
      </c>
      <c r="AB18" s="21">
        <f t="shared" si="28"/>
        <v>0</v>
      </c>
      <c r="AC18" s="21">
        <f t="shared" si="29"/>
        <v>0</v>
      </c>
      <c r="AD18" s="21">
        <f>IF($A18="","",IF(OR($L18="CONCLUÍDO",$L18="CANCELADO"),"",IF(AND(OR(Filtro_Unid="(TODAS AS UNIDADES)",$C18=Filtro_Unid),OR(Filtro_Proj="(TODOS OS PROJETOS)",$AE18=Filtro_Proj)),MAX($AD$4:AD17)+1,"")))</f>
        <v>9</v>
      </c>
      <c r="AE18" s="19" t="str">
        <f t="shared" si="30"/>
        <v>N/A12  ·  CLASSIFICAÇÃO + CONTROLE DE ACESSO  ·  MTU</v>
      </c>
      <c r="AF18" s="21">
        <f t="shared" si="31"/>
        <v>11</v>
      </c>
    </row>
    <row r="19" spans="1:32" x14ac:dyDescent="0.3">
      <c r="A19" s="50" t="s">
        <v>123</v>
      </c>
      <c r="B19" s="51" t="s">
        <v>124</v>
      </c>
      <c r="C19" s="51" t="s">
        <v>119</v>
      </c>
      <c r="D19" s="51" t="s">
        <v>64</v>
      </c>
      <c r="E19" s="50">
        <v>135</v>
      </c>
      <c r="F19" s="19" t="str">
        <f t="shared" si="15"/>
        <v>GERAÇÃO E DISTRIBUIÇÃO DE ENERGIA</v>
      </c>
      <c r="G19" s="51" t="s">
        <v>65</v>
      </c>
      <c r="H19" s="53">
        <v>45976</v>
      </c>
      <c r="I19" s="51" t="s">
        <v>320</v>
      </c>
      <c r="J19" s="19" t="str">
        <f t="shared" si="16"/>
        <v>ELÉTRICA</v>
      </c>
      <c r="K19" s="53">
        <v>46233</v>
      </c>
      <c r="L19" s="51" t="s">
        <v>10</v>
      </c>
      <c r="M19" s="51" t="s">
        <v>67</v>
      </c>
      <c r="N19" s="51"/>
      <c r="O19" s="51" t="s">
        <v>68</v>
      </c>
      <c r="P19" s="21">
        <f t="shared" si="17"/>
        <v>10</v>
      </c>
      <c r="Q19" s="21">
        <f t="shared" ca="1" si="18"/>
        <v>27</v>
      </c>
      <c r="R19" s="22">
        <f t="shared" ca="1" si="19"/>
        <v>2.7</v>
      </c>
      <c r="S19" s="21">
        <f t="shared" ca="1" si="20"/>
        <v>284</v>
      </c>
      <c r="T19" s="21">
        <f t="shared" ca="1" si="21"/>
        <v>17</v>
      </c>
      <c r="U19" s="19" t="str">
        <f t="shared" ca="1" si="22"/>
        <v>ATRASADO</v>
      </c>
      <c r="V19" s="19" t="str">
        <f ca="1">IF($A19="","",IF(OR($U19="CONCLUÍDO",$U19="CANCELADO"),"—",IF($U19="BLOQUEADO",IF($N19="","BLOQUEADO SEM MOTIVO INFORMADO",$N19),IF($U19="SEM DATA DE ETAPA","INFORMAR A DATA DE INÍCIO DA ETAPA",IF($T19&gt;0,"SLA DA ETAPA "&amp;$I19&amp;" EXCEDIDO EM "&amp;$T19&amp;" DIA(S)",IF($AB19&gt;0,"DIVERGÊNCIA QUANTITATIVA EM "&amp;$AB19&amp;" ITEM(NS)",IF($S19&gt;SLA_Total,"PRAZO TOTAL ACIMA DE "&amp;SLA_Total&amp;" DIAS","FLUXO REGULAR")))))))</f>
        <v>SLA DA ETAPA ALIMENTAÇÃO ELÉTRICA EXCEDIDO EM 17 DIA(S)</v>
      </c>
      <c r="W19" s="21">
        <f t="shared" si="23"/>
        <v>4</v>
      </c>
      <c r="X19" s="21">
        <f t="shared" si="24"/>
        <v>0</v>
      </c>
      <c r="Y19" s="21">
        <f t="shared" si="25"/>
        <v>0</v>
      </c>
      <c r="Z19" s="21">
        <f t="shared" si="26"/>
        <v>1</v>
      </c>
      <c r="AA19" s="21">
        <f t="shared" si="27"/>
        <v>0</v>
      </c>
      <c r="AB19" s="21">
        <f t="shared" si="28"/>
        <v>2</v>
      </c>
      <c r="AC19" s="21" t="str">
        <f t="shared" si="29"/>
        <v/>
      </c>
      <c r="AD19" s="21">
        <f>IF($A19="","",IF(OR($L19="CONCLUÍDO",$L19="CANCELADO"),"",IF(AND(OR(Filtro_Unid="(TODAS AS UNIDADES)",$C19=Filtro_Unid),OR(Filtro_Proj="(TODOS OS PROJETOS)",$AE19=Filtro_Proj)),MAX($AD$4:AD18)+1,"")))</f>
        <v>10</v>
      </c>
      <c r="AE19" s="19" t="str">
        <f t="shared" si="30"/>
        <v>N/A13  ·  CASA DE FORÇA - 02  ·  MTU</v>
      </c>
      <c r="AF19" s="21">
        <f t="shared" si="31"/>
        <v>7</v>
      </c>
    </row>
    <row r="20" spans="1:32" x14ac:dyDescent="0.3">
      <c r="A20" s="50" t="s">
        <v>125</v>
      </c>
      <c r="B20" s="51" t="s">
        <v>126</v>
      </c>
      <c r="C20" s="51" t="s">
        <v>127</v>
      </c>
      <c r="D20" s="51" t="s">
        <v>126</v>
      </c>
      <c r="E20" s="50">
        <v>179</v>
      </c>
      <c r="F20" s="19" t="str">
        <f t="shared" si="15"/>
        <v>ARMAZENAGEM DE DDGS</v>
      </c>
      <c r="G20" s="51" t="s">
        <v>128</v>
      </c>
      <c r="H20" s="53">
        <v>46240</v>
      </c>
      <c r="I20" s="51" t="s">
        <v>129</v>
      </c>
      <c r="J20" s="19" t="str">
        <f t="shared" si="16"/>
        <v>MONITORAMENTO</v>
      </c>
      <c r="K20" s="53">
        <v>46259</v>
      </c>
      <c r="L20" s="51" t="s">
        <v>10</v>
      </c>
      <c r="M20" s="51" t="s">
        <v>67</v>
      </c>
      <c r="N20" s="51"/>
      <c r="O20" s="51"/>
      <c r="P20" s="21">
        <f t="shared" si="17"/>
        <v>3</v>
      </c>
      <c r="Q20" s="21">
        <f t="shared" ca="1" si="18"/>
        <v>1</v>
      </c>
      <c r="R20" s="22">
        <f t="shared" ca="1" si="19"/>
        <v>0.33333333333333331</v>
      </c>
      <c r="S20" s="21">
        <f t="shared" ca="1" si="20"/>
        <v>20</v>
      </c>
      <c r="T20" s="21">
        <f t="shared" ca="1" si="21"/>
        <v>0</v>
      </c>
      <c r="U20" s="19" t="str">
        <f t="shared" ca="1" si="22"/>
        <v>NO PRAZO</v>
      </c>
      <c r="V20" s="19" t="str">
        <f ca="1">IF($A20="","",IF(OR($U20="CONCLUÍDO",$U20="CANCELADO"),"—",IF($U20="BLOQUEADO",IF($N20="","BLOQUEADO SEM MOTIVO INFORMADO",$N20),IF($U20="SEM DATA DE ETAPA","INFORMAR A DATA DE INÍCIO DA ETAPA",IF($T20&gt;0,"SLA DA ETAPA "&amp;$I20&amp;" EXCEDIDO EM "&amp;$T20&amp;" DIA(S)",IF($AB20&gt;0,"DIVERGÊNCIA QUANTITATIVA EM "&amp;$AB20&amp;" ITEM(NS)",IF($S20&gt;SLA_Total,"PRAZO TOTAL ACIMA DE "&amp;SLA_Total&amp;" DIAS","FLUXO REGULAR")))))))</f>
        <v>FLUXO REGULAR</v>
      </c>
      <c r="W20" s="21">
        <f t="shared" si="23"/>
        <v>0</v>
      </c>
      <c r="X20" s="21">
        <f t="shared" si="24"/>
        <v>0</v>
      </c>
      <c r="Y20" s="21">
        <f t="shared" si="25"/>
        <v>0</v>
      </c>
      <c r="Z20" s="21">
        <f t="shared" si="26"/>
        <v>0</v>
      </c>
      <c r="AA20" s="21">
        <f t="shared" si="27"/>
        <v>0</v>
      </c>
      <c r="AB20" s="21">
        <f t="shared" si="28"/>
        <v>0</v>
      </c>
      <c r="AC20" s="21" t="str">
        <f t="shared" si="29"/>
        <v/>
      </c>
      <c r="AD20" s="21">
        <f>IF($A20="","",IF(OR($L20="CONCLUÍDO",$L20="CANCELADO"),"",IF(AND(OR(Filtro_Unid="(TODAS AS UNIDADES)",$C20=Filtro_Unid),OR(Filtro_Proj="(TODOS OS PROJETOS)",$AE20=Filtro_Proj)),MAX($AD$4:AD19)+1,"")))</f>
        <v>11</v>
      </c>
      <c r="AE20" s="19" t="str">
        <f t="shared" si="30"/>
        <v>N/A14  ·  ARMAZÉM DDGS  ·  DRD</v>
      </c>
      <c r="AF20" s="21">
        <f t="shared" si="31"/>
        <v>2</v>
      </c>
    </row>
    <row r="21" spans="1:32" x14ac:dyDescent="0.3">
      <c r="A21" s="50" t="s">
        <v>130</v>
      </c>
      <c r="B21" s="51" t="s">
        <v>131</v>
      </c>
      <c r="C21" s="51" t="s">
        <v>127</v>
      </c>
      <c r="D21" s="51" t="s">
        <v>106</v>
      </c>
      <c r="E21" s="50">
        <v>134</v>
      </c>
      <c r="F21" s="19" t="str">
        <f t="shared" si="15"/>
        <v>GERAÇÃO DE VAPOR</v>
      </c>
      <c r="G21" s="57" t="s">
        <v>614</v>
      </c>
      <c r="H21" s="53">
        <v>45835</v>
      </c>
      <c r="I21" s="51" t="s">
        <v>66</v>
      </c>
      <c r="J21" s="19" t="str">
        <f t="shared" si="16"/>
        <v>FORNECEDOR</v>
      </c>
      <c r="K21" s="53">
        <v>46023</v>
      </c>
      <c r="L21" s="51" t="s">
        <v>10</v>
      </c>
      <c r="M21" s="51" t="s">
        <v>67</v>
      </c>
      <c r="N21" s="51"/>
      <c r="O21" s="51"/>
      <c r="P21" s="21">
        <f t="shared" si="17"/>
        <v>35</v>
      </c>
      <c r="Q21" s="21">
        <f t="shared" ca="1" si="18"/>
        <v>237</v>
      </c>
      <c r="R21" s="22">
        <f t="shared" ca="1" si="19"/>
        <v>6.7714285714285714</v>
      </c>
      <c r="S21" s="21">
        <f t="shared" ca="1" si="20"/>
        <v>425</v>
      </c>
      <c r="T21" s="21">
        <f t="shared" ca="1" si="21"/>
        <v>202</v>
      </c>
      <c r="U21" s="19" t="str">
        <f t="shared" ca="1" si="22"/>
        <v>ATRASADO</v>
      </c>
      <c r="V21" s="19" t="str">
        <f ca="1">IF($A21="","",IF(OR($U21="CONCLUÍDO",$U21="CANCELADO"),"—",IF($U21="BLOQUEADO",IF($N21="","BLOQUEADO SEM MOTIVO INFORMADO",$N21),IF($U21="SEM DATA DE ETAPA","INFORMAR A DATA DE INÍCIO DA ETAPA",IF($T21&gt;0,"SLA DA ETAPA "&amp;$I21&amp;" EXCEDIDO EM "&amp;$T21&amp;" DIA(S)",IF($AB21&gt;0,"DIVERGÊNCIA QUANTITATIVA EM "&amp;$AB21&amp;" ITEM(NS)",IF($S21&gt;SLA_Total,"PRAZO TOTAL ACIMA DE "&amp;SLA_Total&amp;" DIAS","FLUXO REGULAR")))))))</f>
        <v>SLA DA ETAPA ENTREGA DO MATERIAL EXCEDIDO EM 202 DIA(S)</v>
      </c>
      <c r="W21" s="21">
        <f t="shared" si="23"/>
        <v>0</v>
      </c>
      <c r="X21" s="21">
        <f t="shared" si="24"/>
        <v>0</v>
      </c>
      <c r="Y21" s="21">
        <f t="shared" si="25"/>
        <v>0</v>
      </c>
      <c r="Z21" s="21">
        <f t="shared" si="26"/>
        <v>0</v>
      </c>
      <c r="AA21" s="21">
        <f t="shared" si="27"/>
        <v>0</v>
      </c>
      <c r="AB21" s="21">
        <f t="shared" si="28"/>
        <v>0</v>
      </c>
      <c r="AC21" s="21" t="str">
        <f t="shared" si="29"/>
        <v/>
      </c>
      <c r="AD21" s="21">
        <f>IF($A21="","",IF(OR($L21="CONCLUÍDO",$L21="CANCELADO"),"",IF(AND(OR(Filtro_Unid="(TODAS AS UNIDADES)",$C21=Filtro_Unid),OR(Filtro_Proj="(TODOS OS PROJETOS)",$AE21=Filtro_Proj)),MAX($AD$4:AD20)+1,"")))</f>
        <v>12</v>
      </c>
      <c r="AE21" s="19" t="str">
        <f t="shared" si="30"/>
        <v>N/A15  ·  CALDEIRA III  ·  DRD</v>
      </c>
      <c r="AF21" s="21">
        <f t="shared" si="31"/>
        <v>4</v>
      </c>
    </row>
    <row r="22" spans="1:32" x14ac:dyDescent="0.3">
      <c r="A22" s="50" t="s">
        <v>132</v>
      </c>
      <c r="B22" s="51" t="s">
        <v>96</v>
      </c>
      <c r="C22" s="51" t="s">
        <v>127</v>
      </c>
      <c r="D22" s="51" t="s">
        <v>92</v>
      </c>
      <c r="E22" s="50">
        <v>202</v>
      </c>
      <c r="F22" s="19" t="str">
        <f t="shared" si="15"/>
        <v>ARMAZENAGEM DE GRÃOS</v>
      </c>
      <c r="G22" s="51" t="s">
        <v>133</v>
      </c>
      <c r="H22" s="53">
        <v>45835</v>
      </c>
      <c r="I22" s="51" t="s">
        <v>72</v>
      </c>
      <c r="J22" s="19" t="str">
        <f t="shared" si="16"/>
        <v>MONITORAMENTO</v>
      </c>
      <c r="K22" s="53">
        <v>46023</v>
      </c>
      <c r="L22" s="51" t="s">
        <v>10</v>
      </c>
      <c r="M22" s="51" t="s">
        <v>67</v>
      </c>
      <c r="N22" s="51" t="s">
        <v>97</v>
      </c>
      <c r="O22" s="51" t="s">
        <v>134</v>
      </c>
      <c r="P22" s="21">
        <f t="shared" si="17"/>
        <v>5</v>
      </c>
      <c r="Q22" s="21">
        <f t="shared" ca="1" si="18"/>
        <v>237</v>
      </c>
      <c r="R22" s="22">
        <f t="shared" ca="1" si="19"/>
        <v>47.4</v>
      </c>
      <c r="S22" s="21">
        <f t="shared" ca="1" si="20"/>
        <v>425</v>
      </c>
      <c r="T22" s="21">
        <f t="shared" ca="1" si="21"/>
        <v>232</v>
      </c>
      <c r="U22" s="19" t="str">
        <f t="shared" ca="1" si="22"/>
        <v>ATRASADO</v>
      </c>
      <c r="V22" s="19" t="str">
        <f ca="1">IF($A22="","",IF(OR($U22="CONCLUÍDO",$U22="CANCELADO"),"—",IF($U22="BLOQUEADO",IF($N22="","BLOQUEADO SEM MOTIVO INFORMADO",$N22),IF($U22="SEM DATA DE ETAPA","INFORMAR A DATA DE INÍCIO DA ETAPA",IF($T22&gt;0,"SLA DA ETAPA "&amp;$I22&amp;" EXCEDIDO EM "&amp;$T22&amp;" DIA(S)",IF($AB22&gt;0,"DIVERGÊNCIA QUANTITATIVA EM "&amp;$AB22&amp;" ITEM(NS)",IF($S22&gt;SLA_Total,"PRAZO TOTAL ACIMA DE "&amp;SLA_Total&amp;" DIAS","FLUXO REGULAR")))))))</f>
        <v>SLA DA ETAPA VALIDAÇÃO E ENCERRAMENTO EXCEDIDO EM 232 DIA(S)</v>
      </c>
      <c r="W22" s="21">
        <f t="shared" si="23"/>
        <v>0</v>
      </c>
      <c r="X22" s="21">
        <f t="shared" si="24"/>
        <v>0</v>
      </c>
      <c r="Y22" s="21">
        <f t="shared" si="25"/>
        <v>0</v>
      </c>
      <c r="Z22" s="21">
        <f t="shared" si="26"/>
        <v>0</v>
      </c>
      <c r="AA22" s="21">
        <f t="shared" si="27"/>
        <v>0</v>
      </c>
      <c r="AB22" s="21">
        <f t="shared" si="28"/>
        <v>0</v>
      </c>
      <c r="AC22" s="21">
        <f t="shared" si="29"/>
        <v>0</v>
      </c>
      <c r="AD22" s="21">
        <f>IF($A22="","",IF(OR($L22="CONCLUÍDO",$L22="CANCELADO"),"",IF(AND(OR(Filtro_Unid="(TODAS AS UNIDADES)",$C22=Filtro_Unid),OR(Filtro_Proj="(TODOS OS PROJETOS)",$AE22=Filtro_Proj)),MAX($AD$4:AD21)+1,"")))</f>
        <v>13</v>
      </c>
      <c r="AE22" s="19" t="str">
        <f t="shared" si="30"/>
        <v>N/A16  ·  CLASSIFICAÇÃO + CONTROLE DE ACESSO  ·  DRD</v>
      </c>
      <c r="AF22" s="21">
        <f t="shared" si="31"/>
        <v>11</v>
      </c>
    </row>
    <row r="23" spans="1:32" x14ac:dyDescent="0.3">
      <c r="A23" s="50" t="s">
        <v>135</v>
      </c>
      <c r="B23" s="51" t="s">
        <v>112</v>
      </c>
      <c r="C23" s="51" t="s">
        <v>127</v>
      </c>
      <c r="D23" s="51" t="s">
        <v>113</v>
      </c>
      <c r="E23" s="50">
        <v>114</v>
      </c>
      <c r="F23" s="19" t="str">
        <f t="shared" si="15"/>
        <v>PROCESSOS INDUSTRIAIS</v>
      </c>
      <c r="G23" s="51"/>
      <c r="H23" s="53">
        <v>45884</v>
      </c>
      <c r="I23" s="51" t="s">
        <v>72</v>
      </c>
      <c r="J23" s="19" t="str">
        <f t="shared" si="16"/>
        <v>MONITORAMENTO</v>
      </c>
      <c r="K23" s="53">
        <v>46023</v>
      </c>
      <c r="L23" s="51" t="s">
        <v>103</v>
      </c>
      <c r="M23" s="51" t="s">
        <v>67</v>
      </c>
      <c r="N23" s="51"/>
      <c r="O23" s="51"/>
      <c r="P23" s="21">
        <f t="shared" si="17"/>
        <v>5</v>
      </c>
      <c r="Q23" s="21">
        <f t="shared" ca="1" si="18"/>
        <v>237</v>
      </c>
      <c r="R23" s="22">
        <f t="shared" ca="1" si="19"/>
        <v>47.4</v>
      </c>
      <c r="S23" s="21">
        <f t="shared" ca="1" si="20"/>
        <v>376</v>
      </c>
      <c r="T23" s="21">
        <f t="shared" ca="1" si="21"/>
        <v>232</v>
      </c>
      <c r="U23" s="19" t="str">
        <f t="shared" si="22"/>
        <v>CONCLUÍDO</v>
      </c>
      <c r="V23" s="19" t="str">
        <f>IF($A23="","",IF(OR($U23="CONCLUÍDO",$U23="CANCELADO"),"—",IF($U23="BLOQUEADO",IF($N23="","BLOQUEADO SEM MOTIVO INFORMADO",$N23),IF($U23="SEM DATA DE ETAPA","INFORMAR A DATA DE INÍCIO DA ETAPA",IF($T23&gt;0,"SLA DA ETAPA "&amp;$I23&amp;" EXCEDIDO EM "&amp;$T23&amp;" DIA(S)",IF($AB23&gt;0,"DIVERGÊNCIA QUANTITATIVA EM "&amp;$AB23&amp;" ITEM(NS)",IF($S23&gt;SLA_Total,"PRAZO TOTAL ACIMA DE "&amp;SLA_Total&amp;" DIAS","FLUXO REGULAR")))))))</f>
        <v>—</v>
      </c>
      <c r="W23" s="21">
        <f t="shared" si="23"/>
        <v>0</v>
      </c>
      <c r="X23" s="21">
        <f t="shared" si="24"/>
        <v>0</v>
      </c>
      <c r="Y23" s="21">
        <f t="shared" si="25"/>
        <v>0</v>
      </c>
      <c r="Z23" s="21">
        <f t="shared" si="26"/>
        <v>0</v>
      </c>
      <c r="AA23" s="21">
        <f t="shared" si="27"/>
        <v>0</v>
      </c>
      <c r="AB23" s="21">
        <f t="shared" si="28"/>
        <v>0</v>
      </c>
      <c r="AC23" s="21">
        <f t="shared" si="29"/>
        <v>0</v>
      </c>
      <c r="AD23" s="21" t="str">
        <f>IF($A23="","",IF(OR($L23="CONCLUÍDO",$L23="CANCELADO"),"",IF(AND(OR(Filtro_Unid="(TODAS AS UNIDADES)",$C23=Filtro_Unid),OR(Filtro_Proj="(TODOS OS PROJETOS)",$AE23=Filtro_Proj)),MAX($AD$4:AD22)+1,"")))</f>
        <v/>
      </c>
      <c r="AE23" s="19" t="str">
        <f t="shared" si="30"/>
        <v>N/A17  ·  MANIPULAÇÃO DE QUÍMICOS  ·  DRD</v>
      </c>
      <c r="AF23" s="21">
        <f t="shared" si="31"/>
        <v>99</v>
      </c>
    </row>
    <row r="24" spans="1:32" x14ac:dyDescent="0.3">
      <c r="A24" s="50" t="s">
        <v>136</v>
      </c>
      <c r="B24" s="51" t="s">
        <v>137</v>
      </c>
      <c r="C24" s="51" t="s">
        <v>127</v>
      </c>
      <c r="D24" s="51" t="s">
        <v>101</v>
      </c>
      <c r="E24" s="50">
        <v>9</v>
      </c>
      <c r="F24" s="19" t="str">
        <f t="shared" si="15"/>
        <v>FATURAMENTO LOCAL</v>
      </c>
      <c r="G24" s="51"/>
      <c r="H24" s="53">
        <v>45895</v>
      </c>
      <c r="I24" s="51" t="s">
        <v>72</v>
      </c>
      <c r="J24" s="19" t="str">
        <f t="shared" si="16"/>
        <v>MONITORAMENTO</v>
      </c>
      <c r="K24" s="53">
        <v>46023</v>
      </c>
      <c r="L24" s="51" t="s">
        <v>103</v>
      </c>
      <c r="M24" s="51" t="s">
        <v>67</v>
      </c>
      <c r="N24" s="51"/>
      <c r="O24" s="51"/>
      <c r="P24" s="21">
        <f t="shared" si="17"/>
        <v>5</v>
      </c>
      <c r="Q24" s="21">
        <f t="shared" ca="1" si="18"/>
        <v>237</v>
      </c>
      <c r="R24" s="22">
        <f t="shared" ca="1" si="19"/>
        <v>47.4</v>
      </c>
      <c r="S24" s="21">
        <f t="shared" ca="1" si="20"/>
        <v>365</v>
      </c>
      <c r="T24" s="21">
        <f t="shared" ca="1" si="21"/>
        <v>232</v>
      </c>
      <c r="U24" s="19" t="str">
        <f t="shared" si="22"/>
        <v>CONCLUÍDO</v>
      </c>
      <c r="V24" s="19" t="str">
        <f>IF($A24="","",IF(OR($U24="CONCLUÍDO",$U24="CANCELADO"),"—",IF($U24="BLOQUEADO",IF($N24="","BLOQUEADO SEM MOTIVO INFORMADO",$N24),IF($U24="SEM DATA DE ETAPA","INFORMAR A DATA DE INÍCIO DA ETAPA",IF($T24&gt;0,"SLA DA ETAPA "&amp;$I24&amp;" EXCEDIDO EM "&amp;$T24&amp;" DIA(S)",IF($AB24&gt;0,"DIVERGÊNCIA QUANTITATIVA EM "&amp;$AB24&amp;" ITEM(NS)",IF($S24&gt;SLA_Total,"PRAZO TOTAL ACIMA DE "&amp;SLA_Total&amp;" DIAS","FLUXO REGULAR")))))))</f>
        <v>—</v>
      </c>
      <c r="W24" s="21">
        <f t="shared" si="23"/>
        <v>0</v>
      </c>
      <c r="X24" s="21">
        <f t="shared" si="24"/>
        <v>0</v>
      </c>
      <c r="Y24" s="21">
        <f t="shared" si="25"/>
        <v>0</v>
      </c>
      <c r="Z24" s="21">
        <f t="shared" si="26"/>
        <v>0</v>
      </c>
      <c r="AA24" s="21">
        <f t="shared" si="27"/>
        <v>0</v>
      </c>
      <c r="AB24" s="21">
        <f t="shared" si="28"/>
        <v>0</v>
      </c>
      <c r="AC24" s="21">
        <f t="shared" si="29"/>
        <v>0</v>
      </c>
      <c r="AD24" s="21" t="str">
        <f>IF($A24="","",IF(OR($L24="CONCLUÍDO",$L24="CANCELADO"),"",IF(AND(OR(Filtro_Unid="(TODAS AS UNIDADES)",$C24=Filtro_Unid),OR(Filtro_Proj="(TODOS OS PROJETOS)",$AE24=Filtro_Proj)),MAX($AD$4:AD23)+1,"")))</f>
        <v/>
      </c>
      <c r="AE24" s="19" t="str">
        <f t="shared" si="30"/>
        <v>N/A18  ·  BALANÇAS  ·  DRD</v>
      </c>
      <c r="AF24" s="21">
        <f t="shared" si="31"/>
        <v>99</v>
      </c>
    </row>
    <row r="25" spans="1:32" x14ac:dyDescent="0.3">
      <c r="A25" s="50" t="s">
        <v>138</v>
      </c>
      <c r="B25" s="51" t="s">
        <v>91</v>
      </c>
      <c r="C25" s="51" t="s">
        <v>139</v>
      </c>
      <c r="D25" s="51" t="s">
        <v>92</v>
      </c>
      <c r="E25" s="50">
        <v>200</v>
      </c>
      <c r="F25" s="19" t="str">
        <f t="shared" si="15"/>
        <v>RECEPÇÃO DE GRÃOS</v>
      </c>
      <c r="G25" s="51"/>
      <c r="H25" s="53">
        <v>45839</v>
      </c>
      <c r="I25" s="51" t="s">
        <v>140</v>
      </c>
      <c r="J25" s="19" t="str">
        <f t="shared" si="16"/>
        <v>MONITORAMENTO</v>
      </c>
      <c r="K25" s="53">
        <v>46023</v>
      </c>
      <c r="L25" s="51" t="s">
        <v>10</v>
      </c>
      <c r="M25" s="51" t="s">
        <v>67</v>
      </c>
      <c r="N25" s="51"/>
      <c r="O25" s="51"/>
      <c r="P25" s="21">
        <f t="shared" si="17"/>
        <v>10</v>
      </c>
      <c r="Q25" s="21">
        <f t="shared" ca="1" si="18"/>
        <v>237</v>
      </c>
      <c r="R25" s="22">
        <f t="shared" ca="1" si="19"/>
        <v>23.7</v>
      </c>
      <c r="S25" s="21">
        <f t="shared" ca="1" si="20"/>
        <v>421</v>
      </c>
      <c r="T25" s="21">
        <f t="shared" ca="1" si="21"/>
        <v>227</v>
      </c>
      <c r="U25" s="19" t="str">
        <f t="shared" ca="1" si="22"/>
        <v>ATRASADO</v>
      </c>
      <c r="V25" s="19" t="str">
        <f ca="1">IF($A25="","",IF(OR($U25="CONCLUÍDO",$U25="CANCELADO"),"—",IF($U25="BLOQUEADO",IF($N25="","BLOQUEADO SEM MOTIVO INFORMADO",$N25),IF($U25="SEM DATA DE ETAPA","INFORMAR A DATA DE INÍCIO DA ETAPA",IF($T25&gt;0,"SLA DA ETAPA "&amp;$I25&amp;" EXCEDIDO EM "&amp;$T25&amp;" DIA(S)",IF($AB25&gt;0,"DIVERGÊNCIA QUANTITATIVA EM "&amp;$AB25&amp;" ITEM(NS)",IF($S25&gt;SLA_Total,"PRAZO TOTAL ACIMA DE "&amp;SLA_Total&amp;" DIAS","FLUXO REGULAR")))))))</f>
        <v>SLA DA ETAPA INSTALAÇÃO EXCEDIDO EM 227 DIA(S)</v>
      </c>
      <c r="W25" s="21">
        <f t="shared" si="23"/>
        <v>0</v>
      </c>
      <c r="X25" s="21">
        <f t="shared" si="24"/>
        <v>0</v>
      </c>
      <c r="Y25" s="21">
        <f t="shared" si="25"/>
        <v>0</v>
      </c>
      <c r="Z25" s="21">
        <f t="shared" si="26"/>
        <v>0</v>
      </c>
      <c r="AA25" s="21">
        <f t="shared" si="27"/>
        <v>0</v>
      </c>
      <c r="AB25" s="21">
        <f t="shared" si="28"/>
        <v>0</v>
      </c>
      <c r="AC25" s="21">
        <f t="shared" si="29"/>
        <v>0</v>
      </c>
      <c r="AD25" s="21">
        <f>IF($A25="","",IF(OR($L25="CONCLUÍDO",$L25="CANCELADO"),"",IF(AND(OR(Filtro_Unid="(TODAS AS UNIDADES)",$C25=Filtro_Unid),OR(Filtro_Proj="(TODOS OS PROJETOS)",$AE25=Filtro_Proj)),MAX($AD$4:AD24)+1,"")))</f>
        <v>14</v>
      </c>
      <c r="AE25" s="19" t="str">
        <f t="shared" si="30"/>
        <v>N/A19  ·  ARMAZÉM DE MILHO  ·  SDL</v>
      </c>
      <c r="AF25" s="21">
        <f t="shared" si="31"/>
        <v>8</v>
      </c>
    </row>
    <row r="26" spans="1:32" x14ac:dyDescent="0.3">
      <c r="A26" s="50" t="s">
        <v>141</v>
      </c>
      <c r="B26" s="51" t="s">
        <v>126</v>
      </c>
      <c r="C26" s="51" t="s">
        <v>139</v>
      </c>
      <c r="D26" s="51" t="s">
        <v>126</v>
      </c>
      <c r="E26" s="50">
        <v>179</v>
      </c>
      <c r="F26" s="19" t="str">
        <f t="shared" si="15"/>
        <v>ARMAZENAGEM DE DDGS</v>
      </c>
      <c r="G26" s="51"/>
      <c r="H26" s="53">
        <v>46255</v>
      </c>
      <c r="I26" s="51" t="s">
        <v>129</v>
      </c>
      <c r="J26" s="19" t="str">
        <f t="shared" si="16"/>
        <v>MONITORAMENTO</v>
      </c>
      <c r="K26" s="53">
        <v>46259</v>
      </c>
      <c r="L26" s="51" t="s">
        <v>10</v>
      </c>
      <c r="M26" s="51" t="s">
        <v>67</v>
      </c>
      <c r="N26" s="51"/>
      <c r="O26" s="51" t="s">
        <v>142</v>
      </c>
      <c r="P26" s="21">
        <f t="shared" si="17"/>
        <v>3</v>
      </c>
      <c r="Q26" s="21">
        <f t="shared" ca="1" si="18"/>
        <v>1</v>
      </c>
      <c r="R26" s="22">
        <f t="shared" ca="1" si="19"/>
        <v>0.33333333333333331</v>
      </c>
      <c r="S26" s="21">
        <f t="shared" ca="1" si="20"/>
        <v>5</v>
      </c>
      <c r="T26" s="21">
        <f t="shared" ca="1" si="21"/>
        <v>0</v>
      </c>
      <c r="U26" s="19" t="str">
        <f t="shared" ca="1" si="22"/>
        <v>NO PRAZO</v>
      </c>
      <c r="V26" s="19" t="str">
        <f ca="1">IF($A26="","",IF(OR($U26="CONCLUÍDO",$U26="CANCELADO"),"—",IF($U26="BLOQUEADO",IF($N26="","BLOQUEADO SEM MOTIVO INFORMADO",$N26),IF($U26="SEM DATA DE ETAPA","INFORMAR A DATA DE INÍCIO DA ETAPA",IF($T26&gt;0,"SLA DA ETAPA "&amp;$I26&amp;" EXCEDIDO EM "&amp;$T26&amp;" DIA(S)",IF($AB26&gt;0,"DIVERGÊNCIA QUANTITATIVA EM "&amp;$AB26&amp;" ITEM(NS)",IF($S26&gt;SLA_Total,"PRAZO TOTAL ACIMA DE "&amp;SLA_Total&amp;" DIAS","FLUXO REGULAR")))))))</f>
        <v>FLUXO REGULAR</v>
      </c>
      <c r="W26" s="21">
        <f t="shared" si="23"/>
        <v>0</v>
      </c>
      <c r="X26" s="21">
        <f t="shared" si="24"/>
        <v>0</v>
      </c>
      <c r="Y26" s="21">
        <f t="shared" si="25"/>
        <v>0</v>
      </c>
      <c r="Z26" s="21">
        <f t="shared" si="26"/>
        <v>0</v>
      </c>
      <c r="AA26" s="21">
        <f t="shared" si="27"/>
        <v>0</v>
      </c>
      <c r="AB26" s="21">
        <f t="shared" si="28"/>
        <v>0</v>
      </c>
      <c r="AC26" s="21" t="str">
        <f t="shared" si="29"/>
        <v/>
      </c>
      <c r="AD26" s="21">
        <f>IF($A26="","",IF(OR($L26="CONCLUÍDO",$L26="CANCELADO"),"",IF(AND(OR(Filtro_Unid="(TODAS AS UNIDADES)",$C26=Filtro_Unid),OR(Filtro_Proj="(TODOS OS PROJETOS)",$AE26=Filtro_Proj)),MAX($AD$4:AD25)+1,"")))</f>
        <v>15</v>
      </c>
      <c r="AE26" s="19" t="str">
        <f t="shared" si="30"/>
        <v>N/A20  ·  ARMAZÉM DDGS  ·  SDL</v>
      </c>
      <c r="AF26" s="21">
        <f t="shared" si="31"/>
        <v>2</v>
      </c>
    </row>
    <row r="27" spans="1:32" x14ac:dyDescent="0.3">
      <c r="A27" s="50" t="s">
        <v>143</v>
      </c>
      <c r="B27" s="51" t="s">
        <v>144</v>
      </c>
      <c r="C27" s="51" t="s">
        <v>139</v>
      </c>
      <c r="D27" s="51" t="s">
        <v>92</v>
      </c>
      <c r="E27" s="50">
        <v>200</v>
      </c>
      <c r="F27" s="19" t="str">
        <f t="shared" si="15"/>
        <v>RECEPÇÃO DE GRÃOS</v>
      </c>
      <c r="G27" s="51"/>
      <c r="H27" s="53">
        <v>45839</v>
      </c>
      <c r="I27" s="51" t="s">
        <v>72</v>
      </c>
      <c r="J27" s="19" t="str">
        <f t="shared" si="16"/>
        <v>MONITORAMENTO</v>
      </c>
      <c r="K27" s="53">
        <v>46023</v>
      </c>
      <c r="L27" s="51" t="s">
        <v>103</v>
      </c>
      <c r="M27" s="51" t="s">
        <v>67</v>
      </c>
      <c r="N27" s="51"/>
      <c r="O27" s="51"/>
      <c r="P27" s="21">
        <f t="shared" si="17"/>
        <v>5</v>
      </c>
      <c r="Q27" s="21">
        <f t="shared" ca="1" si="18"/>
        <v>237</v>
      </c>
      <c r="R27" s="22">
        <f t="shared" ca="1" si="19"/>
        <v>47.4</v>
      </c>
      <c r="S27" s="21">
        <f t="shared" ca="1" si="20"/>
        <v>421</v>
      </c>
      <c r="T27" s="21">
        <f t="shared" ca="1" si="21"/>
        <v>232</v>
      </c>
      <c r="U27" s="19" t="str">
        <f t="shared" si="22"/>
        <v>CONCLUÍDO</v>
      </c>
      <c r="V27" s="19" t="str">
        <f>IF($A27="","",IF(OR($U27="CONCLUÍDO",$U27="CANCELADO"),"—",IF($U27="BLOQUEADO",IF($N27="","BLOQUEADO SEM MOTIVO INFORMADO",$N27),IF($U27="SEM DATA DE ETAPA","INFORMAR A DATA DE INÍCIO DA ETAPA",IF($T27&gt;0,"SLA DA ETAPA "&amp;$I27&amp;" EXCEDIDO EM "&amp;$T27&amp;" DIA(S)",IF($AB27&gt;0,"DIVERGÊNCIA QUANTITATIVA EM "&amp;$AB27&amp;" ITEM(NS)",IF($S27&gt;SLA_Total,"PRAZO TOTAL ACIMA DE "&amp;SLA_Total&amp;" DIAS","FLUXO REGULAR")))))))</f>
        <v>—</v>
      </c>
      <c r="W27" s="21">
        <f t="shared" si="23"/>
        <v>0</v>
      </c>
      <c r="X27" s="21">
        <f t="shared" si="24"/>
        <v>0</v>
      </c>
      <c r="Y27" s="21">
        <f t="shared" si="25"/>
        <v>0</v>
      </c>
      <c r="Z27" s="21">
        <f t="shared" si="26"/>
        <v>0</v>
      </c>
      <c r="AA27" s="21">
        <f t="shared" si="27"/>
        <v>0</v>
      </c>
      <c r="AB27" s="21">
        <f t="shared" si="28"/>
        <v>0</v>
      </c>
      <c r="AC27" s="21">
        <f t="shared" si="29"/>
        <v>0</v>
      </c>
      <c r="AD27" s="21" t="str">
        <f>IF($A27="","",IF(OR($L27="CONCLUÍDO",$L27="CANCELADO"),"",IF(AND(OR(Filtro_Unid="(TODAS AS UNIDADES)",$C27=Filtro_Unid),OR(Filtro_Proj="(TODOS OS PROJETOS)",$AE27=Filtro_Proj)),MAX($AD$4:AD26)+1,"")))</f>
        <v/>
      </c>
      <c r="AE27" s="19" t="str">
        <f t="shared" si="30"/>
        <v>N/A21  ·  TOMBADOR  ·  SDL</v>
      </c>
      <c r="AF27" s="21">
        <f t="shared" si="31"/>
        <v>99</v>
      </c>
    </row>
    <row r="28" spans="1:32" x14ac:dyDescent="0.3">
      <c r="A28" s="50" t="s">
        <v>145</v>
      </c>
      <c r="B28" s="51" t="s">
        <v>146</v>
      </c>
      <c r="C28" s="51" t="s">
        <v>139</v>
      </c>
      <c r="D28" s="51" t="s">
        <v>64</v>
      </c>
      <c r="E28" s="50">
        <v>135</v>
      </c>
      <c r="F28" s="19" t="str">
        <f t="shared" si="15"/>
        <v>GERAÇÃO E DISTRIBUIÇÃO DE ENERGIA</v>
      </c>
      <c r="G28" s="51"/>
      <c r="H28" s="53">
        <v>45835</v>
      </c>
      <c r="I28" s="51" t="s">
        <v>72</v>
      </c>
      <c r="J28" s="19" t="str">
        <f t="shared" si="16"/>
        <v>MONITORAMENTO</v>
      </c>
      <c r="K28" s="53">
        <v>46023</v>
      </c>
      <c r="L28" s="51" t="s">
        <v>103</v>
      </c>
      <c r="M28" s="51" t="s">
        <v>67</v>
      </c>
      <c r="N28" s="51"/>
      <c r="O28" s="51"/>
      <c r="P28" s="21">
        <f t="shared" si="17"/>
        <v>5</v>
      </c>
      <c r="Q28" s="21">
        <f t="shared" ca="1" si="18"/>
        <v>237</v>
      </c>
      <c r="R28" s="22">
        <f t="shared" ca="1" si="19"/>
        <v>47.4</v>
      </c>
      <c r="S28" s="21">
        <f t="shared" ca="1" si="20"/>
        <v>425</v>
      </c>
      <c r="T28" s="21">
        <f t="shared" ca="1" si="21"/>
        <v>232</v>
      </c>
      <c r="U28" s="19" t="str">
        <f t="shared" si="22"/>
        <v>CONCLUÍDO</v>
      </c>
      <c r="V28" s="19" t="str">
        <f>IF($A28="","",IF(OR($U28="CONCLUÍDO",$U28="CANCELADO"),"—",IF($U28="BLOQUEADO",IF($N28="","BLOQUEADO SEM MOTIVO INFORMADO",$N28),IF($U28="SEM DATA DE ETAPA","INFORMAR A DATA DE INÍCIO DA ETAPA",IF($T28&gt;0,"SLA DA ETAPA "&amp;$I28&amp;" EXCEDIDO EM "&amp;$T28&amp;" DIA(S)",IF($AB28&gt;0,"DIVERGÊNCIA QUANTITATIVA EM "&amp;$AB28&amp;" ITEM(NS)",IF($S28&gt;SLA_Total,"PRAZO TOTAL ACIMA DE "&amp;SLA_Total&amp;" DIAS","FLUXO REGULAR")))))))</f>
        <v>—</v>
      </c>
      <c r="W28" s="21">
        <f t="shared" si="23"/>
        <v>0</v>
      </c>
      <c r="X28" s="21">
        <f t="shared" si="24"/>
        <v>0</v>
      </c>
      <c r="Y28" s="21">
        <f t="shared" si="25"/>
        <v>0</v>
      </c>
      <c r="Z28" s="21">
        <f t="shared" si="26"/>
        <v>0</v>
      </c>
      <c r="AA28" s="21">
        <f t="shared" si="27"/>
        <v>0</v>
      </c>
      <c r="AB28" s="21">
        <f t="shared" si="28"/>
        <v>0</v>
      </c>
      <c r="AC28" s="21">
        <f t="shared" si="29"/>
        <v>0</v>
      </c>
      <c r="AD28" s="21" t="str">
        <f>IF($A28="","",IF(OR($L28="CONCLUÍDO",$L28="CANCELADO"),"",IF(AND(OR(Filtro_Unid="(TODAS AS UNIDADES)",$C28=Filtro_Unid),OR(Filtro_Proj="(TODOS OS PROJETOS)",$AE28=Filtro_Proj)),MAX($AD$4:AD27)+1,"")))</f>
        <v/>
      </c>
      <c r="AE28" s="19" t="str">
        <f t="shared" si="30"/>
        <v>N/A22  ·  CASA DE FORÇA  ·  SDL</v>
      </c>
      <c r="AF28" s="21">
        <f t="shared" si="31"/>
        <v>99</v>
      </c>
    </row>
    <row r="29" spans="1:32" x14ac:dyDescent="0.3">
      <c r="A29" s="50" t="s">
        <v>147</v>
      </c>
      <c r="B29" s="51" t="s">
        <v>112</v>
      </c>
      <c r="C29" s="51" t="s">
        <v>139</v>
      </c>
      <c r="D29" s="51" t="s">
        <v>113</v>
      </c>
      <c r="E29" s="50">
        <v>114</v>
      </c>
      <c r="F29" s="19" t="str">
        <f t="shared" si="15"/>
        <v>PROCESSOS INDUSTRIAIS</v>
      </c>
      <c r="G29" s="58" t="s">
        <v>615</v>
      </c>
      <c r="H29" s="53">
        <v>45884</v>
      </c>
      <c r="I29" s="51" t="s">
        <v>72</v>
      </c>
      <c r="J29" s="19" t="str">
        <f t="shared" si="16"/>
        <v>MONITORAMENTO</v>
      </c>
      <c r="K29" s="53">
        <v>46023</v>
      </c>
      <c r="L29" s="51" t="s">
        <v>103</v>
      </c>
      <c r="M29" s="51" t="s">
        <v>67</v>
      </c>
      <c r="N29" s="51"/>
      <c r="O29" s="51"/>
      <c r="P29" s="21">
        <f t="shared" si="17"/>
        <v>5</v>
      </c>
      <c r="Q29" s="21">
        <f t="shared" ca="1" si="18"/>
        <v>237</v>
      </c>
      <c r="R29" s="22">
        <f t="shared" ca="1" si="19"/>
        <v>47.4</v>
      </c>
      <c r="S29" s="21">
        <f t="shared" ca="1" si="20"/>
        <v>376</v>
      </c>
      <c r="T29" s="21">
        <f t="shared" ca="1" si="21"/>
        <v>232</v>
      </c>
      <c r="U29" s="19" t="str">
        <f t="shared" si="22"/>
        <v>CONCLUÍDO</v>
      </c>
      <c r="V29" s="19" t="str">
        <f>IF($A29="","",IF(OR($U29="CONCLUÍDO",$U29="CANCELADO"),"—",IF($U29="BLOQUEADO",IF($N29="","BLOQUEADO SEM MOTIVO INFORMADO",$N29),IF($U29="SEM DATA DE ETAPA","INFORMAR A DATA DE INÍCIO DA ETAPA",IF($T29&gt;0,"SLA DA ETAPA "&amp;$I29&amp;" EXCEDIDO EM "&amp;$T29&amp;" DIA(S)",IF($AB29&gt;0,"DIVERGÊNCIA QUANTITATIVA EM "&amp;$AB29&amp;" ITEM(NS)",IF($S29&gt;SLA_Total,"PRAZO TOTAL ACIMA DE "&amp;SLA_Total&amp;" DIAS","FLUXO REGULAR")))))))</f>
        <v>—</v>
      </c>
      <c r="W29" s="21">
        <f t="shared" si="23"/>
        <v>0</v>
      </c>
      <c r="X29" s="21">
        <f t="shared" si="24"/>
        <v>0</v>
      </c>
      <c r="Y29" s="21">
        <f t="shared" si="25"/>
        <v>0</v>
      </c>
      <c r="Z29" s="21">
        <f t="shared" si="26"/>
        <v>0</v>
      </c>
      <c r="AA29" s="21">
        <f t="shared" si="27"/>
        <v>0</v>
      </c>
      <c r="AB29" s="21">
        <f t="shared" si="28"/>
        <v>0</v>
      </c>
      <c r="AC29" s="21">
        <f t="shared" si="29"/>
        <v>0</v>
      </c>
      <c r="AD29" s="21" t="str">
        <f>IF($A29="","",IF(OR($L29="CONCLUÍDO",$L29="CANCELADO"),"",IF(AND(OR(Filtro_Unid="(TODAS AS UNIDADES)",$C29=Filtro_Unid),OR(Filtro_Proj="(TODOS OS PROJETOS)",$AE29=Filtro_Proj)),MAX($AD$4:AD28)+1,"")))</f>
        <v/>
      </c>
      <c r="AE29" s="19" t="str">
        <f t="shared" si="30"/>
        <v>N/A23  ·  MANIPULAÇÃO DE QUÍMICOS  ·  SDL</v>
      </c>
      <c r="AF29" s="21">
        <f t="shared" si="31"/>
        <v>99</v>
      </c>
    </row>
    <row r="30" spans="1:32" x14ac:dyDescent="0.3">
      <c r="A30" s="50" t="s">
        <v>148</v>
      </c>
      <c r="B30" s="51" t="s">
        <v>96</v>
      </c>
      <c r="C30" s="51" t="s">
        <v>139</v>
      </c>
      <c r="D30" s="51" t="s">
        <v>92</v>
      </c>
      <c r="E30" s="50">
        <v>200</v>
      </c>
      <c r="F30" s="19" t="str">
        <f t="shared" si="15"/>
        <v>RECEPÇÃO DE GRÃOS</v>
      </c>
      <c r="G30" s="51" t="s">
        <v>616</v>
      </c>
      <c r="H30" s="53">
        <v>45835</v>
      </c>
      <c r="I30" s="51" t="s">
        <v>72</v>
      </c>
      <c r="J30" s="19" t="str">
        <f t="shared" si="16"/>
        <v>MONITORAMENTO</v>
      </c>
      <c r="K30" s="53">
        <v>46023</v>
      </c>
      <c r="L30" s="51" t="s">
        <v>10</v>
      </c>
      <c r="M30" s="51" t="s">
        <v>67</v>
      </c>
      <c r="N30" s="51"/>
      <c r="O30" s="51"/>
      <c r="P30" s="21">
        <f t="shared" si="17"/>
        <v>5</v>
      </c>
      <c r="Q30" s="21">
        <f t="shared" ca="1" si="18"/>
        <v>237</v>
      </c>
      <c r="R30" s="22">
        <f t="shared" ca="1" si="19"/>
        <v>47.4</v>
      </c>
      <c r="S30" s="21">
        <f t="shared" ca="1" si="20"/>
        <v>425</v>
      </c>
      <c r="T30" s="21">
        <f t="shared" ca="1" si="21"/>
        <v>232</v>
      </c>
      <c r="U30" s="19" t="str">
        <f t="shared" ca="1" si="22"/>
        <v>ATRASADO</v>
      </c>
      <c r="V30" s="19" t="str">
        <f ca="1">IF($A30="","",IF(OR($U30="CONCLUÍDO",$U30="CANCELADO"),"—",IF($U30="BLOQUEADO",IF($N30="","BLOQUEADO SEM MOTIVO INFORMADO",$N30),IF($U30="SEM DATA DE ETAPA","INFORMAR A DATA DE INÍCIO DA ETAPA",IF($T30&gt;0,"SLA DA ETAPA "&amp;$I30&amp;" EXCEDIDO EM "&amp;$T30&amp;" DIA(S)",IF($AB30&gt;0,"DIVERGÊNCIA QUANTITATIVA EM "&amp;$AB30&amp;" ITEM(NS)",IF($S30&gt;SLA_Total,"PRAZO TOTAL ACIMA DE "&amp;SLA_Total&amp;" DIAS","FLUXO REGULAR")))))))</f>
        <v>SLA DA ETAPA VALIDAÇÃO E ENCERRAMENTO EXCEDIDO EM 232 DIA(S)</v>
      </c>
      <c r="W30" s="21">
        <f t="shared" si="23"/>
        <v>0</v>
      </c>
      <c r="X30" s="21">
        <f t="shared" si="24"/>
        <v>0</v>
      </c>
      <c r="Y30" s="21">
        <f t="shared" si="25"/>
        <v>0</v>
      </c>
      <c r="Z30" s="21">
        <f t="shared" si="26"/>
        <v>0</v>
      </c>
      <c r="AA30" s="21">
        <f t="shared" si="27"/>
        <v>0</v>
      </c>
      <c r="AB30" s="21">
        <f t="shared" si="28"/>
        <v>0</v>
      </c>
      <c r="AC30" s="21">
        <f t="shared" si="29"/>
        <v>0</v>
      </c>
      <c r="AD30" s="21">
        <f>IF($A30="","",IF(OR($L30="CONCLUÍDO",$L30="CANCELADO"),"",IF(AND(OR(Filtro_Unid="(TODAS AS UNIDADES)",$C30=Filtro_Unid),OR(Filtro_Proj="(TODOS OS PROJETOS)",$AE30=Filtro_Proj)),MAX($AD$4:AD29)+1,"")))</f>
        <v>16</v>
      </c>
      <c r="AE30" s="19" t="str">
        <f t="shared" si="30"/>
        <v>N/A24  ·  CLASSIFICAÇÃO + CONTROLE DE ACESSO  ·  SDL</v>
      </c>
      <c r="AF30" s="21">
        <f t="shared" si="31"/>
        <v>11</v>
      </c>
    </row>
    <row r="31" spans="1:32" x14ac:dyDescent="0.3">
      <c r="A31" s="50" t="s">
        <v>149</v>
      </c>
      <c r="B31" s="51" t="s">
        <v>109</v>
      </c>
      <c r="C31" s="51" t="s">
        <v>139</v>
      </c>
      <c r="D31" s="51" t="s">
        <v>110</v>
      </c>
      <c r="E31" s="50">
        <v>32</v>
      </c>
      <c r="F31" s="19" t="str">
        <f t="shared" si="15"/>
        <v>DIRETORIA DE SSO</v>
      </c>
      <c r="G31" s="51"/>
      <c r="H31" s="53">
        <v>45964</v>
      </c>
      <c r="I31" s="51" t="s">
        <v>72</v>
      </c>
      <c r="J31" s="19" t="str">
        <f t="shared" si="16"/>
        <v>MONITORAMENTO</v>
      </c>
      <c r="K31" s="53">
        <v>46023</v>
      </c>
      <c r="L31" s="51" t="s">
        <v>103</v>
      </c>
      <c r="M31" s="51" t="s">
        <v>67</v>
      </c>
      <c r="N31" s="51"/>
      <c r="O31" s="51"/>
      <c r="P31" s="21">
        <f t="shared" si="17"/>
        <v>5</v>
      </c>
      <c r="Q31" s="21">
        <f t="shared" ca="1" si="18"/>
        <v>237</v>
      </c>
      <c r="R31" s="22">
        <f t="shared" ca="1" si="19"/>
        <v>47.4</v>
      </c>
      <c r="S31" s="21">
        <f t="shared" ca="1" si="20"/>
        <v>296</v>
      </c>
      <c r="T31" s="21">
        <f t="shared" ca="1" si="21"/>
        <v>232</v>
      </c>
      <c r="U31" s="19" t="str">
        <f t="shared" si="22"/>
        <v>CONCLUÍDO</v>
      </c>
      <c r="V31" s="19" t="str">
        <f>IF($A31="","",IF(OR($U31="CONCLUÍDO",$U31="CANCELADO"),"—",IF($U31="BLOQUEADO",IF($N31="","BLOQUEADO SEM MOTIVO INFORMADO",$N31),IF($U31="SEM DATA DE ETAPA","INFORMAR A DATA DE INÍCIO DA ETAPA",IF($T31&gt;0,"SLA DA ETAPA "&amp;$I31&amp;" EXCEDIDO EM "&amp;$T31&amp;" DIA(S)",IF($AB31&gt;0,"DIVERGÊNCIA QUANTITATIVA EM "&amp;$AB31&amp;" ITEM(NS)",IF($S31&gt;SLA_Total,"PRAZO TOTAL ACIMA DE "&amp;SLA_Total&amp;" DIAS","FLUXO REGULAR")))))))</f>
        <v>—</v>
      </c>
      <c r="W31" s="21">
        <f t="shared" si="23"/>
        <v>0</v>
      </c>
      <c r="X31" s="21">
        <f t="shared" si="24"/>
        <v>0</v>
      </c>
      <c r="Y31" s="21">
        <f t="shared" si="25"/>
        <v>0</v>
      </c>
      <c r="Z31" s="21">
        <f t="shared" si="26"/>
        <v>0</v>
      </c>
      <c r="AA31" s="21">
        <f t="shared" si="27"/>
        <v>0</v>
      </c>
      <c r="AB31" s="21">
        <f t="shared" si="28"/>
        <v>0</v>
      </c>
      <c r="AC31" s="21">
        <f t="shared" si="29"/>
        <v>0</v>
      </c>
      <c r="AD31" s="21" t="str">
        <f>IF($A31="","",IF(OR($L31="CONCLUÍDO",$L31="CANCELADO"),"",IF(AND(OR(Filtro_Unid="(TODAS AS UNIDADES)",$C31=Filtro_Unid),OR(Filtro_Proj="(TODOS OS PROJETOS)",$AE31=Filtro_Proj)),MAX($AD$4:AD30)+1,"")))</f>
        <v/>
      </c>
      <c r="AE31" s="19" t="str">
        <f t="shared" si="30"/>
        <v>N/A25  ·  CASA DE BOMBAS  ·  SDL</v>
      </c>
      <c r="AF31" s="21">
        <f t="shared" si="31"/>
        <v>99</v>
      </c>
    </row>
    <row r="32" spans="1:32" x14ac:dyDescent="0.3">
      <c r="A32" s="50" t="s">
        <v>150</v>
      </c>
      <c r="B32" s="51" t="s">
        <v>151</v>
      </c>
      <c r="C32" s="51" t="s">
        <v>139</v>
      </c>
      <c r="D32" s="51" t="s">
        <v>152</v>
      </c>
      <c r="E32" s="50"/>
      <c r="F32" s="19" t="str">
        <f t="shared" si="15"/>
        <v/>
      </c>
      <c r="G32" s="51"/>
      <c r="H32" s="53">
        <v>45960</v>
      </c>
      <c r="I32" s="51" t="s">
        <v>72</v>
      </c>
      <c r="J32" s="19" t="str">
        <f t="shared" si="16"/>
        <v>MONITORAMENTO</v>
      </c>
      <c r="K32" s="53">
        <v>46023</v>
      </c>
      <c r="L32" s="51" t="s">
        <v>103</v>
      </c>
      <c r="M32" s="51" t="s">
        <v>67</v>
      </c>
      <c r="N32" s="51"/>
      <c r="O32" s="51"/>
      <c r="P32" s="21">
        <f t="shared" si="17"/>
        <v>5</v>
      </c>
      <c r="Q32" s="21">
        <f t="shared" ca="1" si="18"/>
        <v>237</v>
      </c>
      <c r="R32" s="22">
        <f t="shared" ca="1" si="19"/>
        <v>47.4</v>
      </c>
      <c r="S32" s="21">
        <f t="shared" ca="1" si="20"/>
        <v>300</v>
      </c>
      <c r="T32" s="21">
        <f t="shared" ca="1" si="21"/>
        <v>232</v>
      </c>
      <c r="U32" s="19" t="str">
        <f t="shared" si="22"/>
        <v>CONCLUÍDO</v>
      </c>
      <c r="V32" s="19" t="str">
        <f>IF($A32="","",IF(OR($U32="CONCLUÍDO",$U32="CANCELADO"),"—",IF($U32="BLOQUEADO",IF($N32="","BLOQUEADO SEM MOTIVO INFORMADO",$N32),IF($U32="SEM DATA DE ETAPA","INFORMAR A DATA DE INÍCIO DA ETAPA",IF($T32&gt;0,"SLA DA ETAPA "&amp;$I32&amp;" EXCEDIDO EM "&amp;$T32&amp;" DIA(S)",IF($AB32&gt;0,"DIVERGÊNCIA QUANTITATIVA EM "&amp;$AB32&amp;" ITEM(NS)",IF($S32&gt;SLA_Total,"PRAZO TOTAL ACIMA DE "&amp;SLA_Total&amp;" DIAS","FLUXO REGULAR")))))))</f>
        <v>—</v>
      </c>
      <c r="W32" s="21">
        <f t="shared" si="23"/>
        <v>0</v>
      </c>
      <c r="X32" s="21">
        <f t="shared" si="24"/>
        <v>0</v>
      </c>
      <c r="Y32" s="21">
        <f t="shared" si="25"/>
        <v>0</v>
      </c>
      <c r="Z32" s="21">
        <f t="shared" si="26"/>
        <v>0</v>
      </c>
      <c r="AA32" s="21">
        <f t="shared" si="27"/>
        <v>0</v>
      </c>
      <c r="AB32" s="21">
        <f t="shared" si="28"/>
        <v>0</v>
      </c>
      <c r="AC32" s="21">
        <f t="shared" si="29"/>
        <v>0</v>
      </c>
      <c r="AD32" s="21" t="str">
        <f>IF($A32="","",IF(OR($L32="CONCLUÍDO",$L32="CANCELADO"),"",IF(AND(OR(Filtro_Unid="(TODAS AS UNIDADES)",$C32=Filtro_Unid),OR(Filtro_Proj="(TODOS OS PROJETOS)",$AE32=Filtro_Proj)),MAX($AD$4:AD31)+1,"")))</f>
        <v/>
      </c>
      <c r="AE32" s="19" t="str">
        <f t="shared" si="30"/>
        <v>N/A26  ·  MANUTENÇÃO INDUSTRIAL - ADMINISTRAÇÃO  ·  SDL</v>
      </c>
      <c r="AF32" s="21">
        <f t="shared" si="31"/>
        <v>99</v>
      </c>
    </row>
    <row r="33" spans="1:32" x14ac:dyDescent="0.3">
      <c r="A33" s="50" t="s">
        <v>153</v>
      </c>
      <c r="B33" s="51" t="s">
        <v>81</v>
      </c>
      <c r="C33" s="51" t="s">
        <v>139</v>
      </c>
      <c r="D33" s="51" t="s">
        <v>81</v>
      </c>
      <c r="E33" s="50">
        <v>219</v>
      </c>
      <c r="F33" s="19" t="str">
        <f t="shared" si="15"/>
        <v>ARMAZENAGEM DE BIOMASSA</v>
      </c>
      <c r="G33" s="51"/>
      <c r="H33" s="53">
        <v>45874</v>
      </c>
      <c r="I33" s="51" t="s">
        <v>72</v>
      </c>
      <c r="J33" s="19" t="str">
        <f t="shared" si="16"/>
        <v>MONITORAMENTO</v>
      </c>
      <c r="K33" s="53">
        <v>46023</v>
      </c>
      <c r="L33" s="51" t="s">
        <v>103</v>
      </c>
      <c r="M33" s="51" t="s">
        <v>67</v>
      </c>
      <c r="N33" s="51"/>
      <c r="O33" s="51"/>
      <c r="P33" s="21">
        <f t="shared" si="17"/>
        <v>5</v>
      </c>
      <c r="Q33" s="21">
        <f t="shared" ca="1" si="18"/>
        <v>237</v>
      </c>
      <c r="R33" s="22">
        <f t="shared" ca="1" si="19"/>
        <v>47.4</v>
      </c>
      <c r="S33" s="21">
        <f t="shared" ca="1" si="20"/>
        <v>386</v>
      </c>
      <c r="T33" s="21">
        <f t="shared" ca="1" si="21"/>
        <v>232</v>
      </c>
      <c r="U33" s="19" t="str">
        <f t="shared" si="22"/>
        <v>CONCLUÍDO</v>
      </c>
      <c r="V33" s="19" t="str">
        <f>IF($A33="","",IF(OR($U33="CONCLUÍDO",$U33="CANCELADO"),"—",IF($U33="BLOQUEADO",IF($N33="","BLOQUEADO SEM MOTIVO INFORMADO",$N33),IF($U33="SEM DATA DE ETAPA","INFORMAR A DATA DE INÍCIO DA ETAPA",IF($T33&gt;0,"SLA DA ETAPA "&amp;$I33&amp;" EXCEDIDO EM "&amp;$T33&amp;" DIA(S)",IF($AB33&gt;0,"DIVERGÊNCIA QUANTITATIVA EM "&amp;$AB33&amp;" ITEM(NS)",IF($S33&gt;SLA_Total,"PRAZO TOTAL ACIMA DE "&amp;SLA_Total&amp;" DIAS","FLUXO REGULAR")))))))</f>
        <v>—</v>
      </c>
      <c r="W33" s="21">
        <f t="shared" si="23"/>
        <v>0</v>
      </c>
      <c r="X33" s="21">
        <f t="shared" si="24"/>
        <v>0</v>
      </c>
      <c r="Y33" s="21">
        <f t="shared" si="25"/>
        <v>0</v>
      </c>
      <c r="Z33" s="21">
        <f t="shared" si="26"/>
        <v>0</v>
      </c>
      <c r="AA33" s="21">
        <f t="shared" si="27"/>
        <v>0</v>
      </c>
      <c r="AB33" s="21">
        <f t="shared" si="28"/>
        <v>0</v>
      </c>
      <c r="AC33" s="21">
        <f t="shared" si="29"/>
        <v>0</v>
      </c>
      <c r="AD33" s="21" t="str">
        <f>IF($A33="","",IF(OR($L33="CONCLUÍDO",$L33="CANCELADO"),"",IF(AND(OR(Filtro_Unid="(TODAS AS UNIDADES)",$C33=Filtro_Unid),OR(Filtro_Proj="(TODOS OS PROJETOS)",$AE33=Filtro_Proj)),MAX($AD$4:AD32)+1,"")))</f>
        <v/>
      </c>
      <c r="AE33" s="19" t="str">
        <f t="shared" si="30"/>
        <v>N/A27  ·  BIOMASSA  ·  SDL</v>
      </c>
      <c r="AF33" s="21">
        <f t="shared" si="31"/>
        <v>99</v>
      </c>
    </row>
    <row r="34" spans="1:32" x14ac:dyDescent="0.3">
      <c r="A34" s="50" t="s">
        <v>154</v>
      </c>
      <c r="B34" s="51" t="s">
        <v>155</v>
      </c>
      <c r="C34" s="51" t="s">
        <v>76</v>
      </c>
      <c r="D34" s="51" t="s">
        <v>77</v>
      </c>
      <c r="E34" s="50">
        <v>167</v>
      </c>
      <c r="F34" s="19" t="str">
        <f t="shared" si="15"/>
        <v>EXPEDIÇÃO DE ETANOL</v>
      </c>
      <c r="G34" s="51"/>
      <c r="H34" s="53">
        <v>45965</v>
      </c>
      <c r="I34" s="51" t="s">
        <v>72</v>
      </c>
      <c r="J34" s="19" t="str">
        <f t="shared" si="16"/>
        <v>MONITORAMENTO</v>
      </c>
      <c r="K34" s="53">
        <v>46024</v>
      </c>
      <c r="L34" s="51" t="s">
        <v>103</v>
      </c>
      <c r="M34" s="51" t="s">
        <v>67</v>
      </c>
      <c r="N34" s="51"/>
      <c r="O34" s="51"/>
      <c r="P34" s="21">
        <f t="shared" si="17"/>
        <v>5</v>
      </c>
      <c r="Q34" s="21">
        <f t="shared" ca="1" si="18"/>
        <v>236</v>
      </c>
      <c r="R34" s="22">
        <f t="shared" ca="1" si="19"/>
        <v>47.2</v>
      </c>
      <c r="S34" s="21">
        <f t="shared" ca="1" si="20"/>
        <v>295</v>
      </c>
      <c r="T34" s="21">
        <f t="shared" ca="1" si="21"/>
        <v>231</v>
      </c>
      <c r="U34" s="19" t="str">
        <f t="shared" si="22"/>
        <v>CONCLUÍDO</v>
      </c>
      <c r="V34" s="19" t="str">
        <f>IF($A34="","",IF(OR($U34="CONCLUÍDO",$U34="CANCELADO"),"—",IF($U34="BLOQUEADO",IF($N34="","BLOQUEADO SEM MOTIVO INFORMADO",$N34),IF($U34="SEM DATA DE ETAPA","INFORMAR A DATA DE INÍCIO DA ETAPA",IF($T34&gt;0,"SLA DA ETAPA "&amp;$I34&amp;" EXCEDIDO EM "&amp;$T34&amp;" DIA(S)",IF($AB34&gt;0,"DIVERGÊNCIA QUANTITATIVA EM "&amp;$AB34&amp;" ITEM(NS)",IF($S34&gt;SLA_Total,"PRAZO TOTAL ACIMA DE "&amp;SLA_Total&amp;" DIAS","FLUXO REGULAR")))))))</f>
        <v>—</v>
      </c>
      <c r="W34" s="21">
        <f t="shared" si="23"/>
        <v>0</v>
      </c>
      <c r="X34" s="21">
        <f t="shared" si="24"/>
        <v>0</v>
      </c>
      <c r="Y34" s="21">
        <f t="shared" si="25"/>
        <v>0</v>
      </c>
      <c r="Z34" s="21">
        <f t="shared" si="26"/>
        <v>0</v>
      </c>
      <c r="AA34" s="21">
        <f t="shared" si="27"/>
        <v>0</v>
      </c>
      <c r="AB34" s="21">
        <f t="shared" si="28"/>
        <v>0</v>
      </c>
      <c r="AC34" s="21">
        <f t="shared" si="29"/>
        <v>0</v>
      </c>
      <c r="AD34" s="21" t="str">
        <f>IF($A34="","",IF(OR($L34="CONCLUÍDO",$L34="CANCELADO"),"",IF(AND(OR(Filtro_Unid="(TODAS AS UNIDADES)",$C34=Filtro_Unid),OR(Filtro_Proj="(TODOS OS PROJETOS)",$AE34=Filtro_Proj)),MAX($AD$4:AD33)+1,"")))</f>
        <v/>
      </c>
      <c r="AE34" s="19" t="str">
        <f t="shared" si="30"/>
        <v>N/A28  ·  EXPEDIÇÃO DE ETANOL  ·  BLS</v>
      </c>
      <c r="AF34" s="21">
        <f t="shared" si="31"/>
        <v>99</v>
      </c>
    </row>
    <row r="35" spans="1:32" x14ac:dyDescent="0.3">
      <c r="A35" s="50" t="s">
        <v>156</v>
      </c>
      <c r="B35" s="51" t="s">
        <v>157</v>
      </c>
      <c r="C35" s="51" t="s">
        <v>76</v>
      </c>
      <c r="D35" s="51" t="s">
        <v>158</v>
      </c>
      <c r="E35" s="50"/>
      <c r="F35" s="19" t="str">
        <f t="shared" si="15"/>
        <v/>
      </c>
      <c r="G35" s="51"/>
      <c r="H35" s="53">
        <v>45887</v>
      </c>
      <c r="I35" s="51" t="s">
        <v>72</v>
      </c>
      <c r="J35" s="19" t="str">
        <f t="shared" si="16"/>
        <v>MONITORAMENTO</v>
      </c>
      <c r="K35" s="53">
        <v>46025</v>
      </c>
      <c r="L35" s="51" t="s">
        <v>103</v>
      </c>
      <c r="M35" s="51" t="s">
        <v>67</v>
      </c>
      <c r="N35" s="51"/>
      <c r="O35" s="51"/>
      <c r="P35" s="21">
        <f t="shared" si="17"/>
        <v>5</v>
      </c>
      <c r="Q35" s="21">
        <f t="shared" ca="1" si="18"/>
        <v>235</v>
      </c>
      <c r="R35" s="22">
        <f t="shared" ca="1" si="19"/>
        <v>47</v>
      </c>
      <c r="S35" s="21">
        <f t="shared" ca="1" si="20"/>
        <v>373</v>
      </c>
      <c r="T35" s="21">
        <f t="shared" ca="1" si="21"/>
        <v>230</v>
      </c>
      <c r="U35" s="19" t="str">
        <f t="shared" si="22"/>
        <v>CONCLUÍDO</v>
      </c>
      <c r="V35" s="19" t="str">
        <f>IF($A35="","",IF(OR($U35="CONCLUÍDO",$U35="CANCELADO"),"—",IF($U35="BLOQUEADO",IF($N35="","BLOQUEADO SEM MOTIVO INFORMADO",$N35),IF($U35="SEM DATA DE ETAPA","INFORMAR A DATA DE INÍCIO DA ETAPA",IF($T35&gt;0,"SLA DA ETAPA "&amp;$I35&amp;" EXCEDIDO EM "&amp;$T35&amp;" DIA(S)",IF($AB35&gt;0,"DIVERGÊNCIA QUANTITATIVA EM "&amp;$AB35&amp;" ITEM(NS)",IF($S35&gt;SLA_Total,"PRAZO TOTAL ACIMA DE "&amp;SLA_Total&amp;" DIAS","FLUXO REGULAR")))))))</f>
        <v>—</v>
      </c>
      <c r="W35" s="21">
        <f t="shared" si="23"/>
        <v>0</v>
      </c>
      <c r="X35" s="21">
        <f t="shared" si="24"/>
        <v>0</v>
      </c>
      <c r="Y35" s="21">
        <f t="shared" si="25"/>
        <v>0</v>
      </c>
      <c r="Z35" s="21">
        <f t="shared" si="26"/>
        <v>0</v>
      </c>
      <c r="AA35" s="21">
        <f t="shared" si="27"/>
        <v>0</v>
      </c>
      <c r="AB35" s="21">
        <f t="shared" si="28"/>
        <v>0</v>
      </c>
      <c r="AC35" s="21">
        <f t="shared" si="29"/>
        <v>0</v>
      </c>
      <c r="AD35" s="21" t="str">
        <f>IF($A35="","",IF(OR($L35="CONCLUÍDO",$L35="CANCELADO"),"",IF(AND(OR(Filtro_Unid="(TODAS AS UNIDADES)",$C35=Filtro_Unid),OR(Filtro_Proj="(TODOS OS PROJETOS)",$AE35=Filtro_Proj)),MAX($AD$4:AD34)+1,"")))</f>
        <v/>
      </c>
      <c r="AE35" s="19" t="str">
        <f t="shared" si="30"/>
        <v>N/A29  ·  PÁTIO DE OPERAÇÕES  ·  BLS</v>
      </c>
      <c r="AF35" s="21">
        <f t="shared" si="31"/>
        <v>99</v>
      </c>
    </row>
    <row r="36" spans="1:32" x14ac:dyDescent="0.3">
      <c r="A36" s="50" t="s">
        <v>159</v>
      </c>
      <c r="B36" s="51" t="s">
        <v>160</v>
      </c>
      <c r="C36" s="51" t="s">
        <v>76</v>
      </c>
      <c r="D36" s="51" t="s">
        <v>161</v>
      </c>
      <c r="E36" s="50"/>
      <c r="F36" s="19" t="str">
        <f t="shared" si="15"/>
        <v/>
      </c>
      <c r="G36" s="51"/>
      <c r="H36" s="53">
        <v>45926</v>
      </c>
      <c r="I36" s="51" t="s">
        <v>72</v>
      </c>
      <c r="J36" s="19" t="str">
        <f t="shared" si="16"/>
        <v>MONITORAMENTO</v>
      </c>
      <c r="K36" s="53">
        <v>46026</v>
      </c>
      <c r="L36" s="51" t="s">
        <v>103</v>
      </c>
      <c r="M36" s="51" t="s">
        <v>67</v>
      </c>
      <c r="N36" s="51"/>
      <c r="O36" s="51"/>
      <c r="P36" s="21">
        <f t="shared" si="17"/>
        <v>5</v>
      </c>
      <c r="Q36" s="21">
        <f t="shared" ca="1" si="18"/>
        <v>234</v>
      </c>
      <c r="R36" s="22">
        <f t="shared" ca="1" si="19"/>
        <v>46.8</v>
      </c>
      <c r="S36" s="21">
        <f t="shared" ca="1" si="20"/>
        <v>334</v>
      </c>
      <c r="T36" s="21">
        <f t="shared" ca="1" si="21"/>
        <v>229</v>
      </c>
      <c r="U36" s="19" t="str">
        <f t="shared" si="22"/>
        <v>CONCLUÍDO</v>
      </c>
      <c r="V36" s="19" t="str">
        <f>IF($A36="","",IF(OR($U36="CONCLUÍDO",$U36="CANCELADO"),"—",IF($U36="BLOQUEADO",IF($N36="","BLOQUEADO SEM MOTIVO INFORMADO",$N36),IF($U36="SEM DATA DE ETAPA","INFORMAR A DATA DE INÍCIO DA ETAPA",IF($T36&gt;0,"SLA DA ETAPA "&amp;$I36&amp;" EXCEDIDO EM "&amp;$T36&amp;" DIA(S)",IF($AB36&gt;0,"DIVERGÊNCIA QUANTITATIVA EM "&amp;$AB36&amp;" ITEM(NS)",IF($S36&gt;SLA_Total,"PRAZO TOTAL ACIMA DE "&amp;SLA_Total&amp;" DIAS","FLUXO REGULAR")))))))</f>
        <v>—</v>
      </c>
      <c r="W36" s="21">
        <f t="shared" si="23"/>
        <v>0</v>
      </c>
      <c r="X36" s="21">
        <f t="shared" si="24"/>
        <v>0</v>
      </c>
      <c r="Y36" s="21">
        <f t="shared" si="25"/>
        <v>0</v>
      </c>
      <c r="Z36" s="21">
        <f t="shared" si="26"/>
        <v>0</v>
      </c>
      <c r="AA36" s="21">
        <f t="shared" si="27"/>
        <v>0</v>
      </c>
      <c r="AB36" s="21">
        <f t="shared" si="28"/>
        <v>0</v>
      </c>
      <c r="AC36" s="21">
        <f t="shared" si="29"/>
        <v>0</v>
      </c>
      <c r="AD36" s="21" t="str">
        <f>IF($A36="","",IF(OR($L36="CONCLUÍDO",$L36="CANCELADO"),"",IF(AND(OR(Filtro_Unid="(TODAS AS UNIDADES)",$C36=Filtro_Unid),OR(Filtro_Proj="(TODOS OS PROJETOS)",$AE36=Filtro_Proj)),MAX($AD$4:AD35)+1,"")))</f>
        <v/>
      </c>
      <c r="AE36" s="19" t="str">
        <f t="shared" si="30"/>
        <v>N/A30  ·  CASA DE BOMBAS E OSMOSE  ·  BLS</v>
      </c>
      <c r="AF36" s="21">
        <f t="shared" si="31"/>
        <v>99</v>
      </c>
    </row>
    <row r="37" spans="1:32" x14ac:dyDescent="0.3">
      <c r="A37" s="50" t="s">
        <v>162</v>
      </c>
      <c r="B37" s="51" t="s">
        <v>146</v>
      </c>
      <c r="C37" s="51" t="s">
        <v>76</v>
      </c>
      <c r="D37" s="51" t="s">
        <v>64</v>
      </c>
      <c r="E37" s="50">
        <v>135</v>
      </c>
      <c r="F37" s="19" t="str">
        <f t="shared" ref="F37:F68" si="32">IF($E37="","",IFERROR(INDEX(Obj_Desc,MATCH($E37,Obj_Cod,0)),"CÓDIGO NÃO CADASTRADO"))</f>
        <v>GERAÇÃO E DISTRIBUIÇÃO DE ENERGIA</v>
      </c>
      <c r="G37" s="51"/>
      <c r="H37" s="53">
        <v>45901</v>
      </c>
      <c r="I37" s="51" t="s">
        <v>72</v>
      </c>
      <c r="J37" s="19" t="str">
        <f t="shared" ref="J37:J68" si="33">IF($I37="","",IFERROR(INDEX(Etapa_Resp,MATCH($I37,Lista_Etapas,0)),"ETAPA NÃO CADASTRADA"))</f>
        <v>MONITORAMENTO</v>
      </c>
      <c r="K37" s="53">
        <v>46027</v>
      </c>
      <c r="L37" s="51" t="s">
        <v>103</v>
      </c>
      <c r="M37" s="51" t="s">
        <v>67</v>
      </c>
      <c r="N37" s="51"/>
      <c r="O37" s="51"/>
      <c r="P37" s="21">
        <f t="shared" ref="P37:P68" si="34">IF($I37="","",IFERROR(INDEX(Etapa_SLA,MATCH($I37,Lista_Etapas,0)),""))</f>
        <v>5</v>
      </c>
      <c r="Q37" s="21">
        <f t="shared" ref="Q37:Q68" ca="1" si="35">IF($K37="","",MAX(DataRef-$K37,0))</f>
        <v>233</v>
      </c>
      <c r="R37" s="22">
        <f t="shared" ref="R37:R68" ca="1" si="36">IF(OR($P37="",$P37=0,$Q37=""),"",$Q37/$P37)</f>
        <v>46.6</v>
      </c>
      <c r="S37" s="21">
        <f t="shared" ref="S37:S68" ca="1" si="37">IF($H37="","",MAX(DataRef-$H37,0))</f>
        <v>359</v>
      </c>
      <c r="T37" s="21">
        <f t="shared" ref="T37:T68" ca="1" si="38">IF(OR($Q37="",$P37="",$P37=0),"",MAX($Q37-$P37,0))</f>
        <v>228</v>
      </c>
      <c r="U37" s="19" t="str">
        <f t="shared" ref="U37:U68" si="39">IF($A37="","",IF($L37="CONCLUÍDO","CONCLUÍDO",IF($L37="CANCELADO","CANCELADO",IF($M37="SIM","BLOQUEADO",IF($K37="","SEM DATA DE ETAPA",IF($T37&gt;0,"ATRASADO",IF($R37&gt;=Lim_Risco,"EM RISCO",IF($R37&gt;=Lim_Atencao,"ATENÇÃO","NO PRAZO"))))))))</f>
        <v>CONCLUÍDO</v>
      </c>
      <c r="V37" s="19" t="str">
        <f>IF($A37="","",IF(OR($U37="CONCLUÍDO",$U37="CANCELADO"),"—",IF($U37="BLOQUEADO",IF($N37="","BLOQUEADO SEM MOTIVO INFORMADO",$N37),IF($U37="SEM DATA DE ETAPA","INFORMAR A DATA DE INÍCIO DA ETAPA",IF($T37&gt;0,"SLA DA ETAPA "&amp;$I37&amp;" EXCEDIDO EM "&amp;$T37&amp;" DIA(S)",IF($AB37&gt;0,"DIVERGÊNCIA QUANTITATIVA EM "&amp;$AB37&amp;" ITEM(NS)",IF($S37&gt;SLA_Total,"PRAZO TOTAL ACIMA DE "&amp;SLA_Total&amp;" DIAS","FLUXO REGULAR")))))))</f>
        <v>—</v>
      </c>
      <c r="W37" s="21">
        <f t="shared" ref="W37:W68" si="40">IF($A37="","",SUMIFS(Esc_Prev,Esc_Cham,$A37,Esc_Tipo,"CÂMERA"))</f>
        <v>0</v>
      </c>
      <c r="X37" s="21">
        <f t="shared" ref="X37:X68" si="41">IF($A37="","",SUMIFS(Esc_Receb,Esc_Cham,$A37,Esc_Tipo,"CÂMERA"))</f>
        <v>0</v>
      </c>
      <c r="Y37" s="21">
        <f t="shared" ref="Y37:Y68" si="42">IF($A37="","",SUMIFS(Esc_Inst,Esc_Cham,$A37,Esc_Tipo,"CÂMERA"))</f>
        <v>0</v>
      </c>
      <c r="Z37" s="21">
        <f t="shared" ref="Z37:Z68" si="43">IF($A37="","",ROUNDUP($W37/4,0))</f>
        <v>0</v>
      </c>
      <c r="AA37" s="21">
        <f t="shared" ref="AA37:AA68" si="44">IF($A37="","",SUMIFS(Esc_Receb,Esc_Cham,$A37,Esc_Tipo,"LICENÇA"))</f>
        <v>0</v>
      </c>
      <c r="AB37" s="21">
        <f t="shared" ref="AB37:AB68" si="45">IF($A37="","",SUMIFS(Esc_Desvio,Esc_Cham,$A37))</f>
        <v>0</v>
      </c>
      <c r="AC37" s="21">
        <f t="shared" ref="AC37:AC68" si="46">IF($A37="","",IF(OR($I37="INSTALAÇÃO",$I37="DISPONIBILIZAÇÃO DE IP",$I37="INCLUSÃO NO VMS",$I37="VALIDAÇÃO E ENCERRAMENTO",$L37="CONCLUÍDO"),$Y37-$W37,""))</f>
        <v>0</v>
      </c>
      <c r="AD37" s="21" t="str">
        <f>IF($A37="","",IF(OR($L37="CONCLUÍDO",$L37="CANCELADO"),"",IF(AND(OR(Filtro_Unid="(TODAS AS UNIDADES)",$C37=Filtro_Unid),OR(Filtro_Proj="(TODOS OS PROJETOS)",$AE37=Filtro_Proj)),MAX($AD$4:AD36)+1,"")))</f>
        <v/>
      </c>
      <c r="AE37" s="19" t="str">
        <f t="shared" ref="AE37:AE68" si="47">IF($A37="","",$A37&amp;"  ·  "&amp;$B37&amp;"  ·  "&amp;$C37)</f>
        <v>N/A31  ·  CASA DE FORÇA  ·  BLS</v>
      </c>
      <c r="AF37" s="21">
        <f t="shared" ref="AF37:AF68" si="48">IF($A37="","",IF($L37="CONCLUÍDO",99,IFERROR(MATCH($I37,Lista_Etapas,0),0)))</f>
        <v>99</v>
      </c>
    </row>
    <row r="38" spans="1:32" x14ac:dyDescent="0.3">
      <c r="A38" s="50" t="s">
        <v>163</v>
      </c>
      <c r="B38" s="51" t="s">
        <v>164</v>
      </c>
      <c r="C38" s="51" t="s">
        <v>76</v>
      </c>
      <c r="D38" s="51" t="s">
        <v>113</v>
      </c>
      <c r="E38" s="50">
        <v>114</v>
      </c>
      <c r="F38" s="19" t="str">
        <f t="shared" si="32"/>
        <v>PROCESSOS INDUSTRIAIS</v>
      </c>
      <c r="G38" s="51"/>
      <c r="H38" s="53">
        <v>45895</v>
      </c>
      <c r="I38" s="51" t="s">
        <v>72</v>
      </c>
      <c r="J38" s="19" t="str">
        <f t="shared" si="33"/>
        <v>MONITORAMENTO</v>
      </c>
      <c r="K38" s="53">
        <v>46028</v>
      </c>
      <c r="L38" s="51" t="s">
        <v>103</v>
      </c>
      <c r="M38" s="51" t="s">
        <v>67</v>
      </c>
      <c r="N38" s="51"/>
      <c r="O38" s="51"/>
      <c r="P38" s="21">
        <f t="shared" si="34"/>
        <v>5</v>
      </c>
      <c r="Q38" s="21">
        <f t="shared" ca="1" si="35"/>
        <v>232</v>
      </c>
      <c r="R38" s="22">
        <f t="shared" ca="1" si="36"/>
        <v>46.4</v>
      </c>
      <c r="S38" s="21">
        <f t="shared" ca="1" si="37"/>
        <v>365</v>
      </c>
      <c r="T38" s="21">
        <f t="shared" ca="1" si="38"/>
        <v>227</v>
      </c>
      <c r="U38" s="19" t="str">
        <f t="shared" si="39"/>
        <v>CONCLUÍDO</v>
      </c>
      <c r="V38" s="19" t="str">
        <f>IF($A38="","",IF(OR($U38="CONCLUÍDO",$U38="CANCELADO"),"—",IF($U38="BLOQUEADO",IF($N38="","BLOQUEADO SEM MOTIVO INFORMADO",$N38),IF($U38="SEM DATA DE ETAPA","INFORMAR A DATA DE INÍCIO DA ETAPA",IF($T38&gt;0,"SLA DA ETAPA "&amp;$I38&amp;" EXCEDIDO EM "&amp;$T38&amp;" DIA(S)",IF($AB38&gt;0,"DIVERGÊNCIA QUANTITATIVA EM "&amp;$AB38&amp;" ITEM(NS)",IF($S38&gt;SLA_Total,"PRAZO TOTAL ACIMA DE "&amp;SLA_Total&amp;" DIAS","FLUXO REGULAR")))))))</f>
        <v>—</v>
      </c>
      <c r="W38" s="21">
        <f t="shared" si="40"/>
        <v>0</v>
      </c>
      <c r="X38" s="21">
        <f t="shared" si="41"/>
        <v>0</v>
      </c>
      <c r="Y38" s="21">
        <f t="shared" si="42"/>
        <v>0</v>
      </c>
      <c r="Z38" s="21">
        <f t="shared" si="43"/>
        <v>0</v>
      </c>
      <c r="AA38" s="21">
        <f t="shared" si="44"/>
        <v>0</v>
      </c>
      <c r="AB38" s="21">
        <f t="shared" si="45"/>
        <v>0</v>
      </c>
      <c r="AC38" s="21">
        <f t="shared" si="46"/>
        <v>0</v>
      </c>
      <c r="AD38" s="21" t="str">
        <f>IF($A38="","",IF(OR($L38="CONCLUÍDO",$L38="CANCELADO"),"",IF(AND(OR(Filtro_Unid="(TODAS AS UNIDADES)",$C38=Filtro_Unid),OR(Filtro_Proj="(TODOS OS PROJETOS)",$AE38=Filtro_Proj)),MAX($AD$4:AD37)+1,"")))</f>
        <v/>
      </c>
      <c r="AE38" s="19" t="str">
        <f t="shared" si="47"/>
        <v>N/A32  ·  PROPAGAÇÃO  ·  BLS</v>
      </c>
      <c r="AF38" s="21">
        <f t="shared" si="48"/>
        <v>99</v>
      </c>
    </row>
    <row r="39" spans="1:32" x14ac:dyDescent="0.3">
      <c r="A39" s="50" t="s">
        <v>165</v>
      </c>
      <c r="B39" s="51" t="s">
        <v>96</v>
      </c>
      <c r="C39" s="51" t="s">
        <v>76</v>
      </c>
      <c r="D39" s="51" t="s">
        <v>92</v>
      </c>
      <c r="E39" s="50">
        <v>200</v>
      </c>
      <c r="F39" s="19" t="str">
        <f t="shared" si="32"/>
        <v>RECEPÇÃO DE GRÃOS</v>
      </c>
      <c r="G39" s="51"/>
      <c r="H39" s="53">
        <v>45835</v>
      </c>
      <c r="I39" s="51" t="s">
        <v>72</v>
      </c>
      <c r="J39" s="19" t="str">
        <f t="shared" si="33"/>
        <v>MONITORAMENTO</v>
      </c>
      <c r="K39" s="53">
        <v>46029</v>
      </c>
      <c r="L39" s="51" t="s">
        <v>103</v>
      </c>
      <c r="M39" s="51" t="s">
        <v>67</v>
      </c>
      <c r="N39" s="51"/>
      <c r="O39" s="51"/>
      <c r="P39" s="21">
        <f t="shared" si="34"/>
        <v>5</v>
      </c>
      <c r="Q39" s="21">
        <f t="shared" ca="1" si="35"/>
        <v>231</v>
      </c>
      <c r="R39" s="22">
        <f t="shared" ca="1" si="36"/>
        <v>46.2</v>
      </c>
      <c r="S39" s="21">
        <f t="shared" ca="1" si="37"/>
        <v>425</v>
      </c>
      <c r="T39" s="21">
        <f t="shared" ca="1" si="38"/>
        <v>226</v>
      </c>
      <c r="U39" s="19" t="str">
        <f t="shared" si="39"/>
        <v>CONCLUÍDO</v>
      </c>
      <c r="V39" s="19" t="str">
        <f>IF($A39="","",IF(OR($U39="CONCLUÍDO",$U39="CANCELADO"),"—",IF($U39="BLOQUEADO",IF($N39="","BLOQUEADO SEM MOTIVO INFORMADO",$N39),IF($U39="SEM DATA DE ETAPA","INFORMAR A DATA DE INÍCIO DA ETAPA",IF($T39&gt;0,"SLA DA ETAPA "&amp;$I39&amp;" EXCEDIDO EM "&amp;$T39&amp;" DIA(S)",IF($AB39&gt;0,"DIVERGÊNCIA QUANTITATIVA EM "&amp;$AB39&amp;" ITEM(NS)",IF($S39&gt;SLA_Total,"PRAZO TOTAL ACIMA DE "&amp;SLA_Total&amp;" DIAS","FLUXO REGULAR")))))))</f>
        <v>—</v>
      </c>
      <c r="W39" s="21">
        <f t="shared" si="40"/>
        <v>0</v>
      </c>
      <c r="X39" s="21">
        <f t="shared" si="41"/>
        <v>0</v>
      </c>
      <c r="Y39" s="21">
        <f t="shared" si="42"/>
        <v>0</v>
      </c>
      <c r="Z39" s="21">
        <f t="shared" si="43"/>
        <v>0</v>
      </c>
      <c r="AA39" s="21">
        <f t="shared" si="44"/>
        <v>0</v>
      </c>
      <c r="AB39" s="21">
        <f t="shared" si="45"/>
        <v>0</v>
      </c>
      <c r="AC39" s="21">
        <f t="shared" si="46"/>
        <v>0</v>
      </c>
      <c r="AD39" s="21" t="str">
        <f>IF($A39="","",IF(OR($L39="CONCLUÍDO",$L39="CANCELADO"),"",IF(AND(OR(Filtro_Unid="(TODAS AS UNIDADES)",$C39=Filtro_Unid),OR(Filtro_Proj="(TODOS OS PROJETOS)",$AE39=Filtro_Proj)),MAX($AD$4:AD38)+1,"")))</f>
        <v/>
      </c>
      <c r="AE39" s="19" t="str">
        <f t="shared" si="47"/>
        <v>N/A33  ·  CLASSIFICAÇÃO + CONTROLE DE ACESSO  ·  BLS</v>
      </c>
      <c r="AF39" s="21">
        <f t="shared" si="48"/>
        <v>99</v>
      </c>
    </row>
    <row r="40" spans="1:32" x14ac:dyDescent="0.3">
      <c r="A40" s="50" t="s">
        <v>166</v>
      </c>
      <c r="B40" s="51" t="s">
        <v>86</v>
      </c>
      <c r="C40" s="51" t="s">
        <v>76</v>
      </c>
      <c r="D40" s="51" t="s">
        <v>87</v>
      </c>
      <c r="E40" s="50"/>
      <c r="F40" s="19" t="str">
        <f t="shared" si="32"/>
        <v/>
      </c>
      <c r="G40" s="51"/>
      <c r="H40" s="53">
        <v>45833</v>
      </c>
      <c r="I40" s="51" t="s">
        <v>72</v>
      </c>
      <c r="J40" s="19" t="str">
        <f t="shared" si="33"/>
        <v>MONITORAMENTO</v>
      </c>
      <c r="K40" s="53">
        <v>46030</v>
      </c>
      <c r="L40" s="51" t="s">
        <v>103</v>
      </c>
      <c r="M40" s="51" t="s">
        <v>67</v>
      </c>
      <c r="N40" s="51"/>
      <c r="O40" s="51"/>
      <c r="P40" s="21">
        <f t="shared" si="34"/>
        <v>5</v>
      </c>
      <c r="Q40" s="21">
        <f t="shared" ca="1" si="35"/>
        <v>230</v>
      </c>
      <c r="R40" s="22">
        <f t="shared" ca="1" si="36"/>
        <v>46</v>
      </c>
      <c r="S40" s="21">
        <f t="shared" ca="1" si="37"/>
        <v>427</v>
      </c>
      <c r="T40" s="21">
        <f t="shared" ca="1" si="38"/>
        <v>225</v>
      </c>
      <c r="U40" s="19" t="str">
        <f t="shared" si="39"/>
        <v>CONCLUÍDO</v>
      </c>
      <c r="V40" s="19" t="str">
        <f>IF($A40="","",IF(OR($U40="CONCLUÍDO",$U40="CANCELADO"),"—",IF($U40="BLOQUEADO",IF($N40="","BLOQUEADO SEM MOTIVO INFORMADO",$N40),IF($U40="SEM DATA DE ETAPA","INFORMAR A DATA DE INÍCIO DA ETAPA",IF($T40&gt;0,"SLA DA ETAPA "&amp;$I40&amp;" EXCEDIDO EM "&amp;$T40&amp;" DIA(S)",IF($AB40&gt;0,"DIVERGÊNCIA QUANTITATIVA EM "&amp;$AB40&amp;" ITEM(NS)",IF($S40&gt;SLA_Total,"PRAZO TOTAL ACIMA DE "&amp;SLA_Total&amp;" DIAS","FLUXO REGULAR")))))))</f>
        <v>—</v>
      </c>
      <c r="W40" s="21">
        <f t="shared" si="40"/>
        <v>0</v>
      </c>
      <c r="X40" s="21">
        <f t="shared" si="41"/>
        <v>0</v>
      </c>
      <c r="Y40" s="21">
        <f t="shared" si="42"/>
        <v>0</v>
      </c>
      <c r="Z40" s="21">
        <f t="shared" si="43"/>
        <v>0</v>
      </c>
      <c r="AA40" s="21">
        <f t="shared" si="44"/>
        <v>0</v>
      </c>
      <c r="AB40" s="21">
        <f t="shared" si="45"/>
        <v>0</v>
      </c>
      <c r="AC40" s="21">
        <f t="shared" si="46"/>
        <v>0</v>
      </c>
      <c r="AD40" s="21" t="str">
        <f>IF($A40="","",IF(OR($L40="CONCLUÍDO",$L40="CANCELADO"),"",IF(AND(OR(Filtro_Unid="(TODAS AS UNIDADES)",$C40=Filtro_Unid),OR(Filtro_Proj="(TODOS OS PROJETOS)",$AE40=Filtro_Proj)),MAX($AD$4:AD39)+1,"")))</f>
        <v/>
      </c>
      <c r="AE40" s="19" t="str">
        <f t="shared" si="47"/>
        <v>N/A34  ·  CENTRAL DE RESIDUOS  ·  BLS</v>
      </c>
      <c r="AF40" s="21">
        <f t="shared" si="48"/>
        <v>99</v>
      </c>
    </row>
    <row r="41" spans="1:32" x14ac:dyDescent="0.3">
      <c r="A41" s="50" t="s">
        <v>167</v>
      </c>
      <c r="B41" s="51" t="s">
        <v>144</v>
      </c>
      <c r="C41" s="51" t="s">
        <v>168</v>
      </c>
      <c r="D41" s="51" t="s">
        <v>92</v>
      </c>
      <c r="E41" s="50">
        <v>200</v>
      </c>
      <c r="F41" s="19" t="str">
        <f t="shared" si="32"/>
        <v>RECEPÇÃO DE GRÃOS</v>
      </c>
      <c r="G41" s="51"/>
      <c r="H41" s="53">
        <v>45835</v>
      </c>
      <c r="I41" s="51" t="s">
        <v>72</v>
      </c>
      <c r="J41" s="19" t="str">
        <f t="shared" si="33"/>
        <v>MONITORAMENTO</v>
      </c>
      <c r="K41" s="53">
        <v>46023</v>
      </c>
      <c r="L41" s="51" t="s">
        <v>103</v>
      </c>
      <c r="M41" s="51" t="s">
        <v>67</v>
      </c>
      <c r="N41" s="51"/>
      <c r="O41" s="51"/>
      <c r="P41" s="21">
        <f t="shared" si="34"/>
        <v>5</v>
      </c>
      <c r="Q41" s="21">
        <f t="shared" ca="1" si="35"/>
        <v>237</v>
      </c>
      <c r="R41" s="22">
        <f t="shared" ca="1" si="36"/>
        <v>47.4</v>
      </c>
      <c r="S41" s="21">
        <f t="shared" ca="1" si="37"/>
        <v>425</v>
      </c>
      <c r="T41" s="21">
        <f t="shared" ca="1" si="38"/>
        <v>232</v>
      </c>
      <c r="U41" s="19" t="str">
        <f t="shared" si="39"/>
        <v>CONCLUÍDO</v>
      </c>
      <c r="V41" s="19" t="str">
        <f>IF($A41="","",IF(OR($U41="CONCLUÍDO",$U41="CANCELADO"),"—",IF($U41="BLOQUEADO",IF($N41="","BLOQUEADO SEM MOTIVO INFORMADO",$N41),IF($U41="SEM DATA DE ETAPA","INFORMAR A DATA DE INÍCIO DA ETAPA",IF($T41&gt;0,"SLA DA ETAPA "&amp;$I41&amp;" EXCEDIDO EM "&amp;$T41&amp;" DIA(S)",IF($AB41&gt;0,"DIVERGÊNCIA QUANTITATIVA EM "&amp;$AB41&amp;" ITEM(NS)",IF($S41&gt;SLA_Total,"PRAZO TOTAL ACIMA DE "&amp;SLA_Total&amp;" DIAS","FLUXO REGULAR")))))))</f>
        <v>—</v>
      </c>
      <c r="W41" s="21">
        <f t="shared" si="40"/>
        <v>0</v>
      </c>
      <c r="X41" s="21">
        <f t="shared" si="41"/>
        <v>0</v>
      </c>
      <c r="Y41" s="21">
        <f t="shared" si="42"/>
        <v>0</v>
      </c>
      <c r="Z41" s="21">
        <f t="shared" si="43"/>
        <v>0</v>
      </c>
      <c r="AA41" s="21">
        <f t="shared" si="44"/>
        <v>0</v>
      </c>
      <c r="AB41" s="21">
        <f t="shared" si="45"/>
        <v>0</v>
      </c>
      <c r="AC41" s="21">
        <f t="shared" si="46"/>
        <v>0</v>
      </c>
      <c r="AD41" s="21" t="str">
        <f>IF($A41="","",IF(OR($L41="CONCLUÍDO",$L41="CANCELADO"),"",IF(AND(OR(Filtro_Unid="(TODAS AS UNIDADES)",$C41=Filtro_Unid),OR(Filtro_Proj="(TODOS OS PROJETOS)",$AE41=Filtro_Proj)),MAX($AD$4:AD40)+1,"")))</f>
        <v/>
      </c>
      <c r="AE41" s="19" t="str">
        <f t="shared" si="47"/>
        <v>N/A35  ·  TOMBADOR  ·  LEM</v>
      </c>
      <c r="AF41" s="21">
        <f t="shared" si="48"/>
        <v>99</v>
      </c>
    </row>
    <row r="42" spans="1:32" x14ac:dyDescent="0.3">
      <c r="A42" s="50" t="s">
        <v>169</v>
      </c>
      <c r="B42" s="51" t="s">
        <v>81</v>
      </c>
      <c r="C42" s="51" t="s">
        <v>168</v>
      </c>
      <c r="D42" s="51" t="s">
        <v>81</v>
      </c>
      <c r="E42" s="50">
        <v>219</v>
      </c>
      <c r="F42" s="19" t="str">
        <f t="shared" si="32"/>
        <v>ARMAZENAGEM DE BIOMASSA</v>
      </c>
      <c r="G42" s="51"/>
      <c r="H42" s="53">
        <v>45835</v>
      </c>
      <c r="I42" s="51" t="s">
        <v>72</v>
      </c>
      <c r="J42" s="19" t="str">
        <f t="shared" si="33"/>
        <v>MONITORAMENTO</v>
      </c>
      <c r="K42" s="53">
        <v>46023</v>
      </c>
      <c r="L42" s="51" t="s">
        <v>103</v>
      </c>
      <c r="M42" s="51" t="s">
        <v>67</v>
      </c>
      <c r="N42" s="51"/>
      <c r="O42" s="51"/>
      <c r="P42" s="21">
        <f t="shared" si="34"/>
        <v>5</v>
      </c>
      <c r="Q42" s="21">
        <f t="shared" ca="1" si="35"/>
        <v>237</v>
      </c>
      <c r="R42" s="22">
        <f t="shared" ca="1" si="36"/>
        <v>47.4</v>
      </c>
      <c r="S42" s="21">
        <f t="shared" ca="1" si="37"/>
        <v>425</v>
      </c>
      <c r="T42" s="21">
        <f t="shared" ca="1" si="38"/>
        <v>232</v>
      </c>
      <c r="U42" s="19" t="str">
        <f t="shared" si="39"/>
        <v>CONCLUÍDO</v>
      </c>
      <c r="V42" s="19" t="str">
        <f>IF($A42="","",IF(OR($U42="CONCLUÍDO",$U42="CANCELADO"),"—",IF($U42="BLOQUEADO",IF($N42="","BLOQUEADO SEM MOTIVO INFORMADO",$N42),IF($U42="SEM DATA DE ETAPA","INFORMAR A DATA DE INÍCIO DA ETAPA",IF($T42&gt;0,"SLA DA ETAPA "&amp;$I42&amp;" EXCEDIDO EM "&amp;$T42&amp;" DIA(S)",IF($AB42&gt;0,"DIVERGÊNCIA QUANTITATIVA EM "&amp;$AB42&amp;" ITEM(NS)",IF($S42&gt;SLA_Total,"PRAZO TOTAL ACIMA DE "&amp;SLA_Total&amp;" DIAS","FLUXO REGULAR")))))))</f>
        <v>—</v>
      </c>
      <c r="W42" s="21">
        <f t="shared" si="40"/>
        <v>0</v>
      </c>
      <c r="X42" s="21">
        <f t="shared" si="41"/>
        <v>0</v>
      </c>
      <c r="Y42" s="21">
        <f t="shared" si="42"/>
        <v>0</v>
      </c>
      <c r="Z42" s="21">
        <f t="shared" si="43"/>
        <v>0</v>
      </c>
      <c r="AA42" s="21">
        <f t="shared" si="44"/>
        <v>0</v>
      </c>
      <c r="AB42" s="21">
        <f t="shared" si="45"/>
        <v>0</v>
      </c>
      <c r="AC42" s="21">
        <f t="shared" si="46"/>
        <v>0</v>
      </c>
      <c r="AD42" s="21" t="str">
        <f>IF($A42="","",IF(OR($L42="CONCLUÍDO",$L42="CANCELADO"),"",IF(AND(OR(Filtro_Unid="(TODAS AS UNIDADES)",$C42=Filtro_Unid),OR(Filtro_Proj="(TODOS OS PROJETOS)",$AE42=Filtro_Proj)),MAX($AD$4:AD41)+1,"")))</f>
        <v/>
      </c>
      <c r="AE42" s="19" t="str">
        <f t="shared" si="47"/>
        <v>N/A36  ·  BIOMASSA  ·  LEM</v>
      </c>
      <c r="AF42" s="21">
        <f t="shared" si="48"/>
        <v>99</v>
      </c>
    </row>
    <row r="43" spans="1:32" x14ac:dyDescent="0.3">
      <c r="A43" s="50" t="s">
        <v>170</v>
      </c>
      <c r="B43" s="51" t="s">
        <v>126</v>
      </c>
      <c r="C43" s="51" t="s">
        <v>168</v>
      </c>
      <c r="D43" s="51" t="s">
        <v>126</v>
      </c>
      <c r="E43" s="50">
        <v>179</v>
      </c>
      <c r="F43" s="19" t="str">
        <f t="shared" si="32"/>
        <v>ARMAZENAGEM DE DDGS</v>
      </c>
      <c r="G43" s="51"/>
      <c r="H43" s="53">
        <v>46240</v>
      </c>
      <c r="I43" s="51" t="s">
        <v>129</v>
      </c>
      <c r="J43" s="19" t="str">
        <f t="shared" si="33"/>
        <v>MONITORAMENTO</v>
      </c>
      <c r="K43" s="53">
        <v>46258</v>
      </c>
      <c r="L43" s="51" t="s">
        <v>10</v>
      </c>
      <c r="M43" s="51" t="s">
        <v>67</v>
      </c>
      <c r="N43" s="51"/>
      <c r="O43" s="51"/>
      <c r="P43" s="21">
        <f t="shared" si="34"/>
        <v>3</v>
      </c>
      <c r="Q43" s="21">
        <f t="shared" ca="1" si="35"/>
        <v>2</v>
      </c>
      <c r="R43" s="22">
        <f t="shared" ca="1" si="36"/>
        <v>0.66666666666666663</v>
      </c>
      <c r="S43" s="21">
        <f t="shared" ca="1" si="37"/>
        <v>20</v>
      </c>
      <c r="T43" s="21">
        <f t="shared" ca="1" si="38"/>
        <v>0</v>
      </c>
      <c r="U43" s="19" t="str">
        <f t="shared" ca="1" si="39"/>
        <v>NO PRAZO</v>
      </c>
      <c r="V43" s="19" t="str">
        <f ca="1">IF($A43="","",IF(OR($U43="CONCLUÍDO",$U43="CANCELADO"),"—",IF($U43="BLOQUEADO",IF($N43="","BLOQUEADO SEM MOTIVO INFORMADO",$N43),IF($U43="SEM DATA DE ETAPA","INFORMAR A DATA DE INÍCIO DA ETAPA",IF($T43&gt;0,"SLA DA ETAPA "&amp;$I43&amp;" EXCEDIDO EM "&amp;$T43&amp;" DIA(S)",IF($AB43&gt;0,"DIVERGÊNCIA QUANTITATIVA EM "&amp;$AB43&amp;" ITEM(NS)",IF($S43&gt;SLA_Total,"PRAZO TOTAL ACIMA DE "&amp;SLA_Total&amp;" DIAS","FLUXO REGULAR")))))))</f>
        <v>FLUXO REGULAR</v>
      </c>
      <c r="W43" s="21">
        <f t="shared" si="40"/>
        <v>0</v>
      </c>
      <c r="X43" s="21">
        <f t="shared" si="41"/>
        <v>0</v>
      </c>
      <c r="Y43" s="21">
        <f t="shared" si="42"/>
        <v>0</v>
      </c>
      <c r="Z43" s="21">
        <f t="shared" si="43"/>
        <v>0</v>
      </c>
      <c r="AA43" s="21">
        <f t="shared" si="44"/>
        <v>0</v>
      </c>
      <c r="AB43" s="21">
        <f t="shared" si="45"/>
        <v>0</v>
      </c>
      <c r="AC43" s="21" t="str">
        <f t="shared" si="46"/>
        <v/>
      </c>
      <c r="AD43" s="21">
        <f>IF($A43="","",IF(OR($L43="CONCLUÍDO",$L43="CANCELADO"),"",IF(AND(OR(Filtro_Unid="(TODAS AS UNIDADES)",$C43=Filtro_Unid),OR(Filtro_Proj="(TODOS OS PROJETOS)",$AE43=Filtro_Proj)),MAX($AD$4:AD42)+1,"")))</f>
        <v>17</v>
      </c>
      <c r="AE43" s="19" t="str">
        <f t="shared" si="47"/>
        <v>N/A37  ·  ARMAZÉM DDGS  ·  LEM</v>
      </c>
      <c r="AF43" s="21">
        <f t="shared" si="48"/>
        <v>2</v>
      </c>
    </row>
    <row r="44" spans="1:32" x14ac:dyDescent="0.3">
      <c r="A44" s="50" t="s">
        <v>171</v>
      </c>
      <c r="B44" s="51" t="s">
        <v>172</v>
      </c>
      <c r="C44" s="51" t="s">
        <v>168</v>
      </c>
      <c r="D44" s="51" t="s">
        <v>368</v>
      </c>
      <c r="E44" s="50"/>
      <c r="F44" s="19" t="str">
        <f t="shared" si="32"/>
        <v/>
      </c>
      <c r="G44" s="51"/>
      <c r="H44" s="53">
        <v>45947</v>
      </c>
      <c r="I44" s="51" t="s">
        <v>72</v>
      </c>
      <c r="J44" s="19" t="str">
        <f t="shared" si="33"/>
        <v>MONITORAMENTO</v>
      </c>
      <c r="K44" s="53">
        <v>46023</v>
      </c>
      <c r="L44" s="51" t="s">
        <v>103</v>
      </c>
      <c r="M44" s="51" t="s">
        <v>67</v>
      </c>
      <c r="N44" s="51"/>
      <c r="O44" s="51"/>
      <c r="P44" s="21">
        <f t="shared" si="34"/>
        <v>5</v>
      </c>
      <c r="Q44" s="21">
        <f t="shared" ca="1" si="35"/>
        <v>237</v>
      </c>
      <c r="R44" s="22">
        <f t="shared" ca="1" si="36"/>
        <v>47.4</v>
      </c>
      <c r="S44" s="21">
        <f t="shared" ca="1" si="37"/>
        <v>313</v>
      </c>
      <c r="T44" s="21">
        <f t="shared" ca="1" si="38"/>
        <v>232</v>
      </c>
      <c r="U44" s="19" t="str">
        <f t="shared" si="39"/>
        <v>CONCLUÍDO</v>
      </c>
      <c r="V44" s="19" t="str">
        <f>IF($A44="","",IF(OR($U44="CONCLUÍDO",$U44="CANCELADO"),"—",IF($U44="BLOQUEADO",IF($N44="","BLOQUEADO SEM MOTIVO INFORMADO",$N44),IF($U44="SEM DATA DE ETAPA","INFORMAR A DATA DE INÍCIO DA ETAPA",IF($T44&gt;0,"SLA DA ETAPA "&amp;$I44&amp;" EXCEDIDO EM "&amp;$T44&amp;" DIA(S)",IF($AB44&gt;0,"DIVERGÊNCIA QUANTITATIVA EM "&amp;$AB44&amp;" ITEM(NS)",IF($S44&gt;SLA_Total,"PRAZO TOTAL ACIMA DE "&amp;SLA_Total&amp;" DIAS","FLUXO REGULAR")))))))</f>
        <v>—</v>
      </c>
      <c r="W44" s="21">
        <f t="shared" si="40"/>
        <v>0</v>
      </c>
      <c r="X44" s="21">
        <f t="shared" si="41"/>
        <v>0</v>
      </c>
      <c r="Y44" s="21">
        <f t="shared" si="42"/>
        <v>0</v>
      </c>
      <c r="Z44" s="21">
        <f t="shared" si="43"/>
        <v>0</v>
      </c>
      <c r="AA44" s="21">
        <f t="shared" si="44"/>
        <v>0</v>
      </c>
      <c r="AB44" s="21">
        <f t="shared" si="45"/>
        <v>0</v>
      </c>
      <c r="AC44" s="21">
        <f t="shared" si="46"/>
        <v>0</v>
      </c>
      <c r="AD44" s="21" t="str">
        <f>IF($A44="","",IF(OR($L44="CONCLUÍDO",$L44="CANCELADO"),"",IF(AND(OR(Filtro_Unid="(TODAS AS UNIDADES)",$C44=Filtro_Unid),OR(Filtro_Proj="(TODOS OS PROJETOS)",$AE44=Filtro_Proj)),MAX($AD$4:AD43)+1,"")))</f>
        <v/>
      </c>
      <c r="AE44" s="19" t="str">
        <f t="shared" si="47"/>
        <v>N/A38  ·  DEPÓSITO DE AGROTÓXICO  ·  LEM</v>
      </c>
      <c r="AF44" s="21">
        <f t="shared" si="48"/>
        <v>99</v>
      </c>
    </row>
    <row r="45" spans="1:32" x14ac:dyDescent="0.3">
      <c r="A45" s="50" t="s">
        <v>571</v>
      </c>
      <c r="B45" s="51" t="s">
        <v>81</v>
      </c>
      <c r="C45" s="51" t="s">
        <v>324</v>
      </c>
      <c r="D45" s="51" t="s">
        <v>613</v>
      </c>
      <c r="E45" s="50">
        <v>5799</v>
      </c>
      <c r="F45" s="19" t="str">
        <f t="shared" si="32"/>
        <v>RVD - CONSTRUÇÕES | INFRAESTRUTURA TI</v>
      </c>
      <c r="G45" s="51" t="s">
        <v>613</v>
      </c>
      <c r="H45" s="53">
        <v>46212</v>
      </c>
      <c r="I45" s="51" t="s">
        <v>120</v>
      </c>
      <c r="J45" s="19" t="str">
        <f t="shared" si="33"/>
        <v>SUPRIMENTOS</v>
      </c>
      <c r="K45" s="53">
        <v>46260</v>
      </c>
      <c r="L45" s="51" t="s">
        <v>10</v>
      </c>
      <c r="M45" s="51" t="s">
        <v>67</v>
      </c>
      <c r="N45" s="51"/>
      <c r="O45" s="51"/>
      <c r="P45" s="21">
        <f t="shared" si="34"/>
        <v>10</v>
      </c>
      <c r="Q45" s="21">
        <f t="shared" ca="1" si="35"/>
        <v>0</v>
      </c>
      <c r="R45" s="22">
        <f t="shared" ca="1" si="36"/>
        <v>0</v>
      </c>
      <c r="S45" s="21">
        <f t="shared" ca="1" si="37"/>
        <v>48</v>
      </c>
      <c r="T45" s="21">
        <f t="shared" ca="1" si="38"/>
        <v>0</v>
      </c>
      <c r="U45" s="19" t="str">
        <f t="shared" ca="1" si="39"/>
        <v>NO PRAZO</v>
      </c>
      <c r="V45" s="19" t="str">
        <f ca="1">IF($A45="","",IF(OR($U45="CONCLUÍDO",$U45="CANCELADO"),"—",IF($U45="BLOQUEADO",IF($N45="","BLOQUEADO SEM MOTIVO INFORMADO",$N45),IF($U45="SEM DATA DE ETAPA","INFORMAR A DATA DE INÍCIO DA ETAPA",IF($T45&gt;0,"SLA DA ETAPA "&amp;$I45&amp;" EXCEDIDO EM "&amp;$T45&amp;" DIA(S)",IF($AB45&gt;0,"DIVERGÊNCIA QUANTITATIVA EM "&amp;$AB45&amp;" ITEM(NS)",IF($S45&gt;SLA_Total,"PRAZO TOTAL ACIMA DE "&amp;SLA_Total&amp;" DIAS","FLUXO REGULAR")))))))</f>
        <v>FLUXO REGULAR</v>
      </c>
      <c r="W45" s="21">
        <f t="shared" si="40"/>
        <v>0</v>
      </c>
      <c r="X45" s="21">
        <f t="shared" si="41"/>
        <v>0</v>
      </c>
      <c r="Y45" s="21">
        <f t="shared" si="42"/>
        <v>0</v>
      </c>
      <c r="Z45" s="21">
        <f t="shared" si="43"/>
        <v>0</v>
      </c>
      <c r="AA45" s="21">
        <f t="shared" si="44"/>
        <v>0</v>
      </c>
      <c r="AB45" s="21">
        <f t="shared" si="45"/>
        <v>0</v>
      </c>
      <c r="AC45" s="21" t="str">
        <f t="shared" si="46"/>
        <v/>
      </c>
      <c r="AD45" s="21">
        <f>IF($A45="","",IF(OR($L45="CONCLUÍDO",$L45="CANCELADO"),"",IF(AND(OR(Filtro_Unid="(TODAS AS UNIDADES)",$C45=Filtro_Unid),OR(Filtro_Proj="(TODOS OS PROJETOS)",$AE45=Filtro_Proj)),MAX($AD$4:AD44)+1,"")))</f>
        <v>18</v>
      </c>
      <c r="AE45" s="19" t="str">
        <f t="shared" si="47"/>
        <v>N/A39  ·  BIOMASSA  ·  RVD</v>
      </c>
      <c r="AF45" s="21">
        <f t="shared" si="48"/>
        <v>3</v>
      </c>
    </row>
    <row r="46" spans="1:32" x14ac:dyDescent="0.3">
      <c r="A46" s="50" t="s">
        <v>572</v>
      </c>
      <c r="B46" s="51" t="s">
        <v>151</v>
      </c>
      <c r="C46" s="51" t="s">
        <v>324</v>
      </c>
      <c r="D46" s="51" t="s">
        <v>613</v>
      </c>
      <c r="E46" s="50">
        <v>5799</v>
      </c>
      <c r="F46" s="19" t="str">
        <f t="shared" si="32"/>
        <v>RVD - CONSTRUÇÕES | INFRAESTRUTURA TI</v>
      </c>
      <c r="G46" s="51"/>
      <c r="H46" s="53">
        <v>45999</v>
      </c>
      <c r="I46" s="51" t="s">
        <v>120</v>
      </c>
      <c r="J46" s="19" t="str">
        <f t="shared" si="33"/>
        <v>SUPRIMENTOS</v>
      </c>
      <c r="K46" s="53">
        <v>46023</v>
      </c>
      <c r="L46" s="51" t="s">
        <v>10</v>
      </c>
      <c r="M46" s="51" t="s">
        <v>67</v>
      </c>
      <c r="N46" s="51"/>
      <c r="O46" s="51"/>
      <c r="P46" s="21">
        <f t="shared" si="34"/>
        <v>10</v>
      </c>
      <c r="Q46" s="21">
        <f t="shared" ca="1" si="35"/>
        <v>237</v>
      </c>
      <c r="R46" s="22">
        <f t="shared" ca="1" si="36"/>
        <v>23.7</v>
      </c>
      <c r="S46" s="21">
        <f t="shared" ca="1" si="37"/>
        <v>261</v>
      </c>
      <c r="T46" s="21">
        <f t="shared" ca="1" si="38"/>
        <v>227</v>
      </c>
      <c r="U46" s="19" t="str">
        <f t="shared" ca="1" si="39"/>
        <v>ATRASADO</v>
      </c>
      <c r="V46" s="19" t="str">
        <f ca="1">IF($A46="","",IF(OR($U46="CONCLUÍDO",$U46="CANCELADO"),"—",IF($U46="BLOQUEADO",IF($N46="","BLOQUEADO SEM MOTIVO INFORMADO",$N46),IF($U46="SEM DATA DE ETAPA","INFORMAR A DATA DE INÍCIO DA ETAPA",IF($T46&gt;0,"SLA DA ETAPA "&amp;$I46&amp;" EXCEDIDO EM "&amp;$T46&amp;" DIA(S)",IF($AB46&gt;0,"DIVERGÊNCIA QUANTITATIVA EM "&amp;$AB46&amp;" ITEM(NS)",IF($S46&gt;SLA_Total,"PRAZO TOTAL ACIMA DE "&amp;SLA_Total&amp;" DIAS","FLUXO REGULAR")))))))</f>
        <v>SLA DA ETAPA FLUXO DE SUPRIMENTOS EXCEDIDO EM 227 DIA(S)</v>
      </c>
      <c r="W46" s="21">
        <f t="shared" si="40"/>
        <v>0</v>
      </c>
      <c r="X46" s="21">
        <f t="shared" si="41"/>
        <v>0</v>
      </c>
      <c r="Y46" s="21">
        <f t="shared" si="42"/>
        <v>0</v>
      </c>
      <c r="Z46" s="21">
        <f t="shared" si="43"/>
        <v>0</v>
      </c>
      <c r="AA46" s="21">
        <f t="shared" si="44"/>
        <v>0</v>
      </c>
      <c r="AB46" s="21">
        <f t="shared" si="45"/>
        <v>0</v>
      </c>
      <c r="AC46" s="21" t="str">
        <f t="shared" si="46"/>
        <v/>
      </c>
      <c r="AD46" s="21">
        <f>IF($A46="","",IF(OR($L46="CONCLUÍDO",$L46="CANCELADO"),"",IF(AND(OR(Filtro_Unid="(TODAS AS UNIDADES)",$C46=Filtro_Unid),OR(Filtro_Proj="(TODOS OS PROJETOS)",$AE46=Filtro_Proj)),MAX($AD$4:AD45)+1,"")))</f>
        <v>19</v>
      </c>
      <c r="AE46" s="19" t="str">
        <f t="shared" si="47"/>
        <v>N/A40  ·  MANUTENÇÃO INDUSTRIAL - ADMINISTRAÇÃO  ·  RVD</v>
      </c>
      <c r="AF46" s="21">
        <f t="shared" si="48"/>
        <v>3</v>
      </c>
    </row>
    <row r="47" spans="1:32" x14ac:dyDescent="0.3">
      <c r="A47" s="50" t="s">
        <v>573</v>
      </c>
      <c r="B47" s="51" t="s">
        <v>332</v>
      </c>
      <c r="C47" s="51" t="s">
        <v>324</v>
      </c>
      <c r="D47" s="51" t="s">
        <v>613</v>
      </c>
      <c r="E47" s="50">
        <v>5799</v>
      </c>
      <c r="F47" s="19" t="str">
        <f t="shared" si="32"/>
        <v>RVD - CONSTRUÇÕES | INFRAESTRUTURA TI</v>
      </c>
      <c r="G47" s="51"/>
      <c r="H47" s="53">
        <v>45999</v>
      </c>
      <c r="I47" s="51" t="s">
        <v>120</v>
      </c>
      <c r="J47" s="19" t="str">
        <f t="shared" si="33"/>
        <v>SUPRIMENTOS</v>
      </c>
      <c r="K47" s="53">
        <v>46023</v>
      </c>
      <c r="L47" s="51" t="s">
        <v>10</v>
      </c>
      <c r="M47" s="51" t="s">
        <v>67</v>
      </c>
      <c r="N47" s="51"/>
      <c r="O47" s="51"/>
      <c r="P47" s="21">
        <f t="shared" si="34"/>
        <v>10</v>
      </c>
      <c r="Q47" s="21">
        <f t="shared" ca="1" si="35"/>
        <v>237</v>
      </c>
      <c r="R47" s="22">
        <f t="shared" ca="1" si="36"/>
        <v>23.7</v>
      </c>
      <c r="S47" s="21">
        <f t="shared" ca="1" si="37"/>
        <v>261</v>
      </c>
      <c r="T47" s="21">
        <f t="shared" ca="1" si="38"/>
        <v>227</v>
      </c>
      <c r="U47" s="19" t="str">
        <f t="shared" ca="1" si="39"/>
        <v>ATRASADO</v>
      </c>
      <c r="V47" s="19" t="str">
        <f ca="1">IF($A47="","",IF(OR($U47="CONCLUÍDO",$U47="CANCELADO"),"—",IF($U47="BLOQUEADO",IF($N47="","BLOQUEADO SEM MOTIVO INFORMADO",$N47),IF($U47="SEM DATA DE ETAPA","INFORMAR A DATA DE INÍCIO DA ETAPA",IF($T47&gt;0,"SLA DA ETAPA "&amp;$I47&amp;" EXCEDIDO EM "&amp;$T47&amp;" DIA(S)",IF($AB47&gt;0,"DIVERGÊNCIA QUANTITATIVA EM "&amp;$AB47&amp;" ITEM(NS)",IF($S47&gt;SLA_Total,"PRAZO TOTAL ACIMA DE "&amp;SLA_Total&amp;" DIAS","FLUXO REGULAR")))))))</f>
        <v>SLA DA ETAPA FLUXO DE SUPRIMENTOS EXCEDIDO EM 227 DIA(S)</v>
      </c>
      <c r="W47" s="21">
        <f t="shared" si="40"/>
        <v>0</v>
      </c>
      <c r="X47" s="21">
        <f t="shared" si="41"/>
        <v>0</v>
      </c>
      <c r="Y47" s="21">
        <f t="shared" si="42"/>
        <v>0</v>
      </c>
      <c r="Z47" s="21">
        <f t="shared" si="43"/>
        <v>0</v>
      </c>
      <c r="AA47" s="21">
        <f t="shared" si="44"/>
        <v>0</v>
      </c>
      <c r="AB47" s="21">
        <f t="shared" si="45"/>
        <v>0</v>
      </c>
      <c r="AC47" s="21" t="str">
        <f t="shared" si="46"/>
        <v/>
      </c>
      <c r="AD47" s="21">
        <f>IF($A47="","",IF(OR($L47="CONCLUÍDO",$L47="CANCELADO"),"",IF(AND(OR(Filtro_Unid="(TODAS AS UNIDADES)",$C47=Filtro_Unid),OR(Filtro_Proj="(TODOS OS PROJETOS)",$AE47=Filtro_Proj)),MAX($AD$4:AD46)+1,"")))</f>
        <v>20</v>
      </c>
      <c r="AE47" s="19" t="str">
        <f t="shared" si="47"/>
        <v>N/A41  ·  REFEITÓRIO  ·  RVD</v>
      </c>
      <c r="AF47" s="21">
        <f t="shared" si="48"/>
        <v>3</v>
      </c>
    </row>
    <row r="48" spans="1:32" x14ac:dyDescent="0.3">
      <c r="A48" s="50" t="s">
        <v>574</v>
      </c>
      <c r="B48" s="51" t="s">
        <v>158</v>
      </c>
      <c r="C48" s="51" t="s">
        <v>324</v>
      </c>
      <c r="D48" s="51" t="s">
        <v>613</v>
      </c>
      <c r="E48" s="50">
        <v>5799</v>
      </c>
      <c r="F48" s="19" t="str">
        <f t="shared" si="32"/>
        <v>RVD - CONSTRUÇÕES | INFRAESTRUTURA TI</v>
      </c>
      <c r="G48" s="51"/>
      <c r="H48" s="53">
        <v>46212</v>
      </c>
      <c r="I48" s="51" t="s">
        <v>120</v>
      </c>
      <c r="J48" s="19" t="str">
        <f t="shared" si="33"/>
        <v>SUPRIMENTOS</v>
      </c>
      <c r="K48" s="53">
        <v>46260</v>
      </c>
      <c r="L48" s="51" t="s">
        <v>10</v>
      </c>
      <c r="M48" s="51" t="s">
        <v>67</v>
      </c>
      <c r="N48" s="51"/>
      <c r="O48" s="51"/>
      <c r="P48" s="21">
        <f t="shared" si="34"/>
        <v>10</v>
      </c>
      <c r="Q48" s="21">
        <f t="shared" ca="1" si="35"/>
        <v>0</v>
      </c>
      <c r="R48" s="22">
        <f t="shared" ca="1" si="36"/>
        <v>0</v>
      </c>
      <c r="S48" s="21">
        <f t="shared" ca="1" si="37"/>
        <v>48</v>
      </c>
      <c r="T48" s="21">
        <f t="shared" ca="1" si="38"/>
        <v>0</v>
      </c>
      <c r="U48" s="19" t="str">
        <f t="shared" ca="1" si="39"/>
        <v>NO PRAZO</v>
      </c>
      <c r="V48" s="19" t="str">
        <f ca="1">IF($A48="","",IF(OR($U48="CONCLUÍDO",$U48="CANCELADO"),"—",IF($U48="BLOQUEADO",IF($N48="","BLOQUEADO SEM MOTIVO INFORMADO",$N48),IF($U48="SEM DATA DE ETAPA","INFORMAR A DATA DE INÍCIO DA ETAPA",IF($T48&gt;0,"SLA DA ETAPA "&amp;$I48&amp;" EXCEDIDO EM "&amp;$T48&amp;" DIA(S)",IF($AB48&gt;0,"DIVERGÊNCIA QUANTITATIVA EM "&amp;$AB48&amp;" ITEM(NS)",IF($S48&gt;SLA_Total,"PRAZO TOTAL ACIMA DE "&amp;SLA_Total&amp;" DIAS","FLUXO REGULAR")))))))</f>
        <v>FLUXO REGULAR</v>
      </c>
      <c r="W48" s="21">
        <f t="shared" si="40"/>
        <v>0</v>
      </c>
      <c r="X48" s="21">
        <f t="shared" si="41"/>
        <v>0</v>
      </c>
      <c r="Y48" s="21">
        <f t="shared" si="42"/>
        <v>0</v>
      </c>
      <c r="Z48" s="21">
        <f t="shared" si="43"/>
        <v>0</v>
      </c>
      <c r="AA48" s="21">
        <f t="shared" si="44"/>
        <v>0</v>
      </c>
      <c r="AB48" s="21">
        <f t="shared" si="45"/>
        <v>0</v>
      </c>
      <c r="AC48" s="21" t="str">
        <f t="shared" si="46"/>
        <v/>
      </c>
      <c r="AD48" s="21">
        <f>IF($A48="","",IF(OR($L48="CONCLUÍDO",$L48="CANCELADO"),"",IF(AND(OR(Filtro_Unid="(TODAS AS UNIDADES)",$C48=Filtro_Unid),OR(Filtro_Proj="(TODOS OS PROJETOS)",$AE48=Filtro_Proj)),MAX($AD$4:AD47)+1,"")))</f>
        <v>21</v>
      </c>
      <c r="AE48" s="19" t="str">
        <f t="shared" si="47"/>
        <v>N/A42  ·  PIPE RACK  ·  RVD</v>
      </c>
      <c r="AF48" s="21">
        <f t="shared" si="48"/>
        <v>3</v>
      </c>
    </row>
    <row r="49" spans="1:32" x14ac:dyDescent="0.3">
      <c r="A49" s="50" t="s">
        <v>575</v>
      </c>
      <c r="B49" s="51" t="s">
        <v>126</v>
      </c>
      <c r="C49" s="51" t="s">
        <v>324</v>
      </c>
      <c r="D49" s="51" t="s">
        <v>613</v>
      </c>
      <c r="E49" s="50">
        <v>5799</v>
      </c>
      <c r="F49" s="19" t="str">
        <f t="shared" si="32"/>
        <v>RVD - CONSTRUÇÕES | INFRAESTRUTURA TI</v>
      </c>
      <c r="G49" s="51"/>
      <c r="H49" s="53">
        <v>46212</v>
      </c>
      <c r="I49" s="51" t="s">
        <v>120</v>
      </c>
      <c r="J49" s="19" t="str">
        <f t="shared" si="33"/>
        <v>SUPRIMENTOS</v>
      </c>
      <c r="K49" s="53">
        <v>46260</v>
      </c>
      <c r="L49" s="51" t="s">
        <v>10</v>
      </c>
      <c r="M49" s="51" t="s">
        <v>67</v>
      </c>
      <c r="N49" s="51"/>
      <c r="O49" s="51"/>
      <c r="P49" s="21">
        <f t="shared" si="34"/>
        <v>10</v>
      </c>
      <c r="Q49" s="21">
        <f t="shared" ca="1" si="35"/>
        <v>0</v>
      </c>
      <c r="R49" s="22">
        <f t="shared" ca="1" si="36"/>
        <v>0</v>
      </c>
      <c r="S49" s="21">
        <f t="shared" ca="1" si="37"/>
        <v>48</v>
      </c>
      <c r="T49" s="21">
        <f t="shared" ca="1" si="38"/>
        <v>0</v>
      </c>
      <c r="U49" s="19" t="str">
        <f t="shared" ca="1" si="39"/>
        <v>NO PRAZO</v>
      </c>
      <c r="V49" s="19" t="str">
        <f ca="1">IF($A49="","",IF(OR($U49="CONCLUÍDO",$U49="CANCELADO"),"—",IF($U49="BLOQUEADO",IF($N49="","BLOQUEADO SEM MOTIVO INFORMADO",$N49),IF($U49="SEM DATA DE ETAPA","INFORMAR A DATA DE INÍCIO DA ETAPA",IF($T49&gt;0,"SLA DA ETAPA "&amp;$I49&amp;" EXCEDIDO EM "&amp;$T49&amp;" DIA(S)",IF($AB49&gt;0,"DIVERGÊNCIA QUANTITATIVA EM "&amp;$AB49&amp;" ITEM(NS)",IF($S49&gt;SLA_Total,"PRAZO TOTAL ACIMA DE "&amp;SLA_Total&amp;" DIAS","FLUXO REGULAR")))))))</f>
        <v>FLUXO REGULAR</v>
      </c>
      <c r="W49" s="21">
        <f t="shared" si="40"/>
        <v>0</v>
      </c>
      <c r="X49" s="21">
        <f t="shared" si="41"/>
        <v>0</v>
      </c>
      <c r="Y49" s="21">
        <f t="shared" si="42"/>
        <v>0</v>
      </c>
      <c r="Z49" s="21">
        <f t="shared" si="43"/>
        <v>0</v>
      </c>
      <c r="AA49" s="21">
        <f t="shared" si="44"/>
        <v>0</v>
      </c>
      <c r="AB49" s="21">
        <f t="shared" si="45"/>
        <v>0</v>
      </c>
      <c r="AC49" s="21" t="str">
        <f t="shared" si="46"/>
        <v/>
      </c>
      <c r="AD49" s="21">
        <f>IF($A49="","",IF(OR($L49="CONCLUÍDO",$L49="CANCELADO"),"",IF(AND(OR(Filtro_Unid="(TODAS AS UNIDADES)",$C49=Filtro_Unid),OR(Filtro_Proj="(TODOS OS PROJETOS)",$AE49=Filtro_Proj)),MAX($AD$4:AD48)+1,"")))</f>
        <v>22</v>
      </c>
      <c r="AE49" s="19" t="str">
        <f t="shared" si="47"/>
        <v>N/A43  ·  ARMAZÉM DDGS  ·  RVD</v>
      </c>
      <c r="AF49" s="21">
        <f t="shared" si="48"/>
        <v>3</v>
      </c>
    </row>
    <row r="50" spans="1:32" x14ac:dyDescent="0.3">
      <c r="A50" s="50" t="s">
        <v>576</v>
      </c>
      <c r="B50" s="51" t="s">
        <v>161</v>
      </c>
      <c r="C50" s="51" t="s">
        <v>324</v>
      </c>
      <c r="D50" s="51" t="s">
        <v>613</v>
      </c>
      <c r="E50" s="50">
        <v>5799</v>
      </c>
      <c r="F50" s="19" t="str">
        <f t="shared" si="32"/>
        <v>RVD - CONSTRUÇÕES | INFRAESTRUTURA TI</v>
      </c>
      <c r="G50" s="51"/>
      <c r="H50" s="53">
        <v>46212</v>
      </c>
      <c r="I50" s="51" t="s">
        <v>120</v>
      </c>
      <c r="J50" s="19" t="str">
        <f t="shared" si="33"/>
        <v>SUPRIMENTOS</v>
      </c>
      <c r="K50" s="53">
        <v>46260</v>
      </c>
      <c r="L50" s="51" t="s">
        <v>10</v>
      </c>
      <c r="M50" s="51" t="s">
        <v>67</v>
      </c>
      <c r="N50" s="51"/>
      <c r="O50" s="51"/>
      <c r="P50" s="21">
        <f t="shared" si="34"/>
        <v>10</v>
      </c>
      <c r="Q50" s="21">
        <f t="shared" ca="1" si="35"/>
        <v>0</v>
      </c>
      <c r="R50" s="22">
        <f t="shared" ca="1" si="36"/>
        <v>0</v>
      </c>
      <c r="S50" s="21">
        <f t="shared" ca="1" si="37"/>
        <v>48</v>
      </c>
      <c r="T50" s="21">
        <f t="shared" ca="1" si="38"/>
        <v>0</v>
      </c>
      <c r="U50" s="19" t="str">
        <f t="shared" ca="1" si="39"/>
        <v>NO PRAZO</v>
      </c>
      <c r="V50" s="19" t="str">
        <f ca="1">IF($A50="","",IF(OR($U50="CONCLUÍDO",$U50="CANCELADO"),"—",IF($U50="BLOQUEADO",IF($N50="","BLOQUEADO SEM MOTIVO INFORMADO",$N50),IF($U50="SEM DATA DE ETAPA","INFORMAR A DATA DE INÍCIO DA ETAPA",IF($T50&gt;0,"SLA DA ETAPA "&amp;$I50&amp;" EXCEDIDO EM "&amp;$T50&amp;" DIA(S)",IF($AB50&gt;0,"DIVERGÊNCIA QUANTITATIVA EM "&amp;$AB50&amp;" ITEM(NS)",IF($S50&gt;SLA_Total,"PRAZO TOTAL ACIMA DE "&amp;SLA_Total&amp;" DIAS","FLUXO REGULAR")))))))</f>
        <v>FLUXO REGULAR</v>
      </c>
      <c r="W50" s="21">
        <f t="shared" si="40"/>
        <v>0</v>
      </c>
      <c r="X50" s="21">
        <f t="shared" si="41"/>
        <v>0</v>
      </c>
      <c r="Y50" s="21">
        <f t="shared" si="42"/>
        <v>0</v>
      </c>
      <c r="Z50" s="21">
        <f t="shared" si="43"/>
        <v>0</v>
      </c>
      <c r="AA50" s="21">
        <f t="shared" si="44"/>
        <v>0</v>
      </c>
      <c r="AB50" s="21">
        <f t="shared" si="45"/>
        <v>0</v>
      </c>
      <c r="AC50" s="21" t="str">
        <f t="shared" si="46"/>
        <v/>
      </c>
      <c r="AD50" s="21">
        <f>IF($A50="","",IF(OR($L50="CONCLUÍDO",$L50="CANCELADO"),"",IF(AND(OR(Filtro_Unid="(TODAS AS UNIDADES)",$C50=Filtro_Unid),OR(Filtro_Proj="(TODOS OS PROJETOS)",$AE50=Filtro_Proj)),MAX($AD$4:AD49)+1,"")))</f>
        <v>23</v>
      </c>
      <c r="AE50" s="19" t="str">
        <f t="shared" si="47"/>
        <v>N/A44  ·  OSMOSE  ·  RVD</v>
      </c>
      <c r="AF50" s="21">
        <f t="shared" si="48"/>
        <v>3</v>
      </c>
    </row>
    <row r="51" spans="1:32" x14ac:dyDescent="0.3">
      <c r="A51" s="50" t="s">
        <v>577</v>
      </c>
      <c r="B51" s="51" t="s">
        <v>146</v>
      </c>
      <c r="C51" s="51" t="s">
        <v>324</v>
      </c>
      <c r="D51" s="51" t="s">
        <v>613</v>
      </c>
      <c r="E51" s="50">
        <v>5799</v>
      </c>
      <c r="F51" s="19" t="str">
        <f t="shared" si="32"/>
        <v>RVD - CONSTRUÇÕES | INFRAESTRUTURA TI</v>
      </c>
      <c r="G51" s="51"/>
      <c r="H51" s="53">
        <v>46212</v>
      </c>
      <c r="I51" s="51" t="s">
        <v>120</v>
      </c>
      <c r="J51" s="19" t="str">
        <f t="shared" si="33"/>
        <v>SUPRIMENTOS</v>
      </c>
      <c r="K51" s="53">
        <v>46260</v>
      </c>
      <c r="L51" s="51" t="s">
        <v>10</v>
      </c>
      <c r="M51" s="51" t="s">
        <v>67</v>
      </c>
      <c r="N51" s="51"/>
      <c r="O51" s="51"/>
      <c r="P51" s="21">
        <f t="shared" si="34"/>
        <v>10</v>
      </c>
      <c r="Q51" s="21">
        <f t="shared" ca="1" si="35"/>
        <v>0</v>
      </c>
      <c r="R51" s="22">
        <f t="shared" ca="1" si="36"/>
        <v>0</v>
      </c>
      <c r="S51" s="21">
        <f t="shared" ca="1" si="37"/>
        <v>48</v>
      </c>
      <c r="T51" s="21">
        <f t="shared" ca="1" si="38"/>
        <v>0</v>
      </c>
      <c r="U51" s="19" t="str">
        <f t="shared" ca="1" si="39"/>
        <v>NO PRAZO</v>
      </c>
      <c r="V51" s="19" t="str">
        <f ca="1">IF($A51="","",IF(OR($U51="CONCLUÍDO",$U51="CANCELADO"),"—",IF($U51="BLOQUEADO",IF($N51="","BLOQUEADO SEM MOTIVO INFORMADO",$N51),IF($U51="SEM DATA DE ETAPA","INFORMAR A DATA DE INÍCIO DA ETAPA",IF($T51&gt;0,"SLA DA ETAPA "&amp;$I51&amp;" EXCEDIDO EM "&amp;$T51&amp;" DIA(S)",IF($AB51&gt;0,"DIVERGÊNCIA QUANTITATIVA EM "&amp;$AB51&amp;" ITEM(NS)",IF($S51&gt;SLA_Total,"PRAZO TOTAL ACIMA DE "&amp;SLA_Total&amp;" DIAS","FLUXO REGULAR")))))))</f>
        <v>FLUXO REGULAR</v>
      </c>
      <c r="W51" s="21">
        <f t="shared" si="40"/>
        <v>0</v>
      </c>
      <c r="X51" s="21">
        <f t="shared" si="41"/>
        <v>0</v>
      </c>
      <c r="Y51" s="21">
        <f t="shared" si="42"/>
        <v>0</v>
      </c>
      <c r="Z51" s="21">
        <f t="shared" si="43"/>
        <v>0</v>
      </c>
      <c r="AA51" s="21">
        <f t="shared" si="44"/>
        <v>0</v>
      </c>
      <c r="AB51" s="21">
        <f t="shared" si="45"/>
        <v>0</v>
      </c>
      <c r="AC51" s="21" t="str">
        <f t="shared" si="46"/>
        <v/>
      </c>
      <c r="AD51" s="21">
        <f>IF($A51="","",IF(OR($L51="CONCLUÍDO",$L51="CANCELADO"),"",IF(AND(OR(Filtro_Unid="(TODAS AS UNIDADES)",$C51=Filtro_Unid),OR(Filtro_Proj="(TODOS OS PROJETOS)",$AE51=Filtro_Proj)),MAX($AD$4:AD50)+1,"")))</f>
        <v>24</v>
      </c>
      <c r="AE51" s="19" t="str">
        <f t="shared" si="47"/>
        <v>N/A45  ·  CASA DE FORÇA  ·  RVD</v>
      </c>
      <c r="AF51" s="21">
        <f t="shared" si="48"/>
        <v>3</v>
      </c>
    </row>
    <row r="52" spans="1:32" x14ac:dyDescent="0.3">
      <c r="A52" s="50" t="s">
        <v>578</v>
      </c>
      <c r="B52" s="51" t="s">
        <v>77</v>
      </c>
      <c r="C52" s="51" t="s">
        <v>324</v>
      </c>
      <c r="D52" s="51" t="s">
        <v>613</v>
      </c>
      <c r="E52" s="50">
        <v>5799</v>
      </c>
      <c r="F52" s="19" t="str">
        <f t="shared" si="32"/>
        <v>RVD - CONSTRUÇÕES | INFRAESTRUTURA TI</v>
      </c>
      <c r="G52" s="51"/>
      <c r="H52" s="53">
        <v>46212</v>
      </c>
      <c r="I52" s="51" t="s">
        <v>120</v>
      </c>
      <c r="J52" s="19" t="str">
        <f t="shared" si="33"/>
        <v>SUPRIMENTOS</v>
      </c>
      <c r="K52" s="53">
        <v>46260</v>
      </c>
      <c r="L52" s="51" t="s">
        <v>10</v>
      </c>
      <c r="M52" s="51" t="s">
        <v>67</v>
      </c>
      <c r="N52" s="51"/>
      <c r="O52" s="51"/>
      <c r="P52" s="21">
        <f t="shared" si="34"/>
        <v>10</v>
      </c>
      <c r="Q52" s="21">
        <f t="shared" ca="1" si="35"/>
        <v>0</v>
      </c>
      <c r="R52" s="22">
        <f t="shared" ca="1" si="36"/>
        <v>0</v>
      </c>
      <c r="S52" s="21">
        <f t="shared" ca="1" si="37"/>
        <v>48</v>
      </c>
      <c r="T52" s="21">
        <f t="shared" ca="1" si="38"/>
        <v>0</v>
      </c>
      <c r="U52" s="19" t="str">
        <f t="shared" ca="1" si="39"/>
        <v>NO PRAZO</v>
      </c>
      <c r="V52" s="19" t="str">
        <f ca="1">IF($A52="","",IF(OR($U52="CONCLUÍDO",$U52="CANCELADO"),"—",IF($U52="BLOQUEADO",IF($N52="","BLOQUEADO SEM MOTIVO INFORMADO",$N52),IF($U52="SEM DATA DE ETAPA","INFORMAR A DATA DE INÍCIO DA ETAPA",IF($T52&gt;0,"SLA DA ETAPA "&amp;$I52&amp;" EXCEDIDO EM "&amp;$T52&amp;" DIA(S)",IF($AB52&gt;0,"DIVERGÊNCIA QUANTITATIVA EM "&amp;$AB52&amp;" ITEM(NS)",IF($S52&gt;SLA_Total,"PRAZO TOTAL ACIMA DE "&amp;SLA_Total&amp;" DIAS","FLUXO REGULAR")))))))</f>
        <v>FLUXO REGULAR</v>
      </c>
      <c r="W52" s="21">
        <f t="shared" si="40"/>
        <v>0</v>
      </c>
      <c r="X52" s="21">
        <f t="shared" si="41"/>
        <v>0</v>
      </c>
      <c r="Y52" s="21">
        <f t="shared" si="42"/>
        <v>0</v>
      </c>
      <c r="Z52" s="21">
        <f t="shared" si="43"/>
        <v>0</v>
      </c>
      <c r="AA52" s="21">
        <f t="shared" si="44"/>
        <v>0</v>
      </c>
      <c r="AB52" s="21">
        <f t="shared" si="45"/>
        <v>0</v>
      </c>
      <c r="AC52" s="21" t="str">
        <f t="shared" si="46"/>
        <v/>
      </c>
      <c r="AD52" s="21">
        <f>IF($A52="","",IF(OR($L52="CONCLUÍDO",$L52="CANCELADO"),"",IF(AND(OR(Filtro_Unid="(TODAS AS UNIDADES)",$C52=Filtro_Unid),OR(Filtro_Proj="(TODOS OS PROJETOS)",$AE52=Filtro_Proj)),MAX($AD$4:AD51)+1,"")))</f>
        <v>25</v>
      </c>
      <c r="AE52" s="19" t="str">
        <f t="shared" si="47"/>
        <v>N/A46  ·  TANQUES DE ETANOL  ·  RVD</v>
      </c>
      <c r="AF52" s="21">
        <f t="shared" si="48"/>
        <v>3</v>
      </c>
    </row>
    <row r="53" spans="1:32" x14ac:dyDescent="0.3">
      <c r="A53" s="50" t="s">
        <v>579</v>
      </c>
      <c r="B53" s="51" t="s">
        <v>155</v>
      </c>
      <c r="C53" s="51" t="s">
        <v>324</v>
      </c>
      <c r="D53" s="51" t="s">
        <v>613</v>
      </c>
      <c r="E53" s="50">
        <v>5799</v>
      </c>
      <c r="F53" s="19" t="str">
        <f t="shared" si="32"/>
        <v>RVD - CONSTRUÇÕES | INFRAESTRUTURA TI</v>
      </c>
      <c r="G53" s="51"/>
      <c r="H53" s="53">
        <v>46212</v>
      </c>
      <c r="I53" s="51" t="s">
        <v>120</v>
      </c>
      <c r="J53" s="19" t="str">
        <f t="shared" si="33"/>
        <v>SUPRIMENTOS</v>
      </c>
      <c r="K53" s="53">
        <v>46260</v>
      </c>
      <c r="L53" s="51" t="s">
        <v>10</v>
      </c>
      <c r="M53" s="51" t="s">
        <v>67</v>
      </c>
      <c r="N53" s="51"/>
      <c r="O53" s="51"/>
      <c r="P53" s="21">
        <f t="shared" si="34"/>
        <v>10</v>
      </c>
      <c r="Q53" s="21">
        <f t="shared" ca="1" si="35"/>
        <v>0</v>
      </c>
      <c r="R53" s="22">
        <f t="shared" ca="1" si="36"/>
        <v>0</v>
      </c>
      <c r="S53" s="21">
        <f t="shared" ca="1" si="37"/>
        <v>48</v>
      </c>
      <c r="T53" s="21">
        <f t="shared" ca="1" si="38"/>
        <v>0</v>
      </c>
      <c r="U53" s="19" t="str">
        <f t="shared" ca="1" si="39"/>
        <v>NO PRAZO</v>
      </c>
      <c r="V53" s="19" t="str">
        <f ca="1">IF($A53="","",IF(OR($U53="CONCLUÍDO",$U53="CANCELADO"),"—",IF($U53="BLOQUEADO",IF($N53="","BLOQUEADO SEM MOTIVO INFORMADO",$N53),IF($U53="SEM DATA DE ETAPA","INFORMAR A DATA DE INÍCIO DA ETAPA",IF($T53&gt;0,"SLA DA ETAPA "&amp;$I53&amp;" EXCEDIDO EM "&amp;$T53&amp;" DIA(S)",IF($AB53&gt;0,"DIVERGÊNCIA QUANTITATIVA EM "&amp;$AB53&amp;" ITEM(NS)",IF($S53&gt;SLA_Total,"PRAZO TOTAL ACIMA DE "&amp;SLA_Total&amp;" DIAS","FLUXO REGULAR")))))))</f>
        <v>FLUXO REGULAR</v>
      </c>
      <c r="W53" s="21">
        <f t="shared" si="40"/>
        <v>0</v>
      </c>
      <c r="X53" s="21">
        <f t="shared" si="41"/>
        <v>0</v>
      </c>
      <c r="Y53" s="21">
        <f t="shared" si="42"/>
        <v>0</v>
      </c>
      <c r="Z53" s="21">
        <f t="shared" si="43"/>
        <v>0</v>
      </c>
      <c r="AA53" s="21">
        <f t="shared" si="44"/>
        <v>0</v>
      </c>
      <c r="AB53" s="21">
        <f t="shared" si="45"/>
        <v>0</v>
      </c>
      <c r="AC53" s="21" t="str">
        <f t="shared" si="46"/>
        <v/>
      </c>
      <c r="AD53" s="21">
        <f>IF($A53="","",IF(OR($L53="CONCLUÍDO",$L53="CANCELADO"),"",IF(AND(OR(Filtro_Unid="(TODAS AS UNIDADES)",$C53=Filtro_Unid),OR(Filtro_Proj="(TODOS OS PROJETOS)",$AE53=Filtro_Proj)),MAX($AD$4:AD52)+1,"")))</f>
        <v>26</v>
      </c>
      <c r="AE53" s="19" t="str">
        <f t="shared" si="47"/>
        <v>N/A47  ·  EXPEDIÇÃO DE ETANOL  ·  RVD</v>
      </c>
      <c r="AF53" s="21">
        <f t="shared" si="48"/>
        <v>3</v>
      </c>
    </row>
    <row r="54" spans="1:32" x14ac:dyDescent="0.3">
      <c r="A54" s="50" t="s">
        <v>580</v>
      </c>
      <c r="B54" s="51" t="s">
        <v>581</v>
      </c>
      <c r="C54" s="51" t="s">
        <v>324</v>
      </c>
      <c r="D54" s="51" t="s">
        <v>613</v>
      </c>
      <c r="E54" s="50">
        <v>5799</v>
      </c>
      <c r="F54" s="19" t="str">
        <f t="shared" si="32"/>
        <v>RVD - CONSTRUÇÕES | INFRAESTRUTURA TI</v>
      </c>
      <c r="G54" s="51"/>
      <c r="H54" s="53">
        <v>46225</v>
      </c>
      <c r="I54" s="51" t="s">
        <v>120</v>
      </c>
      <c r="J54" s="19" t="str">
        <f t="shared" si="33"/>
        <v>SUPRIMENTOS</v>
      </c>
      <c r="K54" s="53">
        <v>46260</v>
      </c>
      <c r="L54" s="51" t="s">
        <v>10</v>
      </c>
      <c r="M54" s="51" t="s">
        <v>67</v>
      </c>
      <c r="N54" s="51"/>
      <c r="O54" s="51"/>
      <c r="P54" s="21">
        <f t="shared" si="34"/>
        <v>10</v>
      </c>
      <c r="Q54" s="21">
        <f t="shared" ca="1" si="35"/>
        <v>0</v>
      </c>
      <c r="R54" s="22">
        <f t="shared" ca="1" si="36"/>
        <v>0</v>
      </c>
      <c r="S54" s="21">
        <f t="shared" ca="1" si="37"/>
        <v>35</v>
      </c>
      <c r="T54" s="21">
        <f t="shared" ca="1" si="38"/>
        <v>0</v>
      </c>
      <c r="U54" s="19" t="str">
        <f t="shared" ca="1" si="39"/>
        <v>NO PRAZO</v>
      </c>
      <c r="V54" s="19" t="str">
        <f ca="1">IF($A54="","",IF(OR($U54="CONCLUÍDO",$U54="CANCELADO"),"—",IF($U54="BLOQUEADO",IF($N54="","BLOQUEADO SEM MOTIVO INFORMADO",$N54),IF($U54="SEM DATA DE ETAPA","INFORMAR A DATA DE INÍCIO DA ETAPA",IF($T54&gt;0,"SLA DA ETAPA "&amp;$I54&amp;" EXCEDIDO EM "&amp;$T54&amp;" DIA(S)",IF($AB54&gt;0,"DIVERGÊNCIA QUANTITATIVA EM "&amp;$AB54&amp;" ITEM(NS)",IF($S54&gt;SLA_Total,"PRAZO TOTAL ACIMA DE "&amp;SLA_Total&amp;" DIAS","FLUXO REGULAR")))))))</f>
        <v>FLUXO REGULAR</v>
      </c>
      <c r="W54" s="21">
        <f t="shared" si="40"/>
        <v>0</v>
      </c>
      <c r="X54" s="21">
        <f t="shared" si="41"/>
        <v>0</v>
      </c>
      <c r="Y54" s="21">
        <f t="shared" si="42"/>
        <v>0</v>
      </c>
      <c r="Z54" s="21">
        <f t="shared" si="43"/>
        <v>0</v>
      </c>
      <c r="AA54" s="21">
        <f t="shared" si="44"/>
        <v>0</v>
      </c>
      <c r="AB54" s="21">
        <f t="shared" si="45"/>
        <v>0</v>
      </c>
      <c r="AC54" s="21" t="str">
        <f t="shared" si="46"/>
        <v/>
      </c>
      <c r="AD54" s="21">
        <f>IF($A54="","",IF(OR($L54="CONCLUÍDO",$L54="CANCELADO"),"",IF(AND(OR(Filtro_Unid="(TODAS AS UNIDADES)",$C54=Filtro_Unid),OR(Filtro_Proj="(TODOS OS PROJETOS)",$AE54=Filtro_Proj)),MAX($AD$4:AD53)+1,"")))</f>
        <v>27</v>
      </c>
      <c r="AE54" s="19" t="str">
        <f t="shared" si="47"/>
        <v>N/A48  ·  COZINHA INDUSTRIAL  ·  RVD</v>
      </c>
      <c r="AF54" s="21">
        <f t="shared" si="48"/>
        <v>3</v>
      </c>
    </row>
    <row r="55" spans="1:32" x14ac:dyDescent="0.3">
      <c r="A55" s="50" t="s">
        <v>582</v>
      </c>
      <c r="B55" s="51" t="s">
        <v>583</v>
      </c>
      <c r="C55" s="51" t="s">
        <v>324</v>
      </c>
      <c r="D55" s="51" t="s">
        <v>613</v>
      </c>
      <c r="E55" s="50">
        <v>5799</v>
      </c>
      <c r="F55" s="19" t="str">
        <f t="shared" si="32"/>
        <v>RVD - CONSTRUÇÕES | INFRAESTRUTURA TI</v>
      </c>
      <c r="G55" s="51"/>
      <c r="H55" s="53">
        <v>46240</v>
      </c>
      <c r="I55" s="51" t="s">
        <v>120</v>
      </c>
      <c r="J55" s="19" t="str">
        <f t="shared" si="33"/>
        <v>SUPRIMENTOS</v>
      </c>
      <c r="K55" s="53">
        <v>46260</v>
      </c>
      <c r="L55" s="51" t="s">
        <v>10</v>
      </c>
      <c r="M55" s="51" t="s">
        <v>67</v>
      </c>
      <c r="N55" s="51"/>
      <c r="O55" s="51"/>
      <c r="P55" s="21">
        <f t="shared" si="34"/>
        <v>10</v>
      </c>
      <c r="Q55" s="21">
        <f t="shared" ca="1" si="35"/>
        <v>0</v>
      </c>
      <c r="R55" s="22">
        <f t="shared" ca="1" si="36"/>
        <v>0</v>
      </c>
      <c r="S55" s="21">
        <f t="shared" ca="1" si="37"/>
        <v>20</v>
      </c>
      <c r="T55" s="21">
        <f t="shared" ca="1" si="38"/>
        <v>0</v>
      </c>
      <c r="U55" s="19" t="str">
        <f t="shared" ca="1" si="39"/>
        <v>NO PRAZO</v>
      </c>
      <c r="V55" s="19" t="str">
        <f ca="1">IF($A55="","",IF(OR($U55="CONCLUÍDO",$U55="CANCELADO"),"—",IF($U55="BLOQUEADO",IF($N55="","BLOQUEADO SEM MOTIVO INFORMADO",$N55),IF($U55="SEM DATA DE ETAPA","INFORMAR A DATA DE INÍCIO DA ETAPA",IF($T55&gt;0,"SLA DA ETAPA "&amp;$I55&amp;" EXCEDIDO EM "&amp;$T55&amp;" DIA(S)",IF($AB55&gt;0,"DIVERGÊNCIA QUANTITATIVA EM "&amp;$AB55&amp;" ITEM(NS)",IF($S55&gt;SLA_Total,"PRAZO TOTAL ACIMA DE "&amp;SLA_Total&amp;" DIAS","FLUXO REGULAR")))))))</f>
        <v>FLUXO REGULAR</v>
      </c>
      <c r="W55" s="21">
        <f t="shared" si="40"/>
        <v>0</v>
      </c>
      <c r="X55" s="21">
        <f t="shared" si="41"/>
        <v>0</v>
      </c>
      <c r="Y55" s="21">
        <f t="shared" si="42"/>
        <v>0</v>
      </c>
      <c r="Z55" s="21">
        <f t="shared" si="43"/>
        <v>0</v>
      </c>
      <c r="AA55" s="21">
        <f t="shared" si="44"/>
        <v>0</v>
      </c>
      <c r="AB55" s="21">
        <f t="shared" si="45"/>
        <v>0</v>
      </c>
      <c r="AC55" s="21" t="str">
        <f t="shared" si="46"/>
        <v/>
      </c>
      <c r="AD55" s="21">
        <f>IF($A55="","",IF(OR($L55="CONCLUÍDO",$L55="CANCELADO"),"",IF(AND(OR(Filtro_Unid="(TODAS AS UNIDADES)",$C55=Filtro_Unid),OR(Filtro_Proj="(TODOS OS PROJETOS)",$AE55=Filtro_Proj)),MAX($AD$4:AD54)+1,"")))</f>
        <v>28</v>
      </c>
      <c r="AE55" s="19" t="str">
        <f t="shared" si="47"/>
        <v>N/A49  ·  TANQUES DE ÓLEO  ·  RVD</v>
      </c>
      <c r="AF55" s="21">
        <f t="shared" si="48"/>
        <v>3</v>
      </c>
    </row>
    <row r="56" spans="1:32" x14ac:dyDescent="0.3">
      <c r="A56" s="50" t="s">
        <v>584</v>
      </c>
      <c r="B56" s="51" t="s">
        <v>144</v>
      </c>
      <c r="C56" s="51" t="s">
        <v>324</v>
      </c>
      <c r="D56" s="51" t="s">
        <v>613</v>
      </c>
      <c r="E56" s="50">
        <v>5799</v>
      </c>
      <c r="F56" s="19" t="str">
        <f t="shared" si="32"/>
        <v>RVD - CONSTRUÇÕES | INFRAESTRUTURA TI</v>
      </c>
      <c r="G56" s="51"/>
      <c r="H56" s="53">
        <v>46212</v>
      </c>
      <c r="I56" s="51" t="s">
        <v>120</v>
      </c>
      <c r="J56" s="19" t="str">
        <f t="shared" si="33"/>
        <v>SUPRIMENTOS</v>
      </c>
      <c r="K56" s="53">
        <v>46260</v>
      </c>
      <c r="L56" s="51" t="s">
        <v>10</v>
      </c>
      <c r="M56" s="51" t="s">
        <v>67</v>
      </c>
      <c r="N56" s="51"/>
      <c r="O56" s="51"/>
      <c r="P56" s="21">
        <f t="shared" si="34"/>
        <v>10</v>
      </c>
      <c r="Q56" s="21">
        <f t="shared" ca="1" si="35"/>
        <v>0</v>
      </c>
      <c r="R56" s="22">
        <f t="shared" ca="1" si="36"/>
        <v>0</v>
      </c>
      <c r="S56" s="21">
        <f t="shared" ca="1" si="37"/>
        <v>48</v>
      </c>
      <c r="T56" s="21">
        <f t="shared" ca="1" si="38"/>
        <v>0</v>
      </c>
      <c r="U56" s="19" t="str">
        <f t="shared" ca="1" si="39"/>
        <v>NO PRAZO</v>
      </c>
      <c r="V56" s="19" t="str">
        <f ca="1">IF($A56="","",IF(OR($U56="CONCLUÍDO",$U56="CANCELADO"),"—",IF($U56="BLOQUEADO",IF($N56="","BLOQUEADO SEM MOTIVO INFORMADO",$N56),IF($U56="SEM DATA DE ETAPA","INFORMAR A DATA DE INÍCIO DA ETAPA",IF($T56&gt;0,"SLA DA ETAPA "&amp;$I56&amp;" EXCEDIDO EM "&amp;$T56&amp;" DIA(S)",IF($AB56&gt;0,"DIVERGÊNCIA QUANTITATIVA EM "&amp;$AB56&amp;" ITEM(NS)",IF($S56&gt;SLA_Total,"PRAZO TOTAL ACIMA DE "&amp;SLA_Total&amp;" DIAS","FLUXO REGULAR")))))))</f>
        <v>FLUXO REGULAR</v>
      </c>
      <c r="W56" s="21">
        <f t="shared" si="40"/>
        <v>0</v>
      </c>
      <c r="X56" s="21">
        <f t="shared" si="41"/>
        <v>0</v>
      </c>
      <c r="Y56" s="21">
        <f t="shared" si="42"/>
        <v>0</v>
      </c>
      <c r="Z56" s="21">
        <f t="shared" si="43"/>
        <v>0</v>
      </c>
      <c r="AA56" s="21">
        <f t="shared" si="44"/>
        <v>0</v>
      </c>
      <c r="AB56" s="21">
        <f t="shared" si="45"/>
        <v>0</v>
      </c>
      <c r="AC56" s="21" t="str">
        <f t="shared" si="46"/>
        <v/>
      </c>
      <c r="AD56" s="21">
        <f>IF($A56="","",IF(OR($L56="CONCLUÍDO",$L56="CANCELADO"),"",IF(AND(OR(Filtro_Unid="(TODAS AS UNIDADES)",$C56=Filtro_Unid),OR(Filtro_Proj="(TODOS OS PROJETOS)",$AE56=Filtro_Proj)),MAX($AD$4:AD55)+1,"")))</f>
        <v>29</v>
      </c>
      <c r="AE56" s="19" t="str">
        <f t="shared" si="47"/>
        <v>N/A50  ·  TOMBADOR  ·  RVD</v>
      </c>
      <c r="AF56" s="21">
        <f t="shared" si="48"/>
        <v>3</v>
      </c>
    </row>
    <row r="57" spans="1:32" x14ac:dyDescent="0.3">
      <c r="A57" s="50" t="s">
        <v>585</v>
      </c>
      <c r="B57" s="51" t="s">
        <v>586</v>
      </c>
      <c r="C57" s="51" t="s">
        <v>324</v>
      </c>
      <c r="D57" s="51" t="s">
        <v>613</v>
      </c>
      <c r="E57" s="50">
        <v>5799</v>
      </c>
      <c r="F57" s="19" t="str">
        <f t="shared" si="32"/>
        <v>RVD - CONSTRUÇÕES | INFRAESTRUTURA TI</v>
      </c>
      <c r="G57" s="51"/>
      <c r="H57" s="53">
        <v>45999</v>
      </c>
      <c r="I57" s="51" t="s">
        <v>120</v>
      </c>
      <c r="J57" s="19" t="str">
        <f t="shared" si="33"/>
        <v>SUPRIMENTOS</v>
      </c>
      <c r="K57" s="53">
        <v>46023</v>
      </c>
      <c r="L57" s="51" t="s">
        <v>10</v>
      </c>
      <c r="M57" s="51" t="s">
        <v>67</v>
      </c>
      <c r="N57" s="51"/>
      <c r="O57" s="51"/>
      <c r="P57" s="21">
        <f t="shared" si="34"/>
        <v>10</v>
      </c>
      <c r="Q57" s="21">
        <f t="shared" ca="1" si="35"/>
        <v>237</v>
      </c>
      <c r="R57" s="22">
        <f t="shared" ca="1" si="36"/>
        <v>23.7</v>
      </c>
      <c r="S57" s="21">
        <f t="shared" ca="1" si="37"/>
        <v>261</v>
      </c>
      <c r="T57" s="21">
        <f t="shared" ca="1" si="38"/>
        <v>227</v>
      </c>
      <c r="U57" s="19" t="str">
        <f t="shared" ca="1" si="39"/>
        <v>ATRASADO</v>
      </c>
      <c r="V57" s="19" t="str">
        <f ca="1">IF($A57="","",IF(OR($U57="CONCLUÍDO",$U57="CANCELADO"),"—",IF($U57="BLOQUEADO",IF($N57="","BLOQUEADO SEM MOTIVO INFORMADO",$N57),IF($U57="SEM DATA DE ETAPA","INFORMAR A DATA DE INÍCIO DA ETAPA",IF($T57&gt;0,"SLA DA ETAPA "&amp;$I57&amp;" EXCEDIDO EM "&amp;$T57&amp;" DIA(S)",IF($AB57&gt;0,"DIVERGÊNCIA QUANTITATIVA EM "&amp;$AB57&amp;" ITEM(NS)",IF($S57&gt;SLA_Total,"PRAZO TOTAL ACIMA DE "&amp;SLA_Total&amp;" DIAS","FLUXO REGULAR")))))))</f>
        <v>SLA DA ETAPA FLUXO DE SUPRIMENTOS EXCEDIDO EM 227 DIA(S)</v>
      </c>
      <c r="W57" s="21">
        <f t="shared" si="40"/>
        <v>0</v>
      </c>
      <c r="X57" s="21">
        <f t="shared" si="41"/>
        <v>0</v>
      </c>
      <c r="Y57" s="21">
        <f t="shared" si="42"/>
        <v>0</v>
      </c>
      <c r="Z57" s="21">
        <f t="shared" si="43"/>
        <v>0</v>
      </c>
      <c r="AA57" s="21">
        <f t="shared" si="44"/>
        <v>0</v>
      </c>
      <c r="AB57" s="21">
        <f t="shared" si="45"/>
        <v>0</v>
      </c>
      <c r="AC57" s="21" t="str">
        <f t="shared" si="46"/>
        <v/>
      </c>
      <c r="AD57" s="21">
        <f>IF($A57="","",IF(OR($L57="CONCLUÍDO",$L57="CANCELADO"),"",IF(AND(OR(Filtro_Unid="(TODAS AS UNIDADES)",$C57=Filtro_Unid),OR(Filtro_Proj="(TODOS OS PROJETOS)",$AE57=Filtro_Proj)),MAX($AD$4:AD56)+1,"")))</f>
        <v>30</v>
      </c>
      <c r="AE57" s="19" t="str">
        <f t="shared" si="47"/>
        <v>N/A51  ·  ALMOX OPEX  ·  RVD</v>
      </c>
      <c r="AF57" s="21">
        <f t="shared" si="48"/>
        <v>3</v>
      </c>
    </row>
    <row r="58" spans="1:32" x14ac:dyDescent="0.3">
      <c r="A58" s="50" t="s">
        <v>587</v>
      </c>
      <c r="B58" s="51" t="s">
        <v>106</v>
      </c>
      <c r="C58" s="51" t="s">
        <v>324</v>
      </c>
      <c r="D58" s="51" t="s">
        <v>613</v>
      </c>
      <c r="E58" s="50">
        <v>5799</v>
      </c>
      <c r="F58" s="19" t="str">
        <f t="shared" si="32"/>
        <v>RVD - CONSTRUÇÕES | INFRAESTRUTURA TI</v>
      </c>
      <c r="G58" s="51"/>
      <c r="H58" s="53">
        <v>46000</v>
      </c>
      <c r="I58" s="51" t="s">
        <v>120</v>
      </c>
      <c r="J58" s="19" t="str">
        <f t="shared" si="33"/>
        <v>SUPRIMENTOS</v>
      </c>
      <c r="K58" s="53">
        <v>46023</v>
      </c>
      <c r="L58" s="51" t="s">
        <v>10</v>
      </c>
      <c r="M58" s="51" t="s">
        <v>67</v>
      </c>
      <c r="N58" s="51"/>
      <c r="O58" s="51"/>
      <c r="P58" s="21">
        <f t="shared" si="34"/>
        <v>10</v>
      </c>
      <c r="Q58" s="21">
        <f t="shared" ca="1" si="35"/>
        <v>237</v>
      </c>
      <c r="R58" s="22">
        <f t="shared" ca="1" si="36"/>
        <v>23.7</v>
      </c>
      <c r="S58" s="21">
        <f t="shared" ca="1" si="37"/>
        <v>260</v>
      </c>
      <c r="T58" s="21">
        <f t="shared" ca="1" si="38"/>
        <v>227</v>
      </c>
      <c r="U58" s="19" t="str">
        <f t="shared" ca="1" si="39"/>
        <v>ATRASADO</v>
      </c>
      <c r="V58" s="19" t="str">
        <f ca="1">IF($A58="","",IF(OR($U58="CONCLUÍDO",$U58="CANCELADO"),"—",IF($U58="BLOQUEADO",IF($N58="","BLOQUEADO SEM MOTIVO INFORMADO",$N58),IF($U58="SEM DATA DE ETAPA","INFORMAR A DATA DE INÍCIO DA ETAPA",IF($T58&gt;0,"SLA DA ETAPA "&amp;$I58&amp;" EXCEDIDO EM "&amp;$T58&amp;" DIA(S)",IF($AB58&gt;0,"DIVERGÊNCIA QUANTITATIVA EM "&amp;$AB58&amp;" ITEM(NS)",IF($S58&gt;SLA_Total,"PRAZO TOTAL ACIMA DE "&amp;SLA_Total&amp;" DIAS","FLUXO REGULAR")))))))</f>
        <v>SLA DA ETAPA FLUXO DE SUPRIMENTOS EXCEDIDO EM 227 DIA(S)</v>
      </c>
      <c r="W58" s="21">
        <f t="shared" si="40"/>
        <v>0</v>
      </c>
      <c r="X58" s="21">
        <f t="shared" si="41"/>
        <v>0</v>
      </c>
      <c r="Y58" s="21">
        <f t="shared" si="42"/>
        <v>0</v>
      </c>
      <c r="Z58" s="21">
        <f t="shared" si="43"/>
        <v>0</v>
      </c>
      <c r="AA58" s="21">
        <f t="shared" si="44"/>
        <v>0</v>
      </c>
      <c r="AB58" s="21">
        <f t="shared" si="45"/>
        <v>0</v>
      </c>
      <c r="AC58" s="21" t="str">
        <f t="shared" si="46"/>
        <v/>
      </c>
      <c r="AD58" s="21">
        <f>IF($A58="","",IF(OR($L58="CONCLUÍDO",$L58="CANCELADO"),"",IF(AND(OR(Filtro_Unid="(TODAS AS UNIDADES)",$C58=Filtro_Unid),OR(Filtro_Proj="(TODOS OS PROJETOS)",$AE58=Filtro_Proj)),MAX($AD$4:AD57)+1,"")))</f>
        <v>31</v>
      </c>
      <c r="AE58" s="19" t="str">
        <f t="shared" si="47"/>
        <v>N/A52  ·  CALDEIRA  ·  RVD</v>
      </c>
      <c r="AF58" s="21">
        <f t="shared" si="48"/>
        <v>3</v>
      </c>
    </row>
    <row r="59" spans="1:32" x14ac:dyDescent="0.3">
      <c r="A59" s="50" t="s">
        <v>588</v>
      </c>
      <c r="B59" s="51" t="s">
        <v>589</v>
      </c>
      <c r="C59" s="51" t="s">
        <v>324</v>
      </c>
      <c r="D59" s="51" t="s">
        <v>613</v>
      </c>
      <c r="E59" s="50">
        <v>5799</v>
      </c>
      <c r="F59" s="19" t="str">
        <f t="shared" si="32"/>
        <v>RVD - CONSTRUÇÕES | INFRAESTRUTURA TI</v>
      </c>
      <c r="G59" s="51"/>
      <c r="H59" s="53">
        <v>46001</v>
      </c>
      <c r="I59" s="51" t="s">
        <v>120</v>
      </c>
      <c r="J59" s="19" t="str">
        <f t="shared" si="33"/>
        <v>SUPRIMENTOS</v>
      </c>
      <c r="K59" s="53">
        <v>46023</v>
      </c>
      <c r="L59" s="51" t="s">
        <v>10</v>
      </c>
      <c r="M59" s="51" t="s">
        <v>67</v>
      </c>
      <c r="N59" s="51"/>
      <c r="O59" s="51"/>
      <c r="P59" s="21">
        <f t="shared" si="34"/>
        <v>10</v>
      </c>
      <c r="Q59" s="21">
        <f t="shared" ca="1" si="35"/>
        <v>237</v>
      </c>
      <c r="R59" s="22">
        <f t="shared" ca="1" si="36"/>
        <v>23.7</v>
      </c>
      <c r="S59" s="21">
        <f t="shared" ca="1" si="37"/>
        <v>259</v>
      </c>
      <c r="T59" s="21">
        <f t="shared" ca="1" si="38"/>
        <v>227</v>
      </c>
      <c r="U59" s="19" t="str">
        <f t="shared" ca="1" si="39"/>
        <v>ATRASADO</v>
      </c>
      <c r="V59" s="19" t="str">
        <f ca="1">IF($A59="","",IF(OR($U59="CONCLUÍDO",$U59="CANCELADO"),"—",IF($U59="BLOQUEADO",IF($N59="","BLOQUEADO SEM MOTIVO INFORMADO",$N59),IF($U59="SEM DATA DE ETAPA","INFORMAR A DATA DE INÍCIO DA ETAPA",IF($T59&gt;0,"SLA DA ETAPA "&amp;$I59&amp;" EXCEDIDO EM "&amp;$T59&amp;" DIA(S)",IF($AB59&gt;0,"DIVERGÊNCIA QUANTITATIVA EM "&amp;$AB59&amp;" ITEM(NS)",IF($S59&gt;SLA_Total,"PRAZO TOTAL ACIMA DE "&amp;SLA_Total&amp;" DIAS","FLUXO REGULAR")))))))</f>
        <v>SLA DA ETAPA FLUXO DE SUPRIMENTOS EXCEDIDO EM 227 DIA(S)</v>
      </c>
      <c r="W59" s="21">
        <f t="shared" si="40"/>
        <v>0</v>
      </c>
      <c r="X59" s="21">
        <f t="shared" si="41"/>
        <v>0</v>
      </c>
      <c r="Y59" s="21">
        <f t="shared" si="42"/>
        <v>0</v>
      </c>
      <c r="Z59" s="21">
        <f t="shared" si="43"/>
        <v>0</v>
      </c>
      <c r="AA59" s="21">
        <f t="shared" si="44"/>
        <v>0</v>
      </c>
      <c r="AB59" s="21">
        <f t="shared" si="45"/>
        <v>0</v>
      </c>
      <c r="AC59" s="21" t="str">
        <f t="shared" si="46"/>
        <v/>
      </c>
      <c r="AD59" s="21">
        <f>IF($A59="","",IF(OR($L59="CONCLUÍDO",$L59="CANCELADO"),"",IF(AND(OR(Filtro_Unid="(TODAS AS UNIDADES)",$C59=Filtro_Unid),OR(Filtro_Proj="(TODOS OS PROJETOS)",$AE59=Filtro_Proj)),MAX($AD$4:AD58)+1,"")))</f>
        <v>32</v>
      </c>
      <c r="AE59" s="19" t="str">
        <f t="shared" si="47"/>
        <v>N/A53  ·  PRÉDIO ADM  ·  RVD</v>
      </c>
      <c r="AF59" s="21">
        <f t="shared" si="48"/>
        <v>3</v>
      </c>
    </row>
    <row r="60" spans="1:32" x14ac:dyDescent="0.3">
      <c r="A60" s="50" t="s">
        <v>590</v>
      </c>
      <c r="B60" s="51" t="s">
        <v>363</v>
      </c>
      <c r="C60" s="51" t="s">
        <v>324</v>
      </c>
      <c r="D60" s="51" t="s">
        <v>613</v>
      </c>
      <c r="E60" s="50">
        <v>5799</v>
      </c>
      <c r="F60" s="19" t="str">
        <f t="shared" si="32"/>
        <v>RVD - CONSTRUÇÕES | INFRAESTRUTURA TI</v>
      </c>
      <c r="G60" s="51"/>
      <c r="H60" s="53">
        <v>46002</v>
      </c>
      <c r="I60" s="51" t="s">
        <v>120</v>
      </c>
      <c r="J60" s="19" t="str">
        <f t="shared" si="33"/>
        <v>SUPRIMENTOS</v>
      </c>
      <c r="K60" s="53">
        <v>46023</v>
      </c>
      <c r="L60" s="51" t="s">
        <v>10</v>
      </c>
      <c r="M60" s="51" t="s">
        <v>67</v>
      </c>
      <c r="N60" s="51"/>
      <c r="O60" s="51"/>
      <c r="P60" s="21">
        <f t="shared" si="34"/>
        <v>10</v>
      </c>
      <c r="Q60" s="21">
        <f t="shared" ca="1" si="35"/>
        <v>237</v>
      </c>
      <c r="R60" s="22">
        <f t="shared" ca="1" si="36"/>
        <v>23.7</v>
      </c>
      <c r="S60" s="21">
        <f t="shared" ca="1" si="37"/>
        <v>258</v>
      </c>
      <c r="T60" s="21">
        <f t="shared" ca="1" si="38"/>
        <v>227</v>
      </c>
      <c r="U60" s="19" t="str">
        <f t="shared" ca="1" si="39"/>
        <v>ATRASADO</v>
      </c>
      <c r="V60" s="19" t="str">
        <f ca="1">IF($A60="","",IF(OR($U60="CONCLUÍDO",$U60="CANCELADO"),"—",IF($U60="BLOQUEADO",IF($N60="","BLOQUEADO SEM MOTIVO INFORMADO",$N60),IF($U60="SEM DATA DE ETAPA","INFORMAR A DATA DE INÍCIO DA ETAPA",IF($T60&gt;0,"SLA DA ETAPA "&amp;$I60&amp;" EXCEDIDO EM "&amp;$T60&amp;" DIA(S)",IF($AB60&gt;0,"DIVERGÊNCIA QUANTITATIVA EM "&amp;$AB60&amp;" ITEM(NS)",IF($S60&gt;SLA_Total,"PRAZO TOTAL ACIMA DE "&amp;SLA_Total&amp;" DIAS","FLUXO REGULAR")))))))</f>
        <v>SLA DA ETAPA FLUXO DE SUPRIMENTOS EXCEDIDO EM 227 DIA(S)</v>
      </c>
      <c r="W60" s="21">
        <f t="shared" si="40"/>
        <v>0</v>
      </c>
      <c r="X60" s="21">
        <f t="shared" si="41"/>
        <v>0</v>
      </c>
      <c r="Y60" s="21">
        <f t="shared" si="42"/>
        <v>0</v>
      </c>
      <c r="Z60" s="21">
        <f t="shared" si="43"/>
        <v>0</v>
      </c>
      <c r="AA60" s="21">
        <f t="shared" si="44"/>
        <v>0</v>
      </c>
      <c r="AB60" s="21">
        <f t="shared" si="45"/>
        <v>0</v>
      </c>
      <c r="AC60" s="21" t="str">
        <f t="shared" si="46"/>
        <v/>
      </c>
      <c r="AD60" s="21">
        <f>IF($A60="","",IF(OR($L60="CONCLUÍDO",$L60="CANCELADO"),"",IF(AND(OR(Filtro_Unid="(TODAS AS UNIDADES)",$C60=Filtro_Unid),OR(Filtro_Proj="(TODOS OS PROJETOS)",$AE60=Filtro_Proj)),MAX($AD$4:AD59)+1,"")))</f>
        <v>33</v>
      </c>
      <c r="AE60" s="19" t="str">
        <f t="shared" si="47"/>
        <v>N/A54  ·  COI  ·  RVD</v>
      </c>
      <c r="AF60" s="21">
        <f t="shared" si="48"/>
        <v>3</v>
      </c>
    </row>
    <row r="61" spans="1:32" x14ac:dyDescent="0.3">
      <c r="A61" s="50" t="s">
        <v>591</v>
      </c>
      <c r="B61" s="51" t="s">
        <v>101</v>
      </c>
      <c r="C61" s="51" t="s">
        <v>324</v>
      </c>
      <c r="D61" s="51" t="s">
        <v>613</v>
      </c>
      <c r="E61" s="17">
        <v>5799</v>
      </c>
      <c r="F61" s="19" t="str">
        <f t="shared" si="32"/>
        <v>RVD - CONSTRUÇÕES | INFRAESTRUTURA TI</v>
      </c>
      <c r="G61" s="51"/>
      <c r="H61" s="53">
        <v>46003</v>
      </c>
      <c r="I61" s="51" t="s">
        <v>120</v>
      </c>
      <c r="J61" s="19" t="str">
        <f t="shared" si="33"/>
        <v>SUPRIMENTOS</v>
      </c>
      <c r="K61" s="53">
        <v>46023</v>
      </c>
      <c r="L61" s="51" t="s">
        <v>10</v>
      </c>
      <c r="M61" s="51" t="s">
        <v>67</v>
      </c>
      <c r="N61" s="51"/>
      <c r="O61" s="51"/>
      <c r="P61" s="21">
        <f t="shared" si="34"/>
        <v>10</v>
      </c>
      <c r="Q61" s="21">
        <f t="shared" ca="1" si="35"/>
        <v>237</v>
      </c>
      <c r="R61" s="22">
        <f t="shared" ca="1" si="36"/>
        <v>23.7</v>
      </c>
      <c r="S61" s="21">
        <f t="shared" ca="1" si="37"/>
        <v>257</v>
      </c>
      <c r="T61" s="21">
        <f t="shared" ca="1" si="38"/>
        <v>227</v>
      </c>
      <c r="U61" s="19" t="str">
        <f t="shared" ca="1" si="39"/>
        <v>ATRASADO</v>
      </c>
      <c r="V61" s="19" t="str">
        <f ca="1">IF($A61="","",IF(OR($U61="CONCLUÍDO",$U61="CANCELADO"),"—",IF($U61="BLOQUEADO",IF($N61="","BLOQUEADO SEM MOTIVO INFORMADO",$N61),IF($U61="SEM DATA DE ETAPA","INFORMAR A DATA DE INÍCIO DA ETAPA",IF($T61&gt;0,"SLA DA ETAPA "&amp;$I61&amp;" EXCEDIDO EM "&amp;$T61&amp;" DIA(S)",IF($AB61&gt;0,"DIVERGÊNCIA QUANTITATIVA EM "&amp;$AB61&amp;" ITEM(NS)",IF($S61&gt;SLA_Total,"PRAZO TOTAL ACIMA DE "&amp;SLA_Total&amp;" DIAS","FLUXO REGULAR")))))))</f>
        <v>SLA DA ETAPA FLUXO DE SUPRIMENTOS EXCEDIDO EM 227 DIA(S)</v>
      </c>
      <c r="W61" s="21">
        <f t="shared" si="40"/>
        <v>0</v>
      </c>
      <c r="X61" s="21">
        <f t="shared" si="41"/>
        <v>0</v>
      </c>
      <c r="Y61" s="21">
        <f t="shared" si="42"/>
        <v>0</v>
      </c>
      <c r="Z61" s="21">
        <f t="shared" si="43"/>
        <v>0</v>
      </c>
      <c r="AA61" s="21">
        <f t="shared" si="44"/>
        <v>0</v>
      </c>
      <c r="AB61" s="21">
        <f t="shared" si="45"/>
        <v>0</v>
      </c>
      <c r="AC61" s="21" t="str">
        <f t="shared" si="46"/>
        <v/>
      </c>
      <c r="AD61" s="21">
        <f>IF($A61="","",IF(OR($L61="CONCLUÍDO",$L61="CANCELADO"),"",IF(AND(OR(Filtro_Unid="(TODAS AS UNIDADES)",$C61=Filtro_Unid),OR(Filtro_Proj="(TODOS OS PROJETOS)",$AE61=Filtro_Proj)),MAX($AD$4:AD60)+1,"")))</f>
        <v>34</v>
      </c>
      <c r="AE61" s="19" t="str">
        <f t="shared" si="47"/>
        <v>N/A55  ·  FATURAMENTO  ·  RVD</v>
      </c>
      <c r="AF61" s="21">
        <f t="shared" si="48"/>
        <v>3</v>
      </c>
    </row>
    <row r="62" spans="1:32" x14ac:dyDescent="0.3">
      <c r="A62" s="50" t="s">
        <v>592</v>
      </c>
      <c r="B62" s="51" t="s">
        <v>593</v>
      </c>
      <c r="C62" s="51" t="s">
        <v>324</v>
      </c>
      <c r="D62" s="51" t="s">
        <v>613</v>
      </c>
      <c r="E62" s="50">
        <v>5799</v>
      </c>
      <c r="F62" s="19" t="str">
        <f t="shared" si="32"/>
        <v>RVD - CONSTRUÇÕES | INFRAESTRUTURA TI</v>
      </c>
      <c r="G62" s="51"/>
      <c r="H62" s="53">
        <v>46004</v>
      </c>
      <c r="I62" s="51" t="s">
        <v>120</v>
      </c>
      <c r="J62" s="19" t="str">
        <f t="shared" si="33"/>
        <v>SUPRIMENTOS</v>
      </c>
      <c r="K62" s="53">
        <v>46023</v>
      </c>
      <c r="L62" s="51" t="s">
        <v>10</v>
      </c>
      <c r="M62" s="51" t="s">
        <v>67</v>
      </c>
      <c r="N62" s="51"/>
      <c r="O62" s="51"/>
      <c r="P62" s="21">
        <f t="shared" si="34"/>
        <v>10</v>
      </c>
      <c r="Q62" s="21">
        <f t="shared" ca="1" si="35"/>
        <v>237</v>
      </c>
      <c r="R62" s="22">
        <f t="shared" ca="1" si="36"/>
        <v>23.7</v>
      </c>
      <c r="S62" s="21">
        <f t="shared" ca="1" si="37"/>
        <v>256</v>
      </c>
      <c r="T62" s="21">
        <f t="shared" ca="1" si="38"/>
        <v>227</v>
      </c>
      <c r="U62" s="19" t="str">
        <f t="shared" ca="1" si="39"/>
        <v>ATRASADO</v>
      </c>
      <c r="V62" s="19" t="str">
        <f ca="1">IF($A62="","",IF(OR($U62="CONCLUÍDO",$U62="CANCELADO"),"—",IF($U62="BLOQUEADO",IF($N62="","BLOQUEADO SEM MOTIVO INFORMADO",$N62),IF($U62="SEM DATA DE ETAPA","INFORMAR A DATA DE INÍCIO DA ETAPA",IF($T62&gt;0,"SLA DA ETAPA "&amp;$I62&amp;" EXCEDIDO EM "&amp;$T62&amp;" DIA(S)",IF($AB62&gt;0,"DIVERGÊNCIA QUANTITATIVA EM "&amp;$AB62&amp;" ITEM(NS)",IF($S62&gt;SLA_Total,"PRAZO TOTAL ACIMA DE "&amp;SLA_Total&amp;" DIAS","FLUXO REGULAR")))))))</f>
        <v>SLA DA ETAPA FLUXO DE SUPRIMENTOS EXCEDIDO EM 227 DIA(S)</v>
      </c>
      <c r="W62" s="21">
        <f t="shared" si="40"/>
        <v>0</v>
      </c>
      <c r="X62" s="21">
        <f t="shared" si="41"/>
        <v>0</v>
      </c>
      <c r="Y62" s="21">
        <f t="shared" si="42"/>
        <v>0</v>
      </c>
      <c r="Z62" s="21">
        <f t="shared" si="43"/>
        <v>0</v>
      </c>
      <c r="AA62" s="21">
        <f t="shared" si="44"/>
        <v>0</v>
      </c>
      <c r="AB62" s="21">
        <f t="shared" si="45"/>
        <v>0</v>
      </c>
      <c r="AC62" s="21" t="str">
        <f t="shared" si="46"/>
        <v/>
      </c>
      <c r="AD62" s="21">
        <f>IF($A62="","",IF(OR($L62="CONCLUÍDO",$L62="CANCELADO"),"",IF(AND(OR(Filtro_Unid="(TODAS AS UNIDADES)",$C62=Filtro_Unid),OR(Filtro_Proj="(TODOS OS PROJETOS)",$AE62=Filtro_Proj)),MAX($AD$4:AD61)+1,"")))</f>
        <v>35</v>
      </c>
      <c r="AE62" s="19" t="str">
        <f t="shared" si="47"/>
        <v>N/A56  ·  CLASSIFICAÇÃO  ·  RVD</v>
      </c>
      <c r="AF62" s="21">
        <f t="shared" si="48"/>
        <v>3</v>
      </c>
    </row>
    <row r="63" spans="1:32" x14ac:dyDescent="0.3">
      <c r="A63" s="50" t="s">
        <v>594</v>
      </c>
      <c r="B63" s="51" t="s">
        <v>595</v>
      </c>
      <c r="C63" s="51" t="s">
        <v>324</v>
      </c>
      <c r="D63" s="51" t="s">
        <v>613</v>
      </c>
      <c r="E63" s="50">
        <v>5799</v>
      </c>
      <c r="F63" s="19" t="str">
        <f t="shared" si="32"/>
        <v>RVD - CONSTRUÇÕES | INFRAESTRUTURA TI</v>
      </c>
      <c r="G63" s="51"/>
      <c r="H63" s="53">
        <v>46005</v>
      </c>
      <c r="I63" s="51" t="s">
        <v>120</v>
      </c>
      <c r="J63" s="19" t="str">
        <f t="shared" si="33"/>
        <v>SUPRIMENTOS</v>
      </c>
      <c r="K63" s="53">
        <v>46023</v>
      </c>
      <c r="L63" s="51" t="s">
        <v>10</v>
      </c>
      <c r="M63" s="51" t="s">
        <v>67</v>
      </c>
      <c r="N63" s="51"/>
      <c r="O63" s="51"/>
      <c r="P63" s="21">
        <f t="shared" si="34"/>
        <v>10</v>
      </c>
      <c r="Q63" s="21">
        <f t="shared" ca="1" si="35"/>
        <v>237</v>
      </c>
      <c r="R63" s="22">
        <f t="shared" ca="1" si="36"/>
        <v>23.7</v>
      </c>
      <c r="S63" s="21">
        <f t="shared" ca="1" si="37"/>
        <v>255</v>
      </c>
      <c r="T63" s="21">
        <f t="shared" ca="1" si="38"/>
        <v>227</v>
      </c>
      <c r="U63" s="19" t="str">
        <f t="shared" ca="1" si="39"/>
        <v>ATRASADO</v>
      </c>
      <c r="V63" s="19" t="str">
        <f ca="1">IF($A63="","",IF(OR($U63="CONCLUÍDO",$U63="CANCELADO"),"—",IF($U63="BLOQUEADO",IF($N63="","BLOQUEADO SEM MOTIVO INFORMADO",$N63),IF($U63="SEM DATA DE ETAPA","INFORMAR A DATA DE INÍCIO DA ETAPA",IF($T63&gt;0,"SLA DA ETAPA "&amp;$I63&amp;" EXCEDIDO EM "&amp;$T63&amp;" DIA(S)",IF($AB63&gt;0,"DIVERGÊNCIA QUANTITATIVA EM "&amp;$AB63&amp;" ITEM(NS)",IF($S63&gt;SLA_Total,"PRAZO TOTAL ACIMA DE "&amp;SLA_Total&amp;" DIAS","FLUXO REGULAR")))))))</f>
        <v>SLA DA ETAPA FLUXO DE SUPRIMENTOS EXCEDIDO EM 227 DIA(S)</v>
      </c>
      <c r="W63" s="21">
        <f t="shared" si="40"/>
        <v>0</v>
      </c>
      <c r="X63" s="21">
        <f t="shared" si="41"/>
        <v>0</v>
      </c>
      <c r="Y63" s="21">
        <f t="shared" si="42"/>
        <v>0</v>
      </c>
      <c r="Z63" s="21">
        <f t="shared" si="43"/>
        <v>0</v>
      </c>
      <c r="AA63" s="21">
        <f t="shared" si="44"/>
        <v>0</v>
      </c>
      <c r="AB63" s="21">
        <f t="shared" si="45"/>
        <v>0</v>
      </c>
      <c r="AC63" s="21" t="str">
        <f t="shared" si="46"/>
        <v/>
      </c>
      <c r="AD63" s="21">
        <f>IF($A63="","",IF(OR($L63="CONCLUÍDO",$L63="CANCELADO"),"",IF(AND(OR(Filtro_Unid="(TODAS AS UNIDADES)",$C63=Filtro_Unid),OR(Filtro_Proj="(TODOS OS PROJETOS)",$AE63=Filtro_Proj)),MAX($AD$4:AD62)+1,"")))</f>
        <v>36</v>
      </c>
      <c r="AE63" s="19" t="str">
        <f t="shared" si="47"/>
        <v>N/A57  ·  PORTARIA - ÁREA COMUM  ·  RVD</v>
      </c>
      <c r="AF63" s="21">
        <f t="shared" si="48"/>
        <v>3</v>
      </c>
    </row>
    <row r="64" spans="1:32" x14ac:dyDescent="0.3">
      <c r="A64" s="50" t="s">
        <v>596</v>
      </c>
      <c r="B64" s="51" t="s">
        <v>597</v>
      </c>
      <c r="C64" s="51" t="s">
        <v>324</v>
      </c>
      <c r="D64" s="51" t="s">
        <v>613</v>
      </c>
      <c r="E64" s="50">
        <v>5799</v>
      </c>
      <c r="F64" s="19" t="str">
        <f t="shared" si="32"/>
        <v>RVD - CONSTRUÇÕES | INFRAESTRUTURA TI</v>
      </c>
      <c r="G64" s="51"/>
      <c r="H64" s="53">
        <v>46006</v>
      </c>
      <c r="I64" s="51" t="s">
        <v>120</v>
      </c>
      <c r="J64" s="19" t="str">
        <f t="shared" si="33"/>
        <v>SUPRIMENTOS</v>
      </c>
      <c r="K64" s="53">
        <v>46023</v>
      </c>
      <c r="L64" s="51" t="s">
        <v>10</v>
      </c>
      <c r="M64" s="51" t="s">
        <v>67</v>
      </c>
      <c r="N64" s="51"/>
      <c r="O64" s="51"/>
      <c r="P64" s="21">
        <f t="shared" si="34"/>
        <v>10</v>
      </c>
      <c r="Q64" s="21">
        <f t="shared" ca="1" si="35"/>
        <v>237</v>
      </c>
      <c r="R64" s="22">
        <f t="shared" ca="1" si="36"/>
        <v>23.7</v>
      </c>
      <c r="S64" s="21">
        <f t="shared" ca="1" si="37"/>
        <v>254</v>
      </c>
      <c r="T64" s="21">
        <f t="shared" ca="1" si="38"/>
        <v>227</v>
      </c>
      <c r="U64" s="19" t="str">
        <f t="shared" ca="1" si="39"/>
        <v>ATRASADO</v>
      </c>
      <c r="V64" s="19" t="str">
        <f ca="1">IF($A64="","",IF(OR($U64="CONCLUÍDO",$U64="CANCELADO"),"—",IF($U64="BLOQUEADO",IF($N64="","BLOQUEADO SEM MOTIVO INFORMADO",$N64),IF($U64="SEM DATA DE ETAPA","INFORMAR A DATA DE INÍCIO DA ETAPA",IF($T64&gt;0,"SLA DA ETAPA "&amp;$I64&amp;" EXCEDIDO EM "&amp;$T64&amp;" DIA(S)",IF($AB64&gt;0,"DIVERGÊNCIA QUANTITATIVA EM "&amp;$AB64&amp;" ITEM(NS)",IF($S64&gt;SLA_Total,"PRAZO TOTAL ACIMA DE "&amp;SLA_Total&amp;" DIAS","FLUXO REGULAR")))))))</f>
        <v>SLA DA ETAPA FLUXO DE SUPRIMENTOS EXCEDIDO EM 227 DIA(S)</v>
      </c>
      <c r="W64" s="21">
        <f t="shared" si="40"/>
        <v>0</v>
      </c>
      <c r="X64" s="21">
        <f t="shared" si="41"/>
        <v>0</v>
      </c>
      <c r="Y64" s="21">
        <f t="shared" si="42"/>
        <v>0</v>
      </c>
      <c r="Z64" s="21">
        <f t="shared" si="43"/>
        <v>0</v>
      </c>
      <c r="AA64" s="21">
        <f t="shared" si="44"/>
        <v>0</v>
      </c>
      <c r="AB64" s="21">
        <f t="shared" si="45"/>
        <v>0</v>
      </c>
      <c r="AC64" s="21" t="str">
        <f t="shared" si="46"/>
        <v/>
      </c>
      <c r="AD64" s="21">
        <f>IF($A64="","",IF(OR($L64="CONCLUÍDO",$L64="CANCELADO"),"",IF(AND(OR(Filtro_Unid="(TODAS AS UNIDADES)",$C64=Filtro_Unid),OR(Filtro_Proj="(TODOS OS PROJETOS)",$AE64=Filtro_Proj)),MAX($AD$4:AD63)+1,"")))</f>
        <v>37</v>
      </c>
      <c r="AE64" s="19" t="str">
        <f t="shared" si="47"/>
        <v>N/A58  ·  ALMOX CAPEX  ·  RVD</v>
      </c>
      <c r="AF64" s="21">
        <f t="shared" si="48"/>
        <v>3</v>
      </c>
    </row>
    <row r="65" spans="1:32" x14ac:dyDescent="0.3">
      <c r="A65" s="50" t="s">
        <v>598</v>
      </c>
      <c r="B65" s="51" t="s">
        <v>589</v>
      </c>
      <c r="C65" s="51" t="s">
        <v>281</v>
      </c>
      <c r="D65" s="51" t="s">
        <v>613</v>
      </c>
      <c r="E65" s="50">
        <v>6395</v>
      </c>
      <c r="F65" s="19" t="str">
        <f t="shared" si="32"/>
        <v>RNP - CONSTRUÇÕES | INFRAESTRUTURA TI</v>
      </c>
      <c r="G65" s="51"/>
      <c r="H65" s="53">
        <v>46121</v>
      </c>
      <c r="I65" s="51" t="s">
        <v>120</v>
      </c>
      <c r="J65" s="19" t="str">
        <f t="shared" si="33"/>
        <v>SUPRIMENTOS</v>
      </c>
      <c r="K65" s="53">
        <v>46260</v>
      </c>
      <c r="L65" s="51" t="s">
        <v>10</v>
      </c>
      <c r="M65" s="51" t="s">
        <v>67</v>
      </c>
      <c r="N65" s="51"/>
      <c r="O65" s="51"/>
      <c r="P65" s="21">
        <f t="shared" si="34"/>
        <v>10</v>
      </c>
      <c r="Q65" s="21">
        <f t="shared" ca="1" si="35"/>
        <v>0</v>
      </c>
      <c r="R65" s="22">
        <f t="shared" ca="1" si="36"/>
        <v>0</v>
      </c>
      <c r="S65" s="21">
        <f t="shared" ca="1" si="37"/>
        <v>139</v>
      </c>
      <c r="T65" s="21">
        <f t="shared" ca="1" si="38"/>
        <v>0</v>
      </c>
      <c r="U65" s="19" t="str">
        <f t="shared" ca="1" si="39"/>
        <v>NO PRAZO</v>
      </c>
      <c r="V65" s="19" t="str">
        <f ca="1">IF($A65="","",IF(OR($U65="CONCLUÍDO",$U65="CANCELADO"),"—",IF($U65="BLOQUEADO",IF($N65="","BLOQUEADO SEM MOTIVO INFORMADO",$N65),IF($U65="SEM DATA DE ETAPA","INFORMAR A DATA DE INÍCIO DA ETAPA",IF($T65&gt;0,"SLA DA ETAPA "&amp;$I65&amp;" EXCEDIDO EM "&amp;$T65&amp;" DIA(S)",IF($AB65&gt;0,"DIVERGÊNCIA QUANTITATIVA EM "&amp;$AB65&amp;" ITEM(NS)",IF($S65&gt;SLA_Total,"PRAZO TOTAL ACIMA DE "&amp;SLA_Total&amp;" DIAS","FLUXO REGULAR")))))))</f>
        <v>PRAZO TOTAL ACIMA DE 55 DIAS</v>
      </c>
      <c r="W65" s="21">
        <f t="shared" si="40"/>
        <v>190</v>
      </c>
      <c r="X65" s="21">
        <f t="shared" si="41"/>
        <v>0</v>
      </c>
      <c r="Y65" s="21">
        <f t="shared" si="42"/>
        <v>0</v>
      </c>
      <c r="Z65" s="21">
        <f t="shared" si="43"/>
        <v>48</v>
      </c>
      <c r="AA65" s="21">
        <f t="shared" si="44"/>
        <v>0</v>
      </c>
      <c r="AB65" s="21">
        <f t="shared" si="45"/>
        <v>0</v>
      </c>
      <c r="AC65" s="21" t="str">
        <f t="shared" si="46"/>
        <v/>
      </c>
      <c r="AD65" s="21">
        <f>IF($A65="","",IF(OR($L65="CONCLUÍDO",$L65="CANCELADO"),"",IF(AND(OR(Filtro_Unid="(TODAS AS UNIDADES)",$C65=Filtro_Unid),OR(Filtro_Proj="(TODOS OS PROJETOS)",$AE65=Filtro_Proj)),MAX($AD$4:AD64)+1,"")))</f>
        <v>38</v>
      </c>
      <c r="AE65" s="19" t="str">
        <f t="shared" si="47"/>
        <v>N/A59  ·  PRÉDIO ADM  ·  RND</v>
      </c>
      <c r="AF65" s="21">
        <f t="shared" si="48"/>
        <v>3</v>
      </c>
    </row>
    <row r="66" spans="1:32" x14ac:dyDescent="0.3">
      <c r="A66" s="50" t="s">
        <v>599</v>
      </c>
      <c r="B66" s="51" t="s">
        <v>155</v>
      </c>
      <c r="C66" s="51" t="s">
        <v>281</v>
      </c>
      <c r="D66" s="51" t="s">
        <v>613</v>
      </c>
      <c r="E66" s="50">
        <v>6395</v>
      </c>
      <c r="F66" s="19" t="str">
        <f t="shared" si="32"/>
        <v>RNP - CONSTRUÇÕES | INFRAESTRUTURA TI</v>
      </c>
      <c r="G66" s="51"/>
      <c r="H66" s="53">
        <v>46121</v>
      </c>
      <c r="I66" s="51" t="s">
        <v>120</v>
      </c>
      <c r="J66" s="19" t="str">
        <f t="shared" si="33"/>
        <v>SUPRIMENTOS</v>
      </c>
      <c r="K66" s="53">
        <v>46260</v>
      </c>
      <c r="L66" s="51" t="s">
        <v>10</v>
      </c>
      <c r="M66" s="51" t="s">
        <v>67</v>
      </c>
      <c r="N66" s="51"/>
      <c r="O66" s="51"/>
      <c r="P66" s="21">
        <f t="shared" si="34"/>
        <v>10</v>
      </c>
      <c r="Q66" s="21">
        <f t="shared" ca="1" si="35"/>
        <v>0</v>
      </c>
      <c r="R66" s="22">
        <f t="shared" ca="1" si="36"/>
        <v>0</v>
      </c>
      <c r="S66" s="21">
        <f t="shared" ca="1" si="37"/>
        <v>139</v>
      </c>
      <c r="T66" s="21">
        <f t="shared" ca="1" si="38"/>
        <v>0</v>
      </c>
      <c r="U66" s="19" t="str">
        <f t="shared" ca="1" si="39"/>
        <v>NO PRAZO</v>
      </c>
      <c r="V66" s="19" t="str">
        <f ca="1">IF($A66="","",IF(OR($U66="CONCLUÍDO",$U66="CANCELADO"),"—",IF($U66="BLOQUEADO",IF($N66="","BLOQUEADO SEM MOTIVO INFORMADO",$N66),IF($U66="SEM DATA DE ETAPA","INFORMAR A DATA DE INÍCIO DA ETAPA",IF($T66&gt;0,"SLA DA ETAPA "&amp;$I66&amp;" EXCEDIDO EM "&amp;$T66&amp;" DIA(S)",IF($AB66&gt;0,"DIVERGÊNCIA QUANTITATIVA EM "&amp;$AB66&amp;" ITEM(NS)",IF($S66&gt;SLA_Total,"PRAZO TOTAL ACIMA DE "&amp;SLA_Total&amp;" DIAS","FLUXO REGULAR")))))))</f>
        <v>PRAZO TOTAL ACIMA DE 55 DIAS</v>
      </c>
      <c r="W66" s="21">
        <f t="shared" si="40"/>
        <v>0</v>
      </c>
      <c r="X66" s="21">
        <f t="shared" si="41"/>
        <v>0</v>
      </c>
      <c r="Y66" s="21">
        <f t="shared" si="42"/>
        <v>0</v>
      </c>
      <c r="Z66" s="21">
        <f t="shared" si="43"/>
        <v>0</v>
      </c>
      <c r="AA66" s="21">
        <f t="shared" si="44"/>
        <v>0</v>
      </c>
      <c r="AB66" s="21">
        <f t="shared" si="45"/>
        <v>0</v>
      </c>
      <c r="AC66" s="21" t="str">
        <f t="shared" si="46"/>
        <v/>
      </c>
      <c r="AD66" s="21">
        <f>IF($A66="","",IF(OR($L66="CONCLUÍDO",$L66="CANCELADO"),"",IF(AND(OR(Filtro_Unid="(TODAS AS UNIDADES)",$C66=Filtro_Unid),OR(Filtro_Proj="(TODOS OS PROJETOS)",$AE66=Filtro_Proj)),MAX($AD$4:AD65)+1,"")))</f>
        <v>39</v>
      </c>
      <c r="AE66" s="19" t="str">
        <f t="shared" si="47"/>
        <v>N/A60  ·  EXPEDIÇÃO DE ETANOL  ·  RND</v>
      </c>
      <c r="AF66" s="21">
        <f t="shared" si="48"/>
        <v>3</v>
      </c>
    </row>
    <row r="67" spans="1:32" x14ac:dyDescent="0.3">
      <c r="A67" s="50" t="s">
        <v>600</v>
      </c>
      <c r="B67" s="51" t="s">
        <v>595</v>
      </c>
      <c r="C67" s="51" t="s">
        <v>281</v>
      </c>
      <c r="D67" s="51" t="s">
        <v>613</v>
      </c>
      <c r="E67" s="50">
        <v>6395</v>
      </c>
      <c r="F67" s="19" t="str">
        <f t="shared" si="32"/>
        <v>RNP - CONSTRUÇÕES | INFRAESTRUTURA TI</v>
      </c>
      <c r="G67" s="51"/>
      <c r="H67" s="53">
        <v>46121</v>
      </c>
      <c r="I67" s="51" t="s">
        <v>120</v>
      </c>
      <c r="J67" s="19" t="str">
        <f t="shared" si="33"/>
        <v>SUPRIMENTOS</v>
      </c>
      <c r="K67" s="53">
        <v>46260</v>
      </c>
      <c r="L67" s="51" t="s">
        <v>10</v>
      </c>
      <c r="M67" s="51" t="s">
        <v>67</v>
      </c>
      <c r="N67" s="51"/>
      <c r="O67" s="51"/>
      <c r="P67" s="21">
        <f t="shared" si="34"/>
        <v>10</v>
      </c>
      <c r="Q67" s="21">
        <f t="shared" ca="1" si="35"/>
        <v>0</v>
      </c>
      <c r="R67" s="22">
        <f t="shared" ca="1" si="36"/>
        <v>0</v>
      </c>
      <c r="S67" s="21">
        <f t="shared" ca="1" si="37"/>
        <v>139</v>
      </c>
      <c r="T67" s="21">
        <f t="shared" ca="1" si="38"/>
        <v>0</v>
      </c>
      <c r="U67" s="19" t="str">
        <f t="shared" ca="1" si="39"/>
        <v>NO PRAZO</v>
      </c>
      <c r="V67" s="19" t="str">
        <f ca="1">IF($A67="","",IF(OR($U67="CONCLUÍDO",$U67="CANCELADO"),"—",IF($U67="BLOQUEADO",IF($N67="","BLOQUEADO SEM MOTIVO INFORMADO",$N67),IF($U67="SEM DATA DE ETAPA","INFORMAR A DATA DE INÍCIO DA ETAPA",IF($T67&gt;0,"SLA DA ETAPA "&amp;$I67&amp;" EXCEDIDO EM "&amp;$T67&amp;" DIA(S)",IF($AB67&gt;0,"DIVERGÊNCIA QUANTITATIVA EM "&amp;$AB67&amp;" ITEM(NS)",IF($S67&gt;SLA_Total,"PRAZO TOTAL ACIMA DE "&amp;SLA_Total&amp;" DIAS","FLUXO REGULAR")))))))</f>
        <v>PRAZO TOTAL ACIMA DE 55 DIAS</v>
      </c>
      <c r="W67" s="21">
        <f t="shared" si="40"/>
        <v>0</v>
      </c>
      <c r="X67" s="21">
        <f t="shared" si="41"/>
        <v>0</v>
      </c>
      <c r="Y67" s="21">
        <f t="shared" si="42"/>
        <v>0</v>
      </c>
      <c r="Z67" s="21">
        <f t="shared" si="43"/>
        <v>0</v>
      </c>
      <c r="AA67" s="21">
        <f t="shared" si="44"/>
        <v>0</v>
      </c>
      <c r="AB67" s="21">
        <f t="shared" si="45"/>
        <v>0</v>
      </c>
      <c r="AC67" s="21" t="str">
        <f t="shared" si="46"/>
        <v/>
      </c>
      <c r="AD67" s="21">
        <f>IF($A67="","",IF(OR($L67="CONCLUÍDO",$L67="CANCELADO"),"",IF(AND(OR(Filtro_Unid="(TODAS AS UNIDADES)",$C67=Filtro_Unid),OR(Filtro_Proj="(TODOS OS PROJETOS)",$AE67=Filtro_Proj)),MAX($AD$4:AD66)+1,"")))</f>
        <v>40</v>
      </c>
      <c r="AE67" s="19" t="str">
        <f t="shared" si="47"/>
        <v>N/A61  ·  PORTARIA - ÁREA COMUM  ·  RND</v>
      </c>
      <c r="AF67" s="21">
        <f t="shared" si="48"/>
        <v>3</v>
      </c>
    </row>
    <row r="68" spans="1:32" x14ac:dyDescent="0.3">
      <c r="A68" s="50" t="s">
        <v>601</v>
      </c>
      <c r="B68" s="51" t="s">
        <v>126</v>
      </c>
      <c r="C68" s="51" t="s">
        <v>281</v>
      </c>
      <c r="D68" s="51" t="s">
        <v>613</v>
      </c>
      <c r="E68" s="50">
        <v>6395</v>
      </c>
      <c r="F68" s="19" t="str">
        <f t="shared" si="32"/>
        <v>RNP - CONSTRUÇÕES | INFRAESTRUTURA TI</v>
      </c>
      <c r="G68" s="51"/>
      <c r="H68" s="53">
        <v>46121</v>
      </c>
      <c r="I68" s="51" t="s">
        <v>120</v>
      </c>
      <c r="J68" s="19" t="str">
        <f t="shared" si="33"/>
        <v>SUPRIMENTOS</v>
      </c>
      <c r="K68" s="53">
        <v>46260</v>
      </c>
      <c r="L68" s="51" t="s">
        <v>10</v>
      </c>
      <c r="M68" s="51" t="s">
        <v>67</v>
      </c>
      <c r="N68" s="51"/>
      <c r="O68" s="51"/>
      <c r="P68" s="21">
        <f t="shared" si="34"/>
        <v>10</v>
      </c>
      <c r="Q68" s="21">
        <f t="shared" ca="1" si="35"/>
        <v>0</v>
      </c>
      <c r="R68" s="22">
        <f t="shared" ca="1" si="36"/>
        <v>0</v>
      </c>
      <c r="S68" s="21">
        <f t="shared" ca="1" si="37"/>
        <v>139</v>
      </c>
      <c r="T68" s="21">
        <f t="shared" ca="1" si="38"/>
        <v>0</v>
      </c>
      <c r="U68" s="19" t="str">
        <f t="shared" ca="1" si="39"/>
        <v>NO PRAZO</v>
      </c>
      <c r="V68" s="19" t="str">
        <f ca="1">IF($A68="","",IF(OR($U68="CONCLUÍDO",$U68="CANCELADO"),"—",IF($U68="BLOQUEADO",IF($N68="","BLOQUEADO SEM MOTIVO INFORMADO",$N68),IF($U68="SEM DATA DE ETAPA","INFORMAR A DATA DE INÍCIO DA ETAPA",IF($T68&gt;0,"SLA DA ETAPA "&amp;$I68&amp;" EXCEDIDO EM "&amp;$T68&amp;" DIA(S)",IF($AB68&gt;0,"DIVERGÊNCIA QUANTITATIVA EM "&amp;$AB68&amp;" ITEM(NS)",IF($S68&gt;SLA_Total,"PRAZO TOTAL ACIMA DE "&amp;SLA_Total&amp;" DIAS","FLUXO REGULAR")))))))</f>
        <v>PRAZO TOTAL ACIMA DE 55 DIAS</v>
      </c>
      <c r="W68" s="21">
        <f t="shared" si="40"/>
        <v>0</v>
      </c>
      <c r="X68" s="21">
        <f t="shared" si="41"/>
        <v>0</v>
      </c>
      <c r="Y68" s="21">
        <f t="shared" si="42"/>
        <v>0</v>
      </c>
      <c r="Z68" s="21">
        <f t="shared" si="43"/>
        <v>0</v>
      </c>
      <c r="AA68" s="21">
        <f t="shared" si="44"/>
        <v>0</v>
      </c>
      <c r="AB68" s="21">
        <f t="shared" si="45"/>
        <v>0</v>
      </c>
      <c r="AC68" s="21" t="str">
        <f t="shared" si="46"/>
        <v/>
      </c>
      <c r="AD68" s="21">
        <f>IF($A68="","",IF(OR($L68="CONCLUÍDO",$L68="CANCELADO"),"",IF(AND(OR(Filtro_Unid="(TODAS AS UNIDADES)",$C68=Filtro_Unid),OR(Filtro_Proj="(TODOS OS PROJETOS)",$AE68=Filtro_Proj)),MAX($AD$4:AD67)+1,"")))</f>
        <v>41</v>
      </c>
      <c r="AE68" s="19" t="str">
        <f t="shared" si="47"/>
        <v>N/A62  ·  ARMAZÉM DDGS  ·  RND</v>
      </c>
      <c r="AF68" s="21">
        <f t="shared" si="48"/>
        <v>3</v>
      </c>
    </row>
    <row r="69" spans="1:32" x14ac:dyDescent="0.3">
      <c r="A69" s="50" t="s">
        <v>602</v>
      </c>
      <c r="B69" s="51" t="s">
        <v>363</v>
      </c>
      <c r="C69" s="51" t="s">
        <v>281</v>
      </c>
      <c r="D69" s="51" t="s">
        <v>613</v>
      </c>
      <c r="E69" s="50">
        <v>6395</v>
      </c>
      <c r="F69" s="19" t="str">
        <f t="shared" ref="F69:F98" si="49">IF($E69="","",IFERROR(INDEX(Obj_Desc,MATCH($E69,Obj_Cod,0)),"CÓDIGO NÃO CADASTRADO"))</f>
        <v>RNP - CONSTRUÇÕES | INFRAESTRUTURA TI</v>
      </c>
      <c r="G69" s="51"/>
      <c r="H69" s="53">
        <v>46121</v>
      </c>
      <c r="I69" s="51" t="s">
        <v>120</v>
      </c>
      <c r="J69" s="19" t="str">
        <f t="shared" ref="J69:J98" si="50">IF($I69="","",IFERROR(INDEX(Etapa_Resp,MATCH($I69,Lista_Etapas,0)),"ETAPA NÃO CADASTRADA"))</f>
        <v>SUPRIMENTOS</v>
      </c>
      <c r="K69" s="53">
        <v>46260</v>
      </c>
      <c r="L69" s="51" t="s">
        <v>10</v>
      </c>
      <c r="M69" s="51" t="s">
        <v>67</v>
      </c>
      <c r="N69" s="51"/>
      <c r="O69" s="51"/>
      <c r="P69" s="21">
        <f t="shared" ref="P69:P98" si="51">IF($I69="","",IFERROR(INDEX(Etapa_SLA,MATCH($I69,Lista_Etapas,0)),""))</f>
        <v>10</v>
      </c>
      <c r="Q69" s="21">
        <f t="shared" ref="Q69:Q98" ca="1" si="52">IF($K69="","",MAX(DataRef-$K69,0))</f>
        <v>0</v>
      </c>
      <c r="R69" s="22">
        <f t="shared" ref="R69:R98" ca="1" si="53">IF(OR($P69="",$P69=0,$Q69=""),"",$Q69/$P69)</f>
        <v>0</v>
      </c>
      <c r="S69" s="21">
        <f t="shared" ref="S69:S98" ca="1" si="54">IF($H69="","",MAX(DataRef-$H69,0))</f>
        <v>139</v>
      </c>
      <c r="T69" s="21">
        <f t="shared" ref="T69:T98" ca="1" si="55">IF(OR($Q69="",$P69="",$P69=0),"",MAX($Q69-$P69,0))</f>
        <v>0</v>
      </c>
      <c r="U69" s="19" t="str">
        <f t="shared" ref="U69:U98" ca="1" si="56">IF($A69="","",IF($L69="CONCLUÍDO","CONCLUÍDO",IF($L69="CANCELADO","CANCELADO",IF($M69="SIM","BLOQUEADO",IF($K69="","SEM DATA DE ETAPA",IF($T69&gt;0,"ATRASADO",IF($R69&gt;=Lim_Risco,"EM RISCO",IF($R69&gt;=Lim_Atencao,"ATENÇÃO","NO PRAZO"))))))))</f>
        <v>NO PRAZO</v>
      </c>
      <c r="V69" s="19" t="str">
        <f ca="1">IF($A69="","",IF(OR($U69="CONCLUÍDO",$U69="CANCELADO"),"—",IF($U69="BLOQUEADO",IF($N69="","BLOQUEADO SEM MOTIVO INFORMADO",$N69),IF($U69="SEM DATA DE ETAPA","INFORMAR A DATA DE INÍCIO DA ETAPA",IF($T69&gt;0,"SLA DA ETAPA "&amp;$I69&amp;" EXCEDIDO EM "&amp;$T69&amp;" DIA(S)",IF($AB69&gt;0,"DIVERGÊNCIA QUANTITATIVA EM "&amp;$AB69&amp;" ITEM(NS)",IF($S69&gt;SLA_Total,"PRAZO TOTAL ACIMA DE "&amp;SLA_Total&amp;" DIAS","FLUXO REGULAR")))))))</f>
        <v>PRAZO TOTAL ACIMA DE 55 DIAS</v>
      </c>
      <c r="W69" s="21">
        <f t="shared" ref="W69:W98" si="57">IF($A69="","",SUMIFS(Esc_Prev,Esc_Cham,$A69,Esc_Tipo,"CÂMERA"))</f>
        <v>0</v>
      </c>
      <c r="X69" s="21">
        <f t="shared" ref="X69:X98" si="58">IF($A69="","",SUMIFS(Esc_Receb,Esc_Cham,$A69,Esc_Tipo,"CÂMERA"))</f>
        <v>0</v>
      </c>
      <c r="Y69" s="21">
        <f t="shared" ref="Y69:Y98" si="59">IF($A69="","",SUMIFS(Esc_Inst,Esc_Cham,$A69,Esc_Tipo,"CÂMERA"))</f>
        <v>0</v>
      </c>
      <c r="Z69" s="21">
        <f t="shared" ref="Z69:Z98" si="60">IF($A69="","",ROUNDUP($W69/4,0))</f>
        <v>0</v>
      </c>
      <c r="AA69" s="21">
        <f t="shared" ref="AA69:AA98" si="61">IF($A69="","",SUMIFS(Esc_Receb,Esc_Cham,$A69,Esc_Tipo,"LICENÇA"))</f>
        <v>0</v>
      </c>
      <c r="AB69" s="21">
        <f t="shared" ref="AB69:AB98" si="62">IF($A69="","",SUMIFS(Esc_Desvio,Esc_Cham,$A69))</f>
        <v>0</v>
      </c>
      <c r="AC69" s="21" t="str">
        <f t="shared" ref="AC69:AC98" si="63">IF($A69="","",IF(OR($I69="INSTALAÇÃO",$I69="DISPONIBILIZAÇÃO DE IP",$I69="INCLUSÃO NO VMS",$I69="VALIDAÇÃO E ENCERRAMENTO",$L69="CONCLUÍDO"),$Y69-$W69,""))</f>
        <v/>
      </c>
      <c r="AD69" s="21">
        <f>IF($A69="","",IF(OR($L69="CONCLUÍDO",$L69="CANCELADO"),"",IF(AND(OR(Filtro_Unid="(TODAS AS UNIDADES)",$C69=Filtro_Unid),OR(Filtro_Proj="(TODOS OS PROJETOS)",$AE69=Filtro_Proj)),MAX($AD$4:AD68)+1,"")))</f>
        <v>42</v>
      </c>
      <c r="AE69" s="19" t="str">
        <f t="shared" ref="AE69:AE98" si="64">IF($A69="","",$A69&amp;"  ·  "&amp;$B69&amp;"  ·  "&amp;$C69)</f>
        <v>N/A63  ·  COI  ·  RND</v>
      </c>
      <c r="AF69" s="21">
        <f t="shared" ref="AF69:AF98" si="65">IF($A69="","",IF($L69="CONCLUÍDO",99,IFERROR(MATCH($I69,Lista_Etapas,0),0)))</f>
        <v>3</v>
      </c>
    </row>
    <row r="70" spans="1:32" x14ac:dyDescent="0.3">
      <c r="A70" s="50" t="s">
        <v>603</v>
      </c>
      <c r="B70" s="51" t="s">
        <v>101</v>
      </c>
      <c r="C70" s="51" t="s">
        <v>281</v>
      </c>
      <c r="D70" s="51" t="s">
        <v>613</v>
      </c>
      <c r="E70" s="50">
        <v>6395</v>
      </c>
      <c r="F70" s="19" t="str">
        <f t="shared" si="49"/>
        <v>RNP - CONSTRUÇÕES | INFRAESTRUTURA TI</v>
      </c>
      <c r="G70" s="51"/>
      <c r="H70" s="53">
        <v>46121</v>
      </c>
      <c r="I70" s="51" t="s">
        <v>120</v>
      </c>
      <c r="J70" s="19" t="str">
        <f t="shared" si="50"/>
        <v>SUPRIMENTOS</v>
      </c>
      <c r="K70" s="53">
        <v>46260</v>
      </c>
      <c r="L70" s="51" t="s">
        <v>10</v>
      </c>
      <c r="M70" s="51" t="s">
        <v>67</v>
      </c>
      <c r="N70" s="51"/>
      <c r="O70" s="51"/>
      <c r="P70" s="21">
        <f t="shared" si="51"/>
        <v>10</v>
      </c>
      <c r="Q70" s="21">
        <f t="shared" ca="1" si="52"/>
        <v>0</v>
      </c>
      <c r="R70" s="22">
        <f t="shared" ca="1" si="53"/>
        <v>0</v>
      </c>
      <c r="S70" s="21">
        <f t="shared" ca="1" si="54"/>
        <v>139</v>
      </c>
      <c r="T70" s="21">
        <f t="shared" ca="1" si="55"/>
        <v>0</v>
      </c>
      <c r="U70" s="19" t="str">
        <f t="shared" ca="1" si="56"/>
        <v>NO PRAZO</v>
      </c>
      <c r="V70" s="19" t="str">
        <f ca="1">IF($A70="","",IF(OR($U70="CONCLUÍDO",$U70="CANCELADO"),"—",IF($U70="BLOQUEADO",IF($N70="","BLOQUEADO SEM MOTIVO INFORMADO",$N70),IF($U70="SEM DATA DE ETAPA","INFORMAR A DATA DE INÍCIO DA ETAPA",IF($T70&gt;0,"SLA DA ETAPA "&amp;$I70&amp;" EXCEDIDO EM "&amp;$T70&amp;" DIA(S)",IF($AB70&gt;0,"DIVERGÊNCIA QUANTITATIVA EM "&amp;$AB70&amp;" ITEM(NS)",IF($S70&gt;SLA_Total,"PRAZO TOTAL ACIMA DE "&amp;SLA_Total&amp;" DIAS","FLUXO REGULAR")))))))</f>
        <v>PRAZO TOTAL ACIMA DE 55 DIAS</v>
      </c>
      <c r="W70" s="21">
        <f t="shared" si="57"/>
        <v>0</v>
      </c>
      <c r="X70" s="21">
        <f t="shared" si="58"/>
        <v>0</v>
      </c>
      <c r="Y70" s="21">
        <f t="shared" si="59"/>
        <v>0</v>
      </c>
      <c r="Z70" s="21">
        <f t="shared" si="60"/>
        <v>0</v>
      </c>
      <c r="AA70" s="21">
        <f t="shared" si="61"/>
        <v>0</v>
      </c>
      <c r="AB70" s="21">
        <f t="shared" si="62"/>
        <v>0</v>
      </c>
      <c r="AC70" s="21" t="str">
        <f t="shared" si="63"/>
        <v/>
      </c>
      <c r="AD70" s="21">
        <f>IF($A70="","",IF(OR($L70="CONCLUÍDO",$L70="CANCELADO"),"",IF(AND(OR(Filtro_Unid="(TODAS AS UNIDADES)",$C70=Filtro_Unid),OR(Filtro_Proj="(TODOS OS PROJETOS)",$AE70=Filtro_Proj)),MAX($AD$4:AD69)+1,"")))</f>
        <v>43</v>
      </c>
      <c r="AE70" s="19" t="str">
        <f t="shared" si="64"/>
        <v>N/A64  ·  FATURAMENTO  ·  RND</v>
      </c>
      <c r="AF70" s="21">
        <f t="shared" si="65"/>
        <v>3</v>
      </c>
    </row>
    <row r="71" spans="1:32" x14ac:dyDescent="0.3">
      <c r="A71" s="50" t="s">
        <v>604</v>
      </c>
      <c r="B71" s="51" t="s">
        <v>586</v>
      </c>
      <c r="C71" s="51" t="s">
        <v>281</v>
      </c>
      <c r="D71" s="51" t="s">
        <v>613</v>
      </c>
      <c r="E71" s="50">
        <v>6395</v>
      </c>
      <c r="F71" s="19" t="str">
        <f t="shared" si="49"/>
        <v>RNP - CONSTRUÇÕES | INFRAESTRUTURA TI</v>
      </c>
      <c r="G71" s="51"/>
      <c r="H71" s="53">
        <v>46121</v>
      </c>
      <c r="I71" s="51" t="s">
        <v>120</v>
      </c>
      <c r="J71" s="19" t="str">
        <f t="shared" si="50"/>
        <v>SUPRIMENTOS</v>
      </c>
      <c r="K71" s="53">
        <v>46260</v>
      </c>
      <c r="L71" s="51" t="s">
        <v>10</v>
      </c>
      <c r="M71" s="51" t="s">
        <v>67</v>
      </c>
      <c r="N71" s="51"/>
      <c r="O71" s="51"/>
      <c r="P71" s="21">
        <f t="shared" si="51"/>
        <v>10</v>
      </c>
      <c r="Q71" s="21">
        <f t="shared" ca="1" si="52"/>
        <v>0</v>
      </c>
      <c r="R71" s="22">
        <f t="shared" ca="1" si="53"/>
        <v>0</v>
      </c>
      <c r="S71" s="21">
        <f t="shared" ca="1" si="54"/>
        <v>139</v>
      </c>
      <c r="T71" s="21">
        <f t="shared" ca="1" si="55"/>
        <v>0</v>
      </c>
      <c r="U71" s="19" t="str">
        <f t="shared" ca="1" si="56"/>
        <v>NO PRAZO</v>
      </c>
      <c r="V71" s="19" t="str">
        <f ca="1">IF($A71="","",IF(OR($U71="CONCLUÍDO",$U71="CANCELADO"),"—",IF($U71="BLOQUEADO",IF($N71="","BLOQUEADO SEM MOTIVO INFORMADO",$N71),IF($U71="SEM DATA DE ETAPA","INFORMAR A DATA DE INÍCIO DA ETAPA",IF($T71&gt;0,"SLA DA ETAPA "&amp;$I71&amp;" EXCEDIDO EM "&amp;$T71&amp;" DIA(S)",IF($AB71&gt;0,"DIVERGÊNCIA QUANTITATIVA EM "&amp;$AB71&amp;" ITEM(NS)",IF($S71&gt;SLA_Total,"PRAZO TOTAL ACIMA DE "&amp;SLA_Total&amp;" DIAS","FLUXO REGULAR")))))))</f>
        <v>PRAZO TOTAL ACIMA DE 55 DIAS</v>
      </c>
      <c r="W71" s="21">
        <f t="shared" si="57"/>
        <v>0</v>
      </c>
      <c r="X71" s="21">
        <f t="shared" si="58"/>
        <v>0</v>
      </c>
      <c r="Y71" s="21">
        <f t="shared" si="59"/>
        <v>0</v>
      </c>
      <c r="Z71" s="21">
        <f t="shared" si="60"/>
        <v>0</v>
      </c>
      <c r="AA71" s="21">
        <f t="shared" si="61"/>
        <v>0</v>
      </c>
      <c r="AB71" s="21">
        <f t="shared" si="62"/>
        <v>0</v>
      </c>
      <c r="AC71" s="21" t="str">
        <f t="shared" si="63"/>
        <v/>
      </c>
      <c r="AD71" s="21">
        <f>IF($A71="","",IF(OR($L71="CONCLUÍDO",$L71="CANCELADO"),"",IF(AND(OR(Filtro_Unid="(TODAS AS UNIDADES)",$C71=Filtro_Unid),OR(Filtro_Proj="(TODOS OS PROJETOS)",$AE71=Filtro_Proj)),MAX($AD$4:AD70)+1,"")))</f>
        <v>44</v>
      </c>
      <c r="AE71" s="19" t="str">
        <f t="shared" si="64"/>
        <v>N/A65  ·  ALMOX OPEX  ·  RND</v>
      </c>
      <c r="AF71" s="21">
        <f t="shared" si="65"/>
        <v>3</v>
      </c>
    </row>
    <row r="72" spans="1:32" x14ac:dyDescent="0.3">
      <c r="A72" s="50" t="s">
        <v>605</v>
      </c>
      <c r="B72" s="51" t="s">
        <v>332</v>
      </c>
      <c r="C72" s="51" t="s">
        <v>281</v>
      </c>
      <c r="D72" s="51" t="s">
        <v>613</v>
      </c>
      <c r="E72" s="50">
        <v>6395</v>
      </c>
      <c r="F72" s="19" t="str">
        <f t="shared" si="49"/>
        <v>RNP - CONSTRUÇÕES | INFRAESTRUTURA TI</v>
      </c>
      <c r="G72" s="51"/>
      <c r="H72" s="53">
        <v>46121</v>
      </c>
      <c r="I72" s="51" t="s">
        <v>120</v>
      </c>
      <c r="J72" s="19" t="str">
        <f t="shared" si="50"/>
        <v>SUPRIMENTOS</v>
      </c>
      <c r="K72" s="53">
        <v>46260</v>
      </c>
      <c r="L72" s="51" t="s">
        <v>10</v>
      </c>
      <c r="M72" s="51" t="s">
        <v>67</v>
      </c>
      <c r="N72" s="51"/>
      <c r="O72" s="51"/>
      <c r="P72" s="21">
        <f t="shared" si="51"/>
        <v>10</v>
      </c>
      <c r="Q72" s="21">
        <f t="shared" ca="1" si="52"/>
        <v>0</v>
      </c>
      <c r="R72" s="22">
        <f t="shared" ca="1" si="53"/>
        <v>0</v>
      </c>
      <c r="S72" s="21">
        <f t="shared" ca="1" si="54"/>
        <v>139</v>
      </c>
      <c r="T72" s="21">
        <f t="shared" ca="1" si="55"/>
        <v>0</v>
      </c>
      <c r="U72" s="19" t="str">
        <f t="shared" ca="1" si="56"/>
        <v>NO PRAZO</v>
      </c>
      <c r="V72" s="19" t="str">
        <f ca="1">IF($A72="","",IF(OR($U72="CONCLUÍDO",$U72="CANCELADO"),"—",IF($U72="BLOQUEADO",IF($N72="","BLOQUEADO SEM MOTIVO INFORMADO",$N72),IF($U72="SEM DATA DE ETAPA","INFORMAR A DATA DE INÍCIO DA ETAPA",IF($T72&gt;0,"SLA DA ETAPA "&amp;$I72&amp;" EXCEDIDO EM "&amp;$T72&amp;" DIA(S)",IF($AB72&gt;0,"DIVERGÊNCIA QUANTITATIVA EM "&amp;$AB72&amp;" ITEM(NS)",IF($S72&gt;SLA_Total,"PRAZO TOTAL ACIMA DE "&amp;SLA_Total&amp;" DIAS","FLUXO REGULAR")))))))</f>
        <v>PRAZO TOTAL ACIMA DE 55 DIAS</v>
      </c>
      <c r="W72" s="21">
        <f t="shared" si="57"/>
        <v>0</v>
      </c>
      <c r="X72" s="21">
        <f t="shared" si="58"/>
        <v>0</v>
      </c>
      <c r="Y72" s="21">
        <f t="shared" si="59"/>
        <v>0</v>
      </c>
      <c r="Z72" s="21">
        <f t="shared" si="60"/>
        <v>0</v>
      </c>
      <c r="AA72" s="21">
        <f t="shared" si="61"/>
        <v>0</v>
      </c>
      <c r="AB72" s="21">
        <f t="shared" si="62"/>
        <v>0</v>
      </c>
      <c r="AC72" s="21" t="str">
        <f t="shared" si="63"/>
        <v/>
      </c>
      <c r="AD72" s="21">
        <f>IF($A72="","",IF(OR($L72="CONCLUÍDO",$L72="CANCELADO"),"",IF(AND(OR(Filtro_Unid="(TODAS AS UNIDADES)",$C72=Filtro_Unid),OR(Filtro_Proj="(TODOS OS PROJETOS)",$AE72=Filtro_Proj)),MAX($AD$4:AD71)+1,"")))</f>
        <v>45</v>
      </c>
      <c r="AE72" s="19" t="str">
        <f t="shared" si="64"/>
        <v>N/A66  ·  REFEITÓRIO  ·  RND</v>
      </c>
      <c r="AF72" s="21">
        <f t="shared" si="65"/>
        <v>3</v>
      </c>
    </row>
    <row r="73" spans="1:32" x14ac:dyDescent="0.3">
      <c r="A73" s="50" t="s">
        <v>606</v>
      </c>
      <c r="B73" s="51" t="s">
        <v>151</v>
      </c>
      <c r="C73" s="51" t="s">
        <v>281</v>
      </c>
      <c r="D73" s="51" t="s">
        <v>613</v>
      </c>
      <c r="E73" s="50">
        <v>6395</v>
      </c>
      <c r="F73" s="19" t="str">
        <f t="shared" si="49"/>
        <v>RNP - CONSTRUÇÕES | INFRAESTRUTURA TI</v>
      </c>
      <c r="G73" s="51"/>
      <c r="H73" s="53">
        <v>46121</v>
      </c>
      <c r="I73" s="51" t="s">
        <v>120</v>
      </c>
      <c r="J73" s="19" t="str">
        <f t="shared" si="50"/>
        <v>SUPRIMENTOS</v>
      </c>
      <c r="K73" s="53">
        <v>46260</v>
      </c>
      <c r="L73" s="51" t="s">
        <v>10</v>
      </c>
      <c r="M73" s="51" t="s">
        <v>67</v>
      </c>
      <c r="N73" s="51"/>
      <c r="O73" s="51"/>
      <c r="P73" s="21">
        <f t="shared" si="51"/>
        <v>10</v>
      </c>
      <c r="Q73" s="21">
        <f t="shared" ca="1" si="52"/>
        <v>0</v>
      </c>
      <c r="R73" s="22">
        <f t="shared" ca="1" si="53"/>
        <v>0</v>
      </c>
      <c r="S73" s="21">
        <f t="shared" ca="1" si="54"/>
        <v>139</v>
      </c>
      <c r="T73" s="21">
        <f t="shared" ca="1" si="55"/>
        <v>0</v>
      </c>
      <c r="U73" s="19" t="str">
        <f t="shared" ca="1" si="56"/>
        <v>NO PRAZO</v>
      </c>
      <c r="V73" s="19" t="str">
        <f ca="1">IF($A73="","",IF(OR($U73="CONCLUÍDO",$U73="CANCELADO"),"—",IF($U73="BLOQUEADO",IF($N73="","BLOQUEADO SEM MOTIVO INFORMADO",$N73),IF($U73="SEM DATA DE ETAPA","INFORMAR A DATA DE INÍCIO DA ETAPA",IF($T73&gt;0,"SLA DA ETAPA "&amp;$I73&amp;" EXCEDIDO EM "&amp;$T73&amp;" DIA(S)",IF($AB73&gt;0,"DIVERGÊNCIA QUANTITATIVA EM "&amp;$AB73&amp;" ITEM(NS)",IF($S73&gt;SLA_Total,"PRAZO TOTAL ACIMA DE "&amp;SLA_Total&amp;" DIAS","FLUXO REGULAR")))))))</f>
        <v>PRAZO TOTAL ACIMA DE 55 DIAS</v>
      </c>
      <c r="W73" s="21">
        <f t="shared" si="57"/>
        <v>0</v>
      </c>
      <c r="X73" s="21">
        <f t="shared" si="58"/>
        <v>0</v>
      </c>
      <c r="Y73" s="21">
        <f t="shared" si="59"/>
        <v>0</v>
      </c>
      <c r="Z73" s="21">
        <f t="shared" si="60"/>
        <v>0</v>
      </c>
      <c r="AA73" s="21">
        <f t="shared" si="61"/>
        <v>0</v>
      </c>
      <c r="AB73" s="21">
        <f t="shared" si="62"/>
        <v>0</v>
      </c>
      <c r="AC73" s="21" t="str">
        <f t="shared" si="63"/>
        <v/>
      </c>
      <c r="AD73" s="21">
        <f>IF($A73="","",IF(OR($L73="CONCLUÍDO",$L73="CANCELADO"),"",IF(AND(OR(Filtro_Unid="(TODAS AS UNIDADES)",$C73=Filtro_Unid),OR(Filtro_Proj="(TODOS OS PROJETOS)",$AE73=Filtro_Proj)),MAX($AD$4:AD72)+1,"")))</f>
        <v>46</v>
      </c>
      <c r="AE73" s="19" t="str">
        <f t="shared" si="64"/>
        <v>N/A67  ·  MANUTENÇÃO INDUSTRIAL - ADMINISTRAÇÃO  ·  RND</v>
      </c>
      <c r="AF73" s="21">
        <f t="shared" si="65"/>
        <v>3</v>
      </c>
    </row>
    <row r="74" spans="1:32" x14ac:dyDescent="0.3">
      <c r="A74" s="50" t="s">
        <v>607</v>
      </c>
      <c r="B74" s="51" t="s">
        <v>608</v>
      </c>
      <c r="C74" s="51" t="s">
        <v>281</v>
      </c>
      <c r="D74" s="51" t="s">
        <v>613</v>
      </c>
      <c r="E74" s="50">
        <v>6395</v>
      </c>
      <c r="F74" s="19" t="str">
        <f t="shared" si="49"/>
        <v>RNP - CONSTRUÇÕES | INFRAESTRUTURA TI</v>
      </c>
      <c r="G74" s="51"/>
      <c r="H74" s="53">
        <v>46121</v>
      </c>
      <c r="I74" s="51" t="s">
        <v>120</v>
      </c>
      <c r="J74" s="19" t="str">
        <f t="shared" si="50"/>
        <v>SUPRIMENTOS</v>
      </c>
      <c r="K74" s="53">
        <v>46260</v>
      </c>
      <c r="L74" s="51" t="s">
        <v>10</v>
      </c>
      <c r="M74" s="51" t="s">
        <v>67</v>
      </c>
      <c r="N74" s="51"/>
      <c r="O74" s="51"/>
      <c r="P74" s="21">
        <f t="shared" si="51"/>
        <v>10</v>
      </c>
      <c r="Q74" s="21">
        <f t="shared" ca="1" si="52"/>
        <v>0</v>
      </c>
      <c r="R74" s="22">
        <f t="shared" ca="1" si="53"/>
        <v>0</v>
      </c>
      <c r="S74" s="21">
        <f t="shared" ca="1" si="54"/>
        <v>139</v>
      </c>
      <c r="T74" s="21">
        <f t="shared" ca="1" si="55"/>
        <v>0</v>
      </c>
      <c r="U74" s="19" t="str">
        <f t="shared" ca="1" si="56"/>
        <v>NO PRAZO</v>
      </c>
      <c r="V74" s="19" t="str">
        <f ca="1">IF($A74="","",IF(OR($U74="CONCLUÍDO",$U74="CANCELADO"),"—",IF($U74="BLOQUEADO",IF($N74="","BLOQUEADO SEM MOTIVO INFORMADO",$N74),IF($U74="SEM DATA DE ETAPA","INFORMAR A DATA DE INÍCIO DA ETAPA",IF($T74&gt;0,"SLA DA ETAPA "&amp;$I74&amp;" EXCEDIDO EM "&amp;$T74&amp;" DIA(S)",IF($AB74&gt;0,"DIVERGÊNCIA QUANTITATIVA EM "&amp;$AB74&amp;" ITEM(NS)",IF($S74&gt;SLA_Total,"PRAZO TOTAL ACIMA DE "&amp;SLA_Total&amp;" DIAS","FLUXO REGULAR")))))))</f>
        <v>PRAZO TOTAL ACIMA DE 55 DIAS</v>
      </c>
      <c r="W74" s="21">
        <f t="shared" si="57"/>
        <v>0</v>
      </c>
      <c r="X74" s="21">
        <f t="shared" si="58"/>
        <v>0</v>
      </c>
      <c r="Y74" s="21">
        <f t="shared" si="59"/>
        <v>0</v>
      </c>
      <c r="Z74" s="21">
        <f t="shared" si="60"/>
        <v>0</v>
      </c>
      <c r="AA74" s="21">
        <f t="shared" si="61"/>
        <v>0</v>
      </c>
      <c r="AB74" s="21">
        <f t="shared" si="62"/>
        <v>0</v>
      </c>
      <c r="AC74" s="21" t="str">
        <f t="shared" si="63"/>
        <v/>
      </c>
      <c r="AD74" s="21">
        <f>IF($A74="","",IF(OR($L74="CONCLUÍDO",$L74="CANCELADO"),"",IF(AND(OR(Filtro_Unid="(TODAS AS UNIDADES)",$C74=Filtro_Unid),OR(Filtro_Proj="(TODOS OS PROJETOS)",$AE74=Filtro_Proj)),MAX($AD$4:AD73)+1,"")))</f>
        <v>47</v>
      </c>
      <c r="AE74" s="19" t="str">
        <f t="shared" si="64"/>
        <v>N/A68  ·  CLASSIFICAÇÃO DE GRÃOS  ·  RND</v>
      </c>
      <c r="AF74" s="21">
        <f t="shared" si="65"/>
        <v>3</v>
      </c>
    </row>
    <row r="75" spans="1:32" x14ac:dyDescent="0.3">
      <c r="A75" s="50" t="s">
        <v>609</v>
      </c>
      <c r="B75" s="51" t="s">
        <v>137</v>
      </c>
      <c r="C75" s="51" t="s">
        <v>281</v>
      </c>
      <c r="D75" s="51" t="s">
        <v>613</v>
      </c>
      <c r="E75" s="50">
        <v>6395</v>
      </c>
      <c r="F75" s="19" t="str">
        <f t="shared" si="49"/>
        <v>RNP - CONSTRUÇÕES | INFRAESTRUTURA TI</v>
      </c>
      <c r="G75" s="51"/>
      <c r="H75" s="53">
        <v>45999</v>
      </c>
      <c r="I75" s="51" t="s">
        <v>310</v>
      </c>
      <c r="J75" s="19" t="str">
        <f t="shared" si="50"/>
        <v>MONITORAMENTO</v>
      </c>
      <c r="K75" s="53">
        <v>46023</v>
      </c>
      <c r="L75" s="51" t="s">
        <v>10</v>
      </c>
      <c r="M75" s="51" t="s">
        <v>67</v>
      </c>
      <c r="N75" s="51"/>
      <c r="O75" s="51"/>
      <c r="P75" s="21">
        <f t="shared" si="51"/>
        <v>3</v>
      </c>
      <c r="Q75" s="21">
        <f t="shared" ca="1" si="52"/>
        <v>237</v>
      </c>
      <c r="R75" s="22">
        <f t="shared" ca="1" si="53"/>
        <v>79</v>
      </c>
      <c r="S75" s="21">
        <f t="shared" ca="1" si="54"/>
        <v>261</v>
      </c>
      <c r="T75" s="21">
        <f t="shared" ca="1" si="55"/>
        <v>234</v>
      </c>
      <c r="U75" s="19" t="str">
        <f t="shared" ca="1" si="56"/>
        <v>ATRASADO</v>
      </c>
      <c r="V75" s="19" t="str">
        <f ca="1">IF($A75="","",IF(OR($U75="CONCLUÍDO",$U75="CANCELADO"),"—",IF($U75="BLOQUEADO",IF($N75="","BLOQUEADO SEM MOTIVO INFORMADO",$N75),IF($U75="SEM DATA DE ETAPA","INFORMAR A DATA DE INÍCIO DA ETAPA",IF($T75&gt;0,"SLA DA ETAPA "&amp;$I75&amp;" EXCEDIDO EM "&amp;$T75&amp;" DIA(S)",IF($AB75&gt;0,"DIVERGÊNCIA QUANTITATIVA EM "&amp;$AB75&amp;" ITEM(NS)",IF($S75&gt;SLA_Total,"PRAZO TOTAL ACIMA DE "&amp;SLA_Total&amp;" DIAS","FLUXO REGULAR")))))))</f>
        <v>SLA DA ETAPA LIBERAÇÃO DO MATERIAL EXCEDIDO EM 234 DIA(S)</v>
      </c>
      <c r="W75" s="21">
        <f t="shared" si="57"/>
        <v>0</v>
      </c>
      <c r="X75" s="21">
        <f t="shared" si="58"/>
        <v>0</v>
      </c>
      <c r="Y75" s="21">
        <f t="shared" si="59"/>
        <v>0</v>
      </c>
      <c r="Z75" s="21">
        <f t="shared" si="60"/>
        <v>0</v>
      </c>
      <c r="AA75" s="21">
        <f t="shared" si="61"/>
        <v>0</v>
      </c>
      <c r="AB75" s="21">
        <f t="shared" si="62"/>
        <v>0</v>
      </c>
      <c r="AC75" s="21" t="str">
        <f t="shared" si="63"/>
        <v/>
      </c>
      <c r="AD75" s="21">
        <f>IF($A75="","",IF(OR($L75="CONCLUÍDO",$L75="CANCELADO"),"",IF(AND(OR(Filtro_Unid="(TODAS AS UNIDADES)",$C75=Filtro_Unid),OR(Filtro_Proj="(TODOS OS PROJETOS)",$AE75=Filtro_Proj)),MAX($AD$4:AD74)+1,"")))</f>
        <v>48</v>
      </c>
      <c r="AE75" s="19" t="str">
        <f t="shared" si="64"/>
        <v>N/A69  ·  BALANÇAS  ·  RND</v>
      </c>
      <c r="AF75" s="21">
        <f t="shared" si="65"/>
        <v>5</v>
      </c>
    </row>
    <row r="76" spans="1:32" x14ac:dyDescent="0.3">
      <c r="A76" s="50" t="s">
        <v>610</v>
      </c>
      <c r="B76" s="51" t="s">
        <v>294</v>
      </c>
      <c r="C76" s="51" t="s">
        <v>281</v>
      </c>
      <c r="D76" s="51" t="s">
        <v>613</v>
      </c>
      <c r="E76" s="50">
        <v>6395</v>
      </c>
      <c r="F76" s="52" t="str">
        <f t="shared" ref="F76:F82" si="66">IF($E76="","",IFERROR(INDEX(Obj_Desc,MATCH($E76,Obj_Cod,0)),"CÓDIGO NÃO CADASTRADO"))</f>
        <v>RNP - CONSTRUÇÕES | INFRAESTRUTURA TI</v>
      </c>
      <c r="G76" s="51"/>
      <c r="H76" s="53">
        <v>45999</v>
      </c>
      <c r="I76" s="51" t="s">
        <v>310</v>
      </c>
      <c r="J76" s="52" t="str">
        <f t="shared" ref="J76:J82" si="67">IF($I76="","",IFERROR(INDEX(Etapa_Resp,MATCH($I76,Lista_Etapas,0)),"ETAPA NÃO CADASTRADA"))</f>
        <v>MONITORAMENTO</v>
      </c>
      <c r="K76" s="53">
        <v>46023</v>
      </c>
      <c r="L76" s="51" t="s">
        <v>10</v>
      </c>
      <c r="M76" s="51" t="s">
        <v>67</v>
      </c>
      <c r="N76" s="51"/>
      <c r="O76" s="51"/>
      <c r="P76" s="21">
        <f t="shared" si="51"/>
        <v>3</v>
      </c>
      <c r="Q76" s="21">
        <f t="shared" ca="1" si="52"/>
        <v>237</v>
      </c>
      <c r="R76" s="22">
        <f t="shared" ca="1" si="53"/>
        <v>79</v>
      </c>
      <c r="S76" s="21">
        <f t="shared" ca="1" si="54"/>
        <v>261</v>
      </c>
      <c r="T76" s="21">
        <f t="shared" ca="1" si="55"/>
        <v>234</v>
      </c>
      <c r="U76" s="19" t="str">
        <f t="shared" ca="1" si="56"/>
        <v>ATRASADO</v>
      </c>
      <c r="V76" s="19" t="str">
        <f ca="1">IF($A76="","",IF(OR($U76="CONCLUÍDO",$U76="CANCELADO"),"—",IF($U76="BLOQUEADO",IF($N76="","BLOQUEADO SEM MOTIVO INFORMADO",$N76),IF($U76="SEM DATA DE ETAPA","INFORMAR A DATA DE INÍCIO DA ETAPA",IF($T76&gt;0,"SLA DA ETAPA "&amp;$I76&amp;" EXCEDIDO EM "&amp;$T76&amp;" DIA(S)",IF($AB76&gt;0,"DIVERGÊNCIA QUANTITATIVA EM "&amp;$AB76&amp;" ITEM(NS)",IF($S76&gt;SLA_Total,"PRAZO TOTAL ACIMA DE "&amp;SLA_Total&amp;" DIAS","FLUXO REGULAR")))))))</f>
        <v>SLA DA ETAPA LIBERAÇÃO DO MATERIAL EXCEDIDO EM 234 DIA(S)</v>
      </c>
      <c r="W76" s="21">
        <f t="shared" si="57"/>
        <v>0</v>
      </c>
      <c r="X76" s="21">
        <f t="shared" si="58"/>
        <v>0</v>
      </c>
      <c r="Y76" s="21">
        <f t="shared" si="59"/>
        <v>0</v>
      </c>
      <c r="Z76" s="21">
        <f t="shared" si="60"/>
        <v>0</v>
      </c>
      <c r="AA76" s="21">
        <f t="shared" si="61"/>
        <v>0</v>
      </c>
      <c r="AB76" s="21">
        <f t="shared" si="62"/>
        <v>0</v>
      </c>
      <c r="AC76" s="21" t="str">
        <f t="shared" si="63"/>
        <v/>
      </c>
      <c r="AD76" s="21">
        <f>IF($A76="","",IF(OR($L76="CONCLUÍDO",$L76="CANCELADO"),"",IF(AND(OR(Filtro_Unid="(TODAS AS UNIDADES)",$C76=Filtro_Unid),OR(Filtro_Proj="(TODOS OS PROJETOS)",$AE76=Filtro_Proj)),MAX($AD$4:AD75)+1,"")))</f>
        <v>49</v>
      </c>
      <c r="AE76" s="19" t="str">
        <f t="shared" si="64"/>
        <v>N/A70  ·  PERÍMETRO  ·  RND</v>
      </c>
      <c r="AF76" s="21">
        <f t="shared" si="65"/>
        <v>5</v>
      </c>
    </row>
    <row r="77" spans="1:32" x14ac:dyDescent="0.3">
      <c r="A77" s="50" t="s">
        <v>611</v>
      </c>
      <c r="B77" s="51" t="s">
        <v>612</v>
      </c>
      <c r="C77" s="51" t="s">
        <v>281</v>
      </c>
      <c r="D77" s="51" t="s">
        <v>613</v>
      </c>
      <c r="E77" s="50">
        <v>6395</v>
      </c>
      <c r="F77" s="52" t="str">
        <f t="shared" si="66"/>
        <v>RNP - CONSTRUÇÕES | INFRAESTRUTURA TI</v>
      </c>
      <c r="G77" s="51"/>
      <c r="H77" s="53">
        <v>45999</v>
      </c>
      <c r="I77" s="51" t="s">
        <v>72</v>
      </c>
      <c r="J77" s="52" t="str">
        <f t="shared" si="67"/>
        <v>MONITORAMENTO</v>
      </c>
      <c r="K77" s="53">
        <v>46023</v>
      </c>
      <c r="L77" s="51" t="s">
        <v>103</v>
      </c>
      <c r="M77" s="51" t="s">
        <v>67</v>
      </c>
      <c r="N77" s="51"/>
      <c r="O77" s="51"/>
      <c r="P77" s="21">
        <f t="shared" si="51"/>
        <v>5</v>
      </c>
      <c r="Q77" s="21">
        <f t="shared" ca="1" si="52"/>
        <v>237</v>
      </c>
      <c r="R77" s="22">
        <f t="shared" ca="1" si="53"/>
        <v>47.4</v>
      </c>
      <c r="S77" s="21">
        <f t="shared" ca="1" si="54"/>
        <v>261</v>
      </c>
      <c r="T77" s="21">
        <f t="shared" ca="1" si="55"/>
        <v>232</v>
      </c>
      <c r="U77" s="19" t="str">
        <f t="shared" si="56"/>
        <v>CONCLUÍDO</v>
      </c>
      <c r="V77" s="19" t="str">
        <f>IF($A77="","",IF(OR($U77="CONCLUÍDO",$U77="CANCELADO"),"—",IF($U77="BLOQUEADO",IF($N77="","BLOQUEADO SEM MOTIVO INFORMADO",$N77),IF($U77="SEM DATA DE ETAPA","INFORMAR A DATA DE INÍCIO DA ETAPA",IF($T77&gt;0,"SLA DA ETAPA "&amp;$I77&amp;" EXCEDIDO EM "&amp;$T77&amp;" DIA(S)",IF($AB77&gt;0,"DIVERGÊNCIA QUANTITATIVA EM "&amp;$AB77&amp;" ITEM(NS)",IF($S77&gt;SLA_Total,"PRAZO TOTAL ACIMA DE "&amp;SLA_Total&amp;" DIAS","FLUXO REGULAR")))))))</f>
        <v>—</v>
      </c>
      <c r="W77" s="21">
        <f t="shared" si="57"/>
        <v>0</v>
      </c>
      <c r="X77" s="21">
        <f t="shared" si="58"/>
        <v>0</v>
      </c>
      <c r="Y77" s="21">
        <f t="shared" si="59"/>
        <v>0</v>
      </c>
      <c r="Z77" s="21">
        <f t="shared" si="60"/>
        <v>0</v>
      </c>
      <c r="AA77" s="21">
        <f t="shared" si="61"/>
        <v>0</v>
      </c>
      <c r="AB77" s="21">
        <f t="shared" si="62"/>
        <v>0</v>
      </c>
      <c r="AC77" s="21">
        <f t="shared" si="63"/>
        <v>0</v>
      </c>
      <c r="AD77" s="21" t="str">
        <f>IF($A77="","",IF(OR($L77="CONCLUÍDO",$L77="CANCELADO"),"",IF(AND(OR(Filtro_Unid="(TODAS AS UNIDADES)",$C77=Filtro_Unid),OR(Filtro_Proj="(TODOS OS PROJETOS)",$AE77=Filtro_Proj)),MAX($AD$4:AD76)+1,"")))</f>
        <v/>
      </c>
      <c r="AE77" s="19" t="str">
        <f t="shared" si="64"/>
        <v>N/A71  ·  CONTAINERS DE OBRA  ·  RND</v>
      </c>
      <c r="AF77" s="21">
        <f t="shared" si="65"/>
        <v>99</v>
      </c>
    </row>
    <row r="78" spans="1:32" x14ac:dyDescent="0.3">
      <c r="A78" s="50">
        <v>466726</v>
      </c>
      <c r="B78" s="51" t="s">
        <v>586</v>
      </c>
      <c r="C78" s="51" t="s">
        <v>76</v>
      </c>
      <c r="D78" s="51" t="s">
        <v>251</v>
      </c>
      <c r="E78" s="50">
        <v>23</v>
      </c>
      <c r="F78" s="52" t="str">
        <f t="shared" si="66"/>
        <v>ALMOXARIFADO</v>
      </c>
      <c r="G78" s="51" t="s">
        <v>619</v>
      </c>
      <c r="H78" s="53">
        <v>46136</v>
      </c>
      <c r="I78" s="51" t="s">
        <v>88</v>
      </c>
      <c r="J78" s="52" t="str">
        <f t="shared" si="67"/>
        <v>MONITORAMENTO</v>
      </c>
      <c r="K78" s="53">
        <v>46260</v>
      </c>
      <c r="L78" s="51" t="s">
        <v>10</v>
      </c>
      <c r="M78" s="51" t="s">
        <v>67</v>
      </c>
      <c r="N78" s="51"/>
      <c r="O78" s="51"/>
      <c r="P78" s="21">
        <f t="shared" si="51"/>
        <v>7</v>
      </c>
      <c r="Q78" s="21">
        <f t="shared" ca="1" si="52"/>
        <v>0</v>
      </c>
      <c r="R78" s="22">
        <f t="shared" ca="1" si="53"/>
        <v>0</v>
      </c>
      <c r="S78" s="21">
        <f t="shared" ca="1" si="54"/>
        <v>124</v>
      </c>
      <c r="T78" s="21">
        <f t="shared" ca="1" si="55"/>
        <v>0</v>
      </c>
      <c r="U78" s="19" t="str">
        <f t="shared" ca="1" si="56"/>
        <v>NO PRAZO</v>
      </c>
      <c r="V78" s="19" t="str">
        <f ca="1">IF($A78="","",IF(OR($U78="CONCLUÍDO",$U78="CANCELADO"),"—",IF($U78="BLOQUEADO",IF($N78="","BLOQUEADO SEM MOTIVO INFORMADO",$N78),IF($U78="SEM DATA DE ETAPA","INFORMAR A DATA DE INÍCIO DA ETAPA",IF($T78&gt;0,"SLA DA ETAPA "&amp;$I78&amp;" EXCEDIDO EM "&amp;$T78&amp;" DIA(S)",IF($AB78&gt;0,"DIVERGÊNCIA QUANTITATIVA EM "&amp;$AB78&amp;" ITEM(NS)",IF($S78&gt;SLA_Total,"PRAZO TOTAL ACIMA DE "&amp;SLA_Total&amp;" DIAS","FLUXO REGULAR")))))))</f>
        <v>PRAZO TOTAL ACIMA DE 55 DIAS</v>
      </c>
      <c r="W78" s="21">
        <f t="shared" si="57"/>
        <v>0</v>
      </c>
      <c r="X78" s="21">
        <f t="shared" si="58"/>
        <v>0</v>
      </c>
      <c r="Y78" s="21">
        <f t="shared" si="59"/>
        <v>0</v>
      </c>
      <c r="Z78" s="21">
        <f t="shared" si="60"/>
        <v>0</v>
      </c>
      <c r="AA78" s="21">
        <f t="shared" si="61"/>
        <v>0</v>
      </c>
      <c r="AB78" s="21">
        <f t="shared" si="62"/>
        <v>0</v>
      </c>
      <c r="AC78" s="21" t="str">
        <f t="shared" si="63"/>
        <v/>
      </c>
      <c r="AD78" s="21">
        <f>IF($A78="","",IF(OR($L78="CONCLUÍDO",$L78="CANCELADO"),"",IF(AND(OR(Filtro_Unid="(TODAS AS UNIDADES)",$C78=Filtro_Unid),OR(Filtro_Proj="(TODOS OS PROJETOS)",$AE78=Filtro_Proj)),MAX($AD$4:AD77)+1,"")))</f>
        <v>50</v>
      </c>
      <c r="AE78" s="19" t="str">
        <f t="shared" si="64"/>
        <v>466726  ·  ALMOX OPEX  ·  BLS</v>
      </c>
      <c r="AF78" s="21">
        <f t="shared" si="65"/>
        <v>1</v>
      </c>
    </row>
    <row r="79" spans="1:32" x14ac:dyDescent="0.3">
      <c r="A79" s="50">
        <v>456060</v>
      </c>
      <c r="B79" s="51" t="s">
        <v>620</v>
      </c>
      <c r="C79" s="51" t="s">
        <v>119</v>
      </c>
      <c r="D79" s="51" t="s">
        <v>110</v>
      </c>
      <c r="E79" s="50">
        <v>32</v>
      </c>
      <c r="F79" s="52" t="str">
        <f t="shared" si="66"/>
        <v>DIRETORIA DE SSO</v>
      </c>
      <c r="G79" s="51" t="s">
        <v>621</v>
      </c>
      <c r="H79" s="53">
        <v>46258</v>
      </c>
      <c r="I79" s="51" t="s">
        <v>88</v>
      </c>
      <c r="J79" s="52" t="str">
        <f t="shared" si="67"/>
        <v>MONITORAMENTO</v>
      </c>
      <c r="K79" s="53">
        <v>46260</v>
      </c>
      <c r="L79" s="51" t="s">
        <v>10</v>
      </c>
      <c r="M79" s="51" t="s">
        <v>67</v>
      </c>
      <c r="N79" s="51"/>
      <c r="O79" s="51"/>
      <c r="P79" s="21">
        <f t="shared" si="51"/>
        <v>7</v>
      </c>
      <c r="Q79" s="21">
        <f t="shared" ca="1" si="52"/>
        <v>0</v>
      </c>
      <c r="R79" s="22">
        <f t="shared" ca="1" si="53"/>
        <v>0</v>
      </c>
      <c r="S79" s="21">
        <f t="shared" ca="1" si="54"/>
        <v>2</v>
      </c>
      <c r="T79" s="21">
        <f t="shared" ca="1" si="55"/>
        <v>0</v>
      </c>
      <c r="U79" s="19" t="str">
        <f t="shared" ca="1" si="56"/>
        <v>NO PRAZO</v>
      </c>
      <c r="V79" s="19" t="str">
        <f ca="1">IF($A79="","",IF(OR($U79="CONCLUÍDO",$U79="CANCELADO"),"—",IF($U79="BLOQUEADO",IF($N79="","BLOQUEADO SEM MOTIVO INFORMADO",$N79),IF($U79="SEM DATA DE ETAPA","INFORMAR A DATA DE INÍCIO DA ETAPA",IF($T79&gt;0,"SLA DA ETAPA "&amp;$I79&amp;" EXCEDIDO EM "&amp;$T79&amp;" DIA(S)",IF($AB79&gt;0,"DIVERGÊNCIA QUANTITATIVA EM "&amp;$AB79&amp;" ITEM(NS)",IF($S79&gt;SLA_Total,"PRAZO TOTAL ACIMA DE "&amp;SLA_Total&amp;" DIAS","FLUXO REGULAR")))))))</f>
        <v>FLUXO REGULAR</v>
      </c>
      <c r="W79" s="21">
        <f t="shared" si="57"/>
        <v>0</v>
      </c>
      <c r="X79" s="21">
        <f t="shared" si="58"/>
        <v>0</v>
      </c>
      <c r="Y79" s="21">
        <f t="shared" si="59"/>
        <v>0</v>
      </c>
      <c r="Z79" s="21">
        <f t="shared" si="60"/>
        <v>0</v>
      </c>
      <c r="AA79" s="21">
        <f t="shared" si="61"/>
        <v>0</v>
      </c>
      <c r="AB79" s="21">
        <f t="shared" si="62"/>
        <v>0</v>
      </c>
      <c r="AC79" s="21" t="str">
        <f t="shared" si="63"/>
        <v/>
      </c>
      <c r="AD79" s="21">
        <f>IF($A79="","",IF(OR($L79="CONCLUÍDO",$L79="CANCELADO"),"",IF(AND(OR(Filtro_Unid="(TODAS AS UNIDADES)",$C79=Filtro_Unid),OR(Filtro_Proj="(TODOS OS PROJETOS)",$AE79=Filtro_Proj)),MAX($AD$4:AD78)+1,"")))</f>
        <v>51</v>
      </c>
      <c r="AE79" s="19" t="str">
        <f t="shared" si="64"/>
        <v>456060  ·  SSO SALA DE OPERAÇÕES  ·  MTU</v>
      </c>
      <c r="AF79" s="21">
        <f t="shared" si="65"/>
        <v>1</v>
      </c>
    </row>
    <row r="80" spans="1:32" x14ac:dyDescent="0.3">
      <c r="A80" s="50">
        <v>457511</v>
      </c>
      <c r="B80" s="51" t="s">
        <v>332</v>
      </c>
      <c r="C80" s="51" t="s">
        <v>119</v>
      </c>
      <c r="D80" s="51" t="s">
        <v>332</v>
      </c>
      <c r="E80" s="50">
        <v>34</v>
      </c>
      <c r="F80" s="52" t="str">
        <f t="shared" si="66"/>
        <v>REFEITÓRIO</v>
      </c>
      <c r="G80" s="51" t="s">
        <v>622</v>
      </c>
      <c r="H80" s="53">
        <v>46265</v>
      </c>
      <c r="I80" s="51" t="s">
        <v>88</v>
      </c>
      <c r="J80" s="52" t="str">
        <f t="shared" si="67"/>
        <v>MONITORAMENTO</v>
      </c>
      <c r="K80" s="53">
        <v>46260</v>
      </c>
      <c r="L80" s="51" t="s">
        <v>10</v>
      </c>
      <c r="M80" s="51" t="s">
        <v>67</v>
      </c>
      <c r="N80" s="51"/>
      <c r="O80" s="51"/>
      <c r="P80" s="21">
        <f t="shared" si="51"/>
        <v>7</v>
      </c>
      <c r="Q80" s="21">
        <f t="shared" ca="1" si="52"/>
        <v>0</v>
      </c>
      <c r="R80" s="22">
        <f t="shared" ca="1" si="53"/>
        <v>0</v>
      </c>
      <c r="S80" s="21">
        <f t="shared" ca="1" si="54"/>
        <v>0</v>
      </c>
      <c r="T80" s="21">
        <f t="shared" ca="1" si="55"/>
        <v>0</v>
      </c>
      <c r="U80" s="19" t="str">
        <f t="shared" ca="1" si="56"/>
        <v>NO PRAZO</v>
      </c>
      <c r="V80" s="19" t="str">
        <f ca="1">IF($A80="","",IF(OR($U80="CONCLUÍDO",$U80="CANCELADO"),"—",IF($U80="BLOQUEADO",IF($N80="","BLOQUEADO SEM MOTIVO INFORMADO",$N80),IF($U80="SEM DATA DE ETAPA","INFORMAR A DATA DE INÍCIO DA ETAPA",IF($T80&gt;0,"SLA DA ETAPA "&amp;$I80&amp;" EXCEDIDO EM "&amp;$T80&amp;" DIA(S)",IF($AB80&gt;0,"DIVERGÊNCIA QUANTITATIVA EM "&amp;$AB80&amp;" ITEM(NS)",IF($S80&gt;SLA_Total,"PRAZO TOTAL ACIMA DE "&amp;SLA_Total&amp;" DIAS","FLUXO REGULAR")))))))</f>
        <v>FLUXO REGULAR</v>
      </c>
      <c r="W80" s="21">
        <f t="shared" si="57"/>
        <v>0</v>
      </c>
      <c r="X80" s="21">
        <f t="shared" si="58"/>
        <v>0</v>
      </c>
      <c r="Y80" s="21">
        <f t="shared" si="59"/>
        <v>0</v>
      </c>
      <c r="Z80" s="21">
        <f t="shared" si="60"/>
        <v>0</v>
      </c>
      <c r="AA80" s="21">
        <f t="shared" si="61"/>
        <v>0</v>
      </c>
      <c r="AB80" s="21">
        <f t="shared" si="62"/>
        <v>0</v>
      </c>
      <c r="AC80" s="21" t="str">
        <f t="shared" si="63"/>
        <v/>
      </c>
      <c r="AD80" s="21">
        <f>IF($A80="","",IF(OR($L80="CONCLUÍDO",$L80="CANCELADO"),"",IF(AND(OR(Filtro_Unid="(TODAS AS UNIDADES)",$C80=Filtro_Unid),OR(Filtro_Proj="(TODOS OS PROJETOS)",$AE80=Filtro_Proj)),MAX($AD$4:AD79)+1,"")))</f>
        <v>52</v>
      </c>
      <c r="AE80" s="19" t="str">
        <f t="shared" si="64"/>
        <v>457511  ·  REFEITÓRIO  ·  MTU</v>
      </c>
      <c r="AF80" s="21">
        <f t="shared" si="65"/>
        <v>1</v>
      </c>
    </row>
    <row r="81" spans="1:32" x14ac:dyDescent="0.3">
      <c r="A81" s="50">
        <v>459049</v>
      </c>
      <c r="B81" s="51" t="s">
        <v>91</v>
      </c>
      <c r="C81" s="51" t="s">
        <v>139</v>
      </c>
      <c r="D81" s="51" t="s">
        <v>92</v>
      </c>
      <c r="E81" s="50">
        <v>202</v>
      </c>
      <c r="F81" s="52" t="str">
        <f t="shared" si="66"/>
        <v>ARMAZENAGEM DE GRÃOS</v>
      </c>
      <c r="G81" s="51" t="s">
        <v>623</v>
      </c>
      <c r="H81" s="53">
        <v>46255</v>
      </c>
      <c r="I81" s="51" t="s">
        <v>88</v>
      </c>
      <c r="J81" s="52" t="str">
        <f t="shared" si="67"/>
        <v>MONITORAMENTO</v>
      </c>
      <c r="K81" s="53">
        <v>46260</v>
      </c>
      <c r="L81" s="51" t="s">
        <v>10</v>
      </c>
      <c r="M81" s="51" t="s">
        <v>67</v>
      </c>
      <c r="N81" s="51"/>
      <c r="O81" s="51"/>
      <c r="P81" s="21">
        <f t="shared" si="51"/>
        <v>7</v>
      </c>
      <c r="Q81" s="21">
        <f t="shared" ca="1" si="52"/>
        <v>0</v>
      </c>
      <c r="R81" s="22">
        <f t="shared" ca="1" si="53"/>
        <v>0</v>
      </c>
      <c r="S81" s="21">
        <f t="shared" ca="1" si="54"/>
        <v>5</v>
      </c>
      <c r="T81" s="21">
        <f t="shared" ca="1" si="55"/>
        <v>0</v>
      </c>
      <c r="U81" s="19" t="str">
        <f t="shared" ca="1" si="56"/>
        <v>NO PRAZO</v>
      </c>
      <c r="V81" s="19" t="str">
        <f ca="1">IF($A81="","",IF(OR($U81="CONCLUÍDO",$U81="CANCELADO"),"—",IF($U81="BLOQUEADO",IF($N81="","BLOQUEADO SEM MOTIVO INFORMADO",$N81),IF($U81="SEM DATA DE ETAPA","INFORMAR A DATA DE INÍCIO DA ETAPA",IF($T81&gt;0,"SLA DA ETAPA "&amp;$I81&amp;" EXCEDIDO EM "&amp;$T81&amp;" DIA(S)",IF($AB81&gt;0,"DIVERGÊNCIA QUANTITATIVA EM "&amp;$AB81&amp;" ITEM(NS)",IF($S81&gt;SLA_Total,"PRAZO TOTAL ACIMA DE "&amp;SLA_Total&amp;" DIAS","FLUXO REGULAR")))))))</f>
        <v>FLUXO REGULAR</v>
      </c>
      <c r="W81" s="21">
        <f t="shared" si="57"/>
        <v>0</v>
      </c>
      <c r="X81" s="21">
        <f t="shared" si="58"/>
        <v>0</v>
      </c>
      <c r="Y81" s="21">
        <f t="shared" si="59"/>
        <v>0</v>
      </c>
      <c r="Z81" s="21">
        <f t="shared" si="60"/>
        <v>0</v>
      </c>
      <c r="AA81" s="21">
        <f t="shared" si="61"/>
        <v>0</v>
      </c>
      <c r="AB81" s="21">
        <f t="shared" si="62"/>
        <v>0</v>
      </c>
      <c r="AC81" s="21" t="str">
        <f t="shared" si="63"/>
        <v/>
      </c>
      <c r="AD81" s="21">
        <f>IF($A81="","",IF(OR($L81="CONCLUÍDO",$L81="CANCELADO"),"",IF(AND(OR(Filtro_Unid="(TODAS AS UNIDADES)",$C81=Filtro_Unid),OR(Filtro_Proj="(TODOS OS PROJETOS)",$AE81=Filtro_Proj)),MAX($AD$4:AD80)+1,"")))</f>
        <v>53</v>
      </c>
      <c r="AE81" s="19" t="str">
        <f t="shared" si="64"/>
        <v>459049  ·  ARMAZÉM DE MILHO  ·  SDL</v>
      </c>
      <c r="AF81" s="21">
        <f t="shared" si="65"/>
        <v>1</v>
      </c>
    </row>
    <row r="82" spans="1:32" x14ac:dyDescent="0.3">
      <c r="A82" s="50">
        <v>461634</v>
      </c>
      <c r="B82" s="51" t="s">
        <v>624</v>
      </c>
      <c r="C82" s="51" t="s">
        <v>63</v>
      </c>
      <c r="D82" s="51" t="s">
        <v>101</v>
      </c>
      <c r="E82" s="50">
        <v>9</v>
      </c>
      <c r="F82" s="52" t="str">
        <f t="shared" si="66"/>
        <v>FATURAMENTO LOCAL</v>
      </c>
      <c r="G82" s="51" t="s">
        <v>625</v>
      </c>
      <c r="H82" s="53">
        <v>46253</v>
      </c>
      <c r="I82" s="51" t="s">
        <v>88</v>
      </c>
      <c r="J82" s="52" t="str">
        <f t="shared" si="67"/>
        <v>MONITORAMENTO</v>
      </c>
      <c r="K82" s="53">
        <v>46260</v>
      </c>
      <c r="L82" s="51" t="s">
        <v>10</v>
      </c>
      <c r="M82" s="51" t="s">
        <v>67</v>
      </c>
      <c r="N82" s="51"/>
      <c r="O82" s="51"/>
      <c r="P82" s="21">
        <f t="shared" si="51"/>
        <v>7</v>
      </c>
      <c r="Q82" s="21">
        <f t="shared" ca="1" si="52"/>
        <v>0</v>
      </c>
      <c r="R82" s="22">
        <f t="shared" ca="1" si="53"/>
        <v>0</v>
      </c>
      <c r="S82" s="21">
        <f t="shared" ca="1" si="54"/>
        <v>7</v>
      </c>
      <c r="T82" s="21">
        <f t="shared" ca="1" si="55"/>
        <v>0</v>
      </c>
      <c r="U82" s="19" t="str">
        <f t="shared" ca="1" si="56"/>
        <v>NO PRAZO</v>
      </c>
      <c r="V82" s="19" t="str">
        <f ca="1">IF($A82="","",IF(OR($U82="CONCLUÍDO",$U82="CANCELADO"),"—",IF($U82="BLOQUEADO",IF($N82="","BLOQUEADO SEM MOTIVO INFORMADO",$N82),IF($U82="SEM DATA DE ETAPA","INFORMAR A DATA DE INÍCIO DA ETAPA",IF($T82&gt;0,"SLA DA ETAPA "&amp;$I82&amp;" EXCEDIDO EM "&amp;$T82&amp;" DIA(S)",IF($AB82&gt;0,"DIVERGÊNCIA QUANTITATIVA EM "&amp;$AB82&amp;" ITEM(NS)",IF($S82&gt;SLA_Total,"PRAZO TOTAL ACIMA DE "&amp;SLA_Total&amp;" DIAS","FLUXO REGULAR")))))))</f>
        <v>FLUXO REGULAR</v>
      </c>
      <c r="W82" s="21">
        <f t="shared" si="57"/>
        <v>0</v>
      </c>
      <c r="X82" s="21">
        <f t="shared" si="58"/>
        <v>0</v>
      </c>
      <c r="Y82" s="21">
        <f t="shared" si="59"/>
        <v>0</v>
      </c>
      <c r="Z82" s="21">
        <f t="shared" si="60"/>
        <v>0</v>
      </c>
      <c r="AA82" s="21">
        <f t="shared" si="61"/>
        <v>0</v>
      </c>
      <c r="AB82" s="21">
        <f t="shared" si="62"/>
        <v>0</v>
      </c>
      <c r="AC82" s="21" t="str">
        <f t="shared" si="63"/>
        <v/>
      </c>
      <c r="AD82" s="21">
        <f>IF($A82="","",IF(OR($L82="CONCLUÍDO",$L82="CANCELADO"),"",IF(AND(OR(Filtro_Unid="(TODAS AS UNIDADES)",$C82=Filtro_Unid),OR(Filtro_Proj="(TODOS OS PROJETOS)",$AE82=Filtro_Proj)),MAX($AD$4:AD81)+1,"")))</f>
        <v>54</v>
      </c>
      <c r="AE82" s="19" t="str">
        <f t="shared" si="64"/>
        <v>461634  ·  PÁTIO DE CADASTRO - FATURAMENTO  ·  SNP</v>
      </c>
      <c r="AF82" s="21">
        <f t="shared" si="65"/>
        <v>1</v>
      </c>
    </row>
    <row r="83" spans="1:32" x14ac:dyDescent="0.3">
      <c r="A83" s="17"/>
      <c r="B83" s="18"/>
      <c r="C83" s="18"/>
      <c r="D83" s="18"/>
      <c r="E83" s="17"/>
      <c r="F83" s="19" t="str">
        <f t="shared" si="49"/>
        <v/>
      </c>
      <c r="G83" s="18"/>
      <c r="H83" s="20"/>
      <c r="I83" s="18"/>
      <c r="J83" s="19" t="str">
        <f t="shared" si="50"/>
        <v/>
      </c>
      <c r="K83" s="20"/>
      <c r="L83" s="18"/>
      <c r="M83" s="18"/>
      <c r="N83" s="18"/>
      <c r="O83" s="18"/>
      <c r="P83" s="21" t="str">
        <f t="shared" si="51"/>
        <v/>
      </c>
      <c r="Q83" s="21" t="str">
        <f t="shared" si="52"/>
        <v/>
      </c>
      <c r="R83" s="22" t="str">
        <f t="shared" si="53"/>
        <v/>
      </c>
      <c r="S83" s="21" t="str">
        <f t="shared" si="54"/>
        <v/>
      </c>
      <c r="T83" s="21" t="str">
        <f t="shared" si="55"/>
        <v/>
      </c>
      <c r="U83" s="19" t="str">
        <f t="shared" si="56"/>
        <v/>
      </c>
      <c r="V83" s="19" t="str">
        <f>IF($A83="","",IF(OR($U83="CONCLUÍDO",$U83="CANCELADO"),"—",IF($U83="BLOQUEADO",IF($N83="","BLOQUEADO SEM MOTIVO INFORMADO",$N83),IF($U83="SEM DATA DE ETAPA","INFORMAR A DATA DE INÍCIO DA ETAPA",IF($T83&gt;0,"SLA DA ETAPA "&amp;$I83&amp;" EXCEDIDO EM "&amp;$T83&amp;" DIA(S)",IF($AB83&gt;0,"DIVERGÊNCIA QUANTITATIVA EM "&amp;$AB83&amp;" ITEM(NS)",IF($S83&gt;SLA_Total,"PRAZO TOTAL ACIMA DE "&amp;SLA_Total&amp;" DIAS","FLUXO REGULAR")))))))</f>
        <v/>
      </c>
      <c r="W83" s="21" t="str">
        <f t="shared" si="57"/>
        <v/>
      </c>
      <c r="X83" s="21" t="str">
        <f t="shared" si="58"/>
        <v/>
      </c>
      <c r="Y83" s="21" t="str">
        <f t="shared" si="59"/>
        <v/>
      </c>
      <c r="Z83" s="21" t="str">
        <f t="shared" si="60"/>
        <v/>
      </c>
      <c r="AA83" s="21" t="str">
        <f t="shared" si="61"/>
        <v/>
      </c>
      <c r="AB83" s="21" t="str">
        <f t="shared" si="62"/>
        <v/>
      </c>
      <c r="AC83" s="21" t="str">
        <f t="shared" si="63"/>
        <v/>
      </c>
      <c r="AD83" s="21" t="str">
        <f>IF($A83="","",IF(OR($L83="CONCLUÍDO",$L83="CANCELADO"),"",IF(AND(OR(Filtro_Unid="(TODAS AS UNIDADES)",$C83=Filtro_Unid),OR(Filtro_Proj="(TODOS OS PROJETOS)",$AE83=Filtro_Proj)),MAX($AD$4:AD82)+1,"")))</f>
        <v/>
      </c>
      <c r="AE83" s="19" t="str">
        <f t="shared" si="64"/>
        <v/>
      </c>
      <c r="AF83" s="21" t="str">
        <f t="shared" si="65"/>
        <v/>
      </c>
    </row>
    <row r="84" spans="1:32" x14ac:dyDescent="0.3">
      <c r="A84" s="17"/>
      <c r="B84" s="18"/>
      <c r="C84" s="18"/>
      <c r="D84" s="18"/>
      <c r="E84" s="17"/>
      <c r="F84" s="19" t="str">
        <f t="shared" si="49"/>
        <v/>
      </c>
      <c r="G84" s="18"/>
      <c r="H84" s="20"/>
      <c r="I84" s="18"/>
      <c r="J84" s="19" t="str">
        <f t="shared" si="50"/>
        <v/>
      </c>
      <c r="K84" s="20"/>
      <c r="L84" s="18"/>
      <c r="M84" s="18"/>
      <c r="N84" s="18"/>
      <c r="O84" s="18"/>
      <c r="P84" s="21" t="str">
        <f t="shared" si="51"/>
        <v/>
      </c>
      <c r="Q84" s="21" t="str">
        <f t="shared" si="52"/>
        <v/>
      </c>
      <c r="R84" s="22" t="str">
        <f t="shared" si="53"/>
        <v/>
      </c>
      <c r="S84" s="21" t="str">
        <f t="shared" si="54"/>
        <v/>
      </c>
      <c r="T84" s="21" t="str">
        <f t="shared" si="55"/>
        <v/>
      </c>
      <c r="U84" s="19" t="str">
        <f t="shared" si="56"/>
        <v/>
      </c>
      <c r="V84" s="19" t="str">
        <f>IF($A84="","",IF(OR($U84="CONCLUÍDO",$U84="CANCELADO"),"—",IF($U84="BLOQUEADO",IF($N84="","BLOQUEADO SEM MOTIVO INFORMADO",$N84),IF($U84="SEM DATA DE ETAPA","INFORMAR A DATA DE INÍCIO DA ETAPA",IF($T84&gt;0,"SLA DA ETAPA "&amp;$I84&amp;" EXCEDIDO EM "&amp;$T84&amp;" DIA(S)",IF($AB84&gt;0,"DIVERGÊNCIA QUANTITATIVA EM "&amp;$AB84&amp;" ITEM(NS)",IF($S84&gt;SLA_Total,"PRAZO TOTAL ACIMA DE "&amp;SLA_Total&amp;" DIAS","FLUXO REGULAR")))))))</f>
        <v/>
      </c>
      <c r="W84" s="21" t="str">
        <f t="shared" si="57"/>
        <v/>
      </c>
      <c r="X84" s="21" t="str">
        <f t="shared" si="58"/>
        <v/>
      </c>
      <c r="Y84" s="21" t="str">
        <f t="shared" si="59"/>
        <v/>
      </c>
      <c r="Z84" s="21" t="str">
        <f t="shared" si="60"/>
        <v/>
      </c>
      <c r="AA84" s="21" t="str">
        <f t="shared" si="61"/>
        <v/>
      </c>
      <c r="AB84" s="21" t="str">
        <f t="shared" si="62"/>
        <v/>
      </c>
      <c r="AC84" s="21" t="str">
        <f t="shared" si="63"/>
        <v/>
      </c>
      <c r="AD84" s="21" t="str">
        <f>IF($A84="","",IF(OR($L84="CONCLUÍDO",$L84="CANCELADO"),"",IF(AND(OR(Filtro_Unid="(TODAS AS UNIDADES)",$C84=Filtro_Unid),OR(Filtro_Proj="(TODOS OS PROJETOS)",$AE84=Filtro_Proj)),MAX($AD$4:AD83)+1,"")))</f>
        <v/>
      </c>
      <c r="AE84" s="19" t="str">
        <f t="shared" si="64"/>
        <v/>
      </c>
      <c r="AF84" s="21" t="str">
        <f t="shared" si="65"/>
        <v/>
      </c>
    </row>
    <row r="85" spans="1:32" x14ac:dyDescent="0.3">
      <c r="A85" s="17"/>
      <c r="B85" s="18"/>
      <c r="C85" s="18"/>
      <c r="D85" s="18"/>
      <c r="E85" s="17"/>
      <c r="F85" s="19" t="str">
        <f t="shared" si="49"/>
        <v/>
      </c>
      <c r="G85" s="18"/>
      <c r="H85" s="20"/>
      <c r="I85" s="18"/>
      <c r="J85" s="19" t="str">
        <f t="shared" si="50"/>
        <v/>
      </c>
      <c r="K85" s="20"/>
      <c r="L85" s="18"/>
      <c r="M85" s="18"/>
      <c r="N85" s="18"/>
      <c r="O85" s="18"/>
      <c r="P85" s="21" t="str">
        <f t="shared" si="51"/>
        <v/>
      </c>
      <c r="Q85" s="21" t="str">
        <f t="shared" si="52"/>
        <v/>
      </c>
      <c r="R85" s="22" t="str">
        <f t="shared" si="53"/>
        <v/>
      </c>
      <c r="S85" s="21" t="str">
        <f t="shared" si="54"/>
        <v/>
      </c>
      <c r="T85" s="21" t="str">
        <f t="shared" si="55"/>
        <v/>
      </c>
      <c r="U85" s="19" t="str">
        <f t="shared" si="56"/>
        <v/>
      </c>
      <c r="V85" s="19" t="str">
        <f>IF($A85="","",IF(OR($U85="CONCLUÍDO",$U85="CANCELADO"),"—",IF($U85="BLOQUEADO",IF($N85="","BLOQUEADO SEM MOTIVO INFORMADO",$N85),IF($U85="SEM DATA DE ETAPA","INFORMAR A DATA DE INÍCIO DA ETAPA",IF($T85&gt;0,"SLA DA ETAPA "&amp;$I85&amp;" EXCEDIDO EM "&amp;$T85&amp;" DIA(S)",IF($AB85&gt;0,"DIVERGÊNCIA QUANTITATIVA EM "&amp;$AB85&amp;" ITEM(NS)",IF($S85&gt;SLA_Total,"PRAZO TOTAL ACIMA DE "&amp;SLA_Total&amp;" DIAS","FLUXO REGULAR")))))))</f>
        <v/>
      </c>
      <c r="W85" s="21" t="str">
        <f t="shared" si="57"/>
        <v/>
      </c>
      <c r="X85" s="21" t="str">
        <f t="shared" si="58"/>
        <v/>
      </c>
      <c r="Y85" s="21" t="str">
        <f t="shared" si="59"/>
        <v/>
      </c>
      <c r="Z85" s="21" t="str">
        <f t="shared" si="60"/>
        <v/>
      </c>
      <c r="AA85" s="21" t="str">
        <f t="shared" si="61"/>
        <v/>
      </c>
      <c r="AB85" s="21" t="str">
        <f t="shared" si="62"/>
        <v/>
      </c>
      <c r="AC85" s="21" t="str">
        <f t="shared" si="63"/>
        <v/>
      </c>
      <c r="AD85" s="21" t="str">
        <f>IF($A85="","",IF(OR($L85="CONCLUÍDO",$L85="CANCELADO"),"",IF(AND(OR(Filtro_Unid="(TODAS AS UNIDADES)",$C85=Filtro_Unid),OR(Filtro_Proj="(TODOS OS PROJETOS)",$AE85=Filtro_Proj)),MAX($AD$4:AD84)+1,"")))</f>
        <v/>
      </c>
      <c r="AE85" s="19" t="str">
        <f t="shared" si="64"/>
        <v/>
      </c>
      <c r="AF85" s="21" t="str">
        <f t="shared" si="65"/>
        <v/>
      </c>
    </row>
    <row r="86" spans="1:32" x14ac:dyDescent="0.3">
      <c r="A86" s="17"/>
      <c r="B86" s="18"/>
      <c r="C86" s="18"/>
      <c r="D86" s="18"/>
      <c r="E86" s="17"/>
      <c r="F86" s="19" t="str">
        <f t="shared" si="49"/>
        <v/>
      </c>
      <c r="G86" s="18"/>
      <c r="H86" s="20"/>
      <c r="I86" s="18"/>
      <c r="J86" s="19" t="str">
        <f t="shared" si="50"/>
        <v/>
      </c>
      <c r="K86" s="20"/>
      <c r="L86" s="18"/>
      <c r="M86" s="18"/>
      <c r="N86" s="18"/>
      <c r="O86" s="18"/>
      <c r="P86" s="21" t="str">
        <f t="shared" si="51"/>
        <v/>
      </c>
      <c r="Q86" s="21" t="str">
        <f t="shared" si="52"/>
        <v/>
      </c>
      <c r="R86" s="22" t="str">
        <f t="shared" si="53"/>
        <v/>
      </c>
      <c r="S86" s="21" t="str">
        <f t="shared" si="54"/>
        <v/>
      </c>
      <c r="T86" s="21" t="str">
        <f t="shared" si="55"/>
        <v/>
      </c>
      <c r="U86" s="19" t="str">
        <f t="shared" si="56"/>
        <v/>
      </c>
      <c r="V86" s="19" t="str">
        <f>IF($A86="","",IF(OR($U86="CONCLUÍDO",$U86="CANCELADO"),"—",IF($U86="BLOQUEADO",IF($N86="","BLOQUEADO SEM MOTIVO INFORMADO",$N86),IF($U86="SEM DATA DE ETAPA","INFORMAR A DATA DE INÍCIO DA ETAPA",IF($T86&gt;0,"SLA DA ETAPA "&amp;$I86&amp;" EXCEDIDO EM "&amp;$T86&amp;" DIA(S)",IF($AB86&gt;0,"DIVERGÊNCIA QUANTITATIVA EM "&amp;$AB86&amp;" ITEM(NS)",IF($S86&gt;SLA_Total,"PRAZO TOTAL ACIMA DE "&amp;SLA_Total&amp;" DIAS","FLUXO REGULAR")))))))</f>
        <v/>
      </c>
      <c r="W86" s="21" t="str">
        <f t="shared" si="57"/>
        <v/>
      </c>
      <c r="X86" s="21" t="str">
        <f t="shared" si="58"/>
        <v/>
      </c>
      <c r="Y86" s="21" t="str">
        <f t="shared" si="59"/>
        <v/>
      </c>
      <c r="Z86" s="21" t="str">
        <f t="shared" si="60"/>
        <v/>
      </c>
      <c r="AA86" s="21" t="str">
        <f t="shared" si="61"/>
        <v/>
      </c>
      <c r="AB86" s="21" t="str">
        <f t="shared" si="62"/>
        <v/>
      </c>
      <c r="AC86" s="21" t="str">
        <f t="shared" si="63"/>
        <v/>
      </c>
      <c r="AD86" s="21" t="str">
        <f>IF($A86="","",IF(OR($L86="CONCLUÍDO",$L86="CANCELADO"),"",IF(AND(OR(Filtro_Unid="(TODAS AS UNIDADES)",$C86=Filtro_Unid),OR(Filtro_Proj="(TODOS OS PROJETOS)",$AE86=Filtro_Proj)),MAX($AD$4:AD85)+1,"")))</f>
        <v/>
      </c>
      <c r="AE86" s="19" t="str">
        <f t="shared" si="64"/>
        <v/>
      </c>
      <c r="AF86" s="21" t="str">
        <f t="shared" si="65"/>
        <v/>
      </c>
    </row>
    <row r="87" spans="1:32" x14ac:dyDescent="0.3">
      <c r="A87" s="17"/>
      <c r="B87" s="18"/>
      <c r="C87" s="18"/>
      <c r="D87" s="18"/>
      <c r="E87" s="17"/>
      <c r="F87" s="19" t="str">
        <f t="shared" si="49"/>
        <v/>
      </c>
      <c r="G87" s="18"/>
      <c r="H87" s="20"/>
      <c r="I87" s="18"/>
      <c r="J87" s="19" t="str">
        <f t="shared" si="50"/>
        <v/>
      </c>
      <c r="K87" s="20"/>
      <c r="L87" s="18"/>
      <c r="M87" s="18"/>
      <c r="N87" s="18"/>
      <c r="O87" s="18"/>
      <c r="P87" s="21" t="str">
        <f t="shared" si="51"/>
        <v/>
      </c>
      <c r="Q87" s="21" t="str">
        <f t="shared" si="52"/>
        <v/>
      </c>
      <c r="R87" s="22" t="str">
        <f t="shared" si="53"/>
        <v/>
      </c>
      <c r="S87" s="21" t="str">
        <f t="shared" si="54"/>
        <v/>
      </c>
      <c r="T87" s="21" t="str">
        <f t="shared" si="55"/>
        <v/>
      </c>
      <c r="U87" s="19" t="str">
        <f t="shared" si="56"/>
        <v/>
      </c>
      <c r="V87" s="19" t="str">
        <f>IF($A87="","",IF(OR($U87="CONCLUÍDO",$U87="CANCELADO"),"—",IF($U87="BLOQUEADO",IF($N87="","BLOQUEADO SEM MOTIVO INFORMADO",$N87),IF($U87="SEM DATA DE ETAPA","INFORMAR A DATA DE INÍCIO DA ETAPA",IF($T87&gt;0,"SLA DA ETAPA "&amp;$I87&amp;" EXCEDIDO EM "&amp;$T87&amp;" DIA(S)",IF($AB87&gt;0,"DIVERGÊNCIA QUANTITATIVA EM "&amp;$AB87&amp;" ITEM(NS)",IF($S87&gt;SLA_Total,"PRAZO TOTAL ACIMA DE "&amp;SLA_Total&amp;" DIAS","FLUXO REGULAR")))))))</f>
        <v/>
      </c>
      <c r="W87" s="21" t="str">
        <f t="shared" si="57"/>
        <v/>
      </c>
      <c r="X87" s="21" t="str">
        <f t="shared" si="58"/>
        <v/>
      </c>
      <c r="Y87" s="21" t="str">
        <f t="shared" si="59"/>
        <v/>
      </c>
      <c r="Z87" s="21" t="str">
        <f t="shared" si="60"/>
        <v/>
      </c>
      <c r="AA87" s="21" t="str">
        <f t="shared" si="61"/>
        <v/>
      </c>
      <c r="AB87" s="21" t="str">
        <f t="shared" si="62"/>
        <v/>
      </c>
      <c r="AC87" s="21" t="str">
        <f t="shared" si="63"/>
        <v/>
      </c>
      <c r="AD87" s="21" t="str">
        <f>IF($A87="","",IF(OR($L87="CONCLUÍDO",$L87="CANCELADO"),"",IF(AND(OR(Filtro_Unid="(TODAS AS UNIDADES)",$C87=Filtro_Unid),OR(Filtro_Proj="(TODOS OS PROJETOS)",$AE87=Filtro_Proj)),MAX($AD$4:AD86)+1,"")))</f>
        <v/>
      </c>
      <c r="AE87" s="19" t="str">
        <f t="shared" si="64"/>
        <v/>
      </c>
      <c r="AF87" s="21" t="str">
        <f t="shared" si="65"/>
        <v/>
      </c>
    </row>
    <row r="88" spans="1:32" x14ac:dyDescent="0.3">
      <c r="A88" s="17"/>
      <c r="B88" s="18"/>
      <c r="C88" s="18"/>
      <c r="D88" s="18"/>
      <c r="E88" s="17"/>
      <c r="F88" s="19" t="str">
        <f t="shared" si="49"/>
        <v/>
      </c>
      <c r="G88" s="18"/>
      <c r="H88" s="20"/>
      <c r="I88" s="18"/>
      <c r="J88" s="19" t="str">
        <f t="shared" si="50"/>
        <v/>
      </c>
      <c r="K88" s="20"/>
      <c r="L88" s="18"/>
      <c r="M88" s="18"/>
      <c r="N88" s="18"/>
      <c r="O88" s="18"/>
      <c r="P88" s="21" t="str">
        <f t="shared" si="51"/>
        <v/>
      </c>
      <c r="Q88" s="21" t="str">
        <f t="shared" si="52"/>
        <v/>
      </c>
      <c r="R88" s="22" t="str">
        <f t="shared" si="53"/>
        <v/>
      </c>
      <c r="S88" s="21" t="str">
        <f t="shared" si="54"/>
        <v/>
      </c>
      <c r="T88" s="21" t="str">
        <f t="shared" si="55"/>
        <v/>
      </c>
      <c r="U88" s="19" t="str">
        <f t="shared" si="56"/>
        <v/>
      </c>
      <c r="V88" s="19" t="str">
        <f>IF($A88="","",IF(OR($U88="CONCLUÍDO",$U88="CANCELADO"),"—",IF($U88="BLOQUEADO",IF($N88="","BLOQUEADO SEM MOTIVO INFORMADO",$N88),IF($U88="SEM DATA DE ETAPA","INFORMAR A DATA DE INÍCIO DA ETAPA",IF($T88&gt;0,"SLA DA ETAPA "&amp;$I88&amp;" EXCEDIDO EM "&amp;$T88&amp;" DIA(S)",IF($AB88&gt;0,"DIVERGÊNCIA QUANTITATIVA EM "&amp;$AB88&amp;" ITEM(NS)",IF($S88&gt;SLA_Total,"PRAZO TOTAL ACIMA DE "&amp;SLA_Total&amp;" DIAS","FLUXO REGULAR")))))))</f>
        <v/>
      </c>
      <c r="W88" s="21" t="str">
        <f t="shared" si="57"/>
        <v/>
      </c>
      <c r="X88" s="21" t="str">
        <f t="shared" si="58"/>
        <v/>
      </c>
      <c r="Y88" s="21" t="str">
        <f t="shared" si="59"/>
        <v/>
      </c>
      <c r="Z88" s="21" t="str">
        <f t="shared" si="60"/>
        <v/>
      </c>
      <c r="AA88" s="21" t="str">
        <f t="shared" si="61"/>
        <v/>
      </c>
      <c r="AB88" s="21" t="str">
        <f t="shared" si="62"/>
        <v/>
      </c>
      <c r="AC88" s="21" t="str">
        <f t="shared" si="63"/>
        <v/>
      </c>
      <c r="AD88" s="21" t="str">
        <f>IF($A88="","",IF(OR($L88="CONCLUÍDO",$L88="CANCELADO"),"",IF(AND(OR(Filtro_Unid="(TODAS AS UNIDADES)",$C88=Filtro_Unid),OR(Filtro_Proj="(TODOS OS PROJETOS)",$AE88=Filtro_Proj)),MAX($AD$4:AD87)+1,"")))</f>
        <v/>
      </c>
      <c r="AE88" s="19" t="str">
        <f t="shared" si="64"/>
        <v/>
      </c>
      <c r="AF88" s="21" t="str">
        <f t="shared" si="65"/>
        <v/>
      </c>
    </row>
    <row r="89" spans="1:32" x14ac:dyDescent="0.3">
      <c r="A89" s="17"/>
      <c r="B89" s="18"/>
      <c r="C89" s="18"/>
      <c r="D89" s="18"/>
      <c r="E89" s="17"/>
      <c r="F89" s="19" t="str">
        <f t="shared" si="49"/>
        <v/>
      </c>
      <c r="G89" s="18"/>
      <c r="H89" s="20"/>
      <c r="I89" s="18"/>
      <c r="J89" s="19" t="str">
        <f t="shared" si="50"/>
        <v/>
      </c>
      <c r="K89" s="20"/>
      <c r="L89" s="18"/>
      <c r="M89" s="18"/>
      <c r="N89" s="18"/>
      <c r="O89" s="18"/>
      <c r="P89" s="21" t="str">
        <f t="shared" si="51"/>
        <v/>
      </c>
      <c r="Q89" s="21" t="str">
        <f t="shared" si="52"/>
        <v/>
      </c>
      <c r="R89" s="22" t="str">
        <f t="shared" si="53"/>
        <v/>
      </c>
      <c r="S89" s="21" t="str">
        <f t="shared" si="54"/>
        <v/>
      </c>
      <c r="T89" s="21" t="str">
        <f t="shared" si="55"/>
        <v/>
      </c>
      <c r="U89" s="19" t="str">
        <f t="shared" si="56"/>
        <v/>
      </c>
      <c r="V89" s="19" t="str">
        <f>IF($A89="","",IF(OR($U89="CONCLUÍDO",$U89="CANCELADO"),"—",IF($U89="BLOQUEADO",IF($N89="","BLOQUEADO SEM MOTIVO INFORMADO",$N89),IF($U89="SEM DATA DE ETAPA","INFORMAR A DATA DE INÍCIO DA ETAPA",IF($T89&gt;0,"SLA DA ETAPA "&amp;$I89&amp;" EXCEDIDO EM "&amp;$T89&amp;" DIA(S)",IF($AB89&gt;0,"DIVERGÊNCIA QUANTITATIVA EM "&amp;$AB89&amp;" ITEM(NS)",IF($S89&gt;SLA_Total,"PRAZO TOTAL ACIMA DE "&amp;SLA_Total&amp;" DIAS","FLUXO REGULAR")))))))</f>
        <v/>
      </c>
      <c r="W89" s="21" t="str">
        <f t="shared" si="57"/>
        <v/>
      </c>
      <c r="X89" s="21" t="str">
        <f t="shared" si="58"/>
        <v/>
      </c>
      <c r="Y89" s="21" t="str">
        <f t="shared" si="59"/>
        <v/>
      </c>
      <c r="Z89" s="21" t="str">
        <f t="shared" si="60"/>
        <v/>
      </c>
      <c r="AA89" s="21" t="str">
        <f t="shared" si="61"/>
        <v/>
      </c>
      <c r="AB89" s="21" t="str">
        <f t="shared" si="62"/>
        <v/>
      </c>
      <c r="AC89" s="21" t="str">
        <f t="shared" si="63"/>
        <v/>
      </c>
      <c r="AD89" s="21" t="str">
        <f>IF($A89="","",IF(OR($L89="CONCLUÍDO",$L89="CANCELADO"),"",IF(AND(OR(Filtro_Unid="(TODAS AS UNIDADES)",$C89=Filtro_Unid),OR(Filtro_Proj="(TODOS OS PROJETOS)",$AE89=Filtro_Proj)),MAX($AD$4:AD88)+1,"")))</f>
        <v/>
      </c>
      <c r="AE89" s="19" t="str">
        <f t="shared" si="64"/>
        <v/>
      </c>
      <c r="AF89" s="21" t="str">
        <f t="shared" si="65"/>
        <v/>
      </c>
    </row>
    <row r="90" spans="1:32" x14ac:dyDescent="0.3">
      <c r="A90" s="17"/>
      <c r="B90" s="18"/>
      <c r="C90" s="18"/>
      <c r="D90" s="18"/>
      <c r="E90" s="17"/>
      <c r="F90" s="19" t="str">
        <f t="shared" si="49"/>
        <v/>
      </c>
      <c r="G90" s="18"/>
      <c r="H90" s="20"/>
      <c r="I90" s="18"/>
      <c r="J90" s="19" t="str">
        <f t="shared" si="50"/>
        <v/>
      </c>
      <c r="K90" s="20"/>
      <c r="L90" s="18"/>
      <c r="M90" s="18"/>
      <c r="N90" s="18"/>
      <c r="O90" s="18"/>
      <c r="P90" s="21" t="str">
        <f t="shared" si="51"/>
        <v/>
      </c>
      <c r="Q90" s="21" t="str">
        <f t="shared" si="52"/>
        <v/>
      </c>
      <c r="R90" s="22" t="str">
        <f t="shared" si="53"/>
        <v/>
      </c>
      <c r="S90" s="21" t="str">
        <f t="shared" si="54"/>
        <v/>
      </c>
      <c r="T90" s="21" t="str">
        <f t="shared" si="55"/>
        <v/>
      </c>
      <c r="U90" s="19" t="str">
        <f t="shared" si="56"/>
        <v/>
      </c>
      <c r="V90" s="19" t="str">
        <f>IF($A90="","",IF(OR($U90="CONCLUÍDO",$U90="CANCELADO"),"—",IF($U90="BLOQUEADO",IF($N90="","BLOQUEADO SEM MOTIVO INFORMADO",$N90),IF($U90="SEM DATA DE ETAPA","INFORMAR A DATA DE INÍCIO DA ETAPA",IF($T90&gt;0,"SLA DA ETAPA "&amp;$I90&amp;" EXCEDIDO EM "&amp;$T90&amp;" DIA(S)",IF($AB90&gt;0,"DIVERGÊNCIA QUANTITATIVA EM "&amp;$AB90&amp;" ITEM(NS)",IF($S90&gt;SLA_Total,"PRAZO TOTAL ACIMA DE "&amp;SLA_Total&amp;" DIAS","FLUXO REGULAR")))))))</f>
        <v/>
      </c>
      <c r="W90" s="21" t="str">
        <f t="shared" si="57"/>
        <v/>
      </c>
      <c r="X90" s="21" t="str">
        <f t="shared" si="58"/>
        <v/>
      </c>
      <c r="Y90" s="21" t="str">
        <f t="shared" si="59"/>
        <v/>
      </c>
      <c r="Z90" s="21" t="str">
        <f t="shared" si="60"/>
        <v/>
      </c>
      <c r="AA90" s="21" t="str">
        <f t="shared" si="61"/>
        <v/>
      </c>
      <c r="AB90" s="21" t="str">
        <f t="shared" si="62"/>
        <v/>
      </c>
      <c r="AC90" s="21" t="str">
        <f t="shared" si="63"/>
        <v/>
      </c>
      <c r="AD90" s="21" t="str">
        <f>IF($A90="","",IF(OR($L90="CONCLUÍDO",$L90="CANCELADO"),"",IF(AND(OR(Filtro_Unid="(TODAS AS UNIDADES)",$C90=Filtro_Unid),OR(Filtro_Proj="(TODOS OS PROJETOS)",$AE90=Filtro_Proj)),MAX($AD$4:AD89)+1,"")))</f>
        <v/>
      </c>
      <c r="AE90" s="19" t="str">
        <f t="shared" si="64"/>
        <v/>
      </c>
      <c r="AF90" s="21" t="str">
        <f t="shared" si="65"/>
        <v/>
      </c>
    </row>
    <row r="91" spans="1:32" x14ac:dyDescent="0.3">
      <c r="A91" s="17"/>
      <c r="B91" s="18"/>
      <c r="C91" s="18"/>
      <c r="D91" s="18"/>
      <c r="E91" s="17"/>
      <c r="F91" s="19" t="str">
        <f t="shared" si="49"/>
        <v/>
      </c>
      <c r="G91" s="18"/>
      <c r="H91" s="20"/>
      <c r="I91" s="18"/>
      <c r="J91" s="19" t="str">
        <f t="shared" si="50"/>
        <v/>
      </c>
      <c r="K91" s="20"/>
      <c r="L91" s="18"/>
      <c r="M91" s="18"/>
      <c r="N91" s="18"/>
      <c r="O91" s="18"/>
      <c r="P91" s="21" t="str">
        <f t="shared" si="51"/>
        <v/>
      </c>
      <c r="Q91" s="21" t="str">
        <f t="shared" si="52"/>
        <v/>
      </c>
      <c r="R91" s="22" t="str">
        <f t="shared" si="53"/>
        <v/>
      </c>
      <c r="S91" s="21" t="str">
        <f t="shared" si="54"/>
        <v/>
      </c>
      <c r="T91" s="21" t="str">
        <f t="shared" si="55"/>
        <v/>
      </c>
      <c r="U91" s="19" t="str">
        <f t="shared" si="56"/>
        <v/>
      </c>
      <c r="V91" s="19" t="str">
        <f>IF($A91="","",IF(OR($U91="CONCLUÍDO",$U91="CANCELADO"),"—",IF($U91="BLOQUEADO",IF($N91="","BLOQUEADO SEM MOTIVO INFORMADO",$N91),IF($U91="SEM DATA DE ETAPA","INFORMAR A DATA DE INÍCIO DA ETAPA",IF($T91&gt;0,"SLA DA ETAPA "&amp;$I91&amp;" EXCEDIDO EM "&amp;$T91&amp;" DIA(S)",IF($AB91&gt;0,"DIVERGÊNCIA QUANTITATIVA EM "&amp;$AB91&amp;" ITEM(NS)",IF($S91&gt;SLA_Total,"PRAZO TOTAL ACIMA DE "&amp;SLA_Total&amp;" DIAS","FLUXO REGULAR")))))))</f>
        <v/>
      </c>
      <c r="W91" s="21" t="str">
        <f t="shared" si="57"/>
        <v/>
      </c>
      <c r="X91" s="21" t="str">
        <f t="shared" si="58"/>
        <v/>
      </c>
      <c r="Y91" s="21" t="str">
        <f t="shared" si="59"/>
        <v/>
      </c>
      <c r="Z91" s="21" t="str">
        <f t="shared" si="60"/>
        <v/>
      </c>
      <c r="AA91" s="21" t="str">
        <f t="shared" si="61"/>
        <v/>
      </c>
      <c r="AB91" s="21" t="str">
        <f t="shared" si="62"/>
        <v/>
      </c>
      <c r="AC91" s="21" t="str">
        <f t="shared" si="63"/>
        <v/>
      </c>
      <c r="AD91" s="21" t="str">
        <f>IF($A91="","",IF(OR($L91="CONCLUÍDO",$L91="CANCELADO"),"",IF(AND(OR(Filtro_Unid="(TODAS AS UNIDADES)",$C91=Filtro_Unid),OR(Filtro_Proj="(TODOS OS PROJETOS)",$AE91=Filtro_Proj)),MAX($AD$4:AD90)+1,"")))</f>
        <v/>
      </c>
      <c r="AE91" s="19" t="str">
        <f t="shared" si="64"/>
        <v/>
      </c>
      <c r="AF91" s="21" t="str">
        <f t="shared" si="65"/>
        <v/>
      </c>
    </row>
    <row r="92" spans="1:32" x14ac:dyDescent="0.3">
      <c r="A92" s="17"/>
      <c r="B92" s="18"/>
      <c r="C92" s="18"/>
      <c r="D92" s="18"/>
      <c r="E92" s="17"/>
      <c r="F92" s="19" t="str">
        <f t="shared" si="49"/>
        <v/>
      </c>
      <c r="G92" s="18"/>
      <c r="H92" s="20"/>
      <c r="I92" s="18"/>
      <c r="J92" s="19" t="str">
        <f t="shared" si="50"/>
        <v/>
      </c>
      <c r="K92" s="20"/>
      <c r="L92" s="18"/>
      <c r="M92" s="18"/>
      <c r="N92" s="18"/>
      <c r="O92" s="18"/>
      <c r="P92" s="21" t="str">
        <f t="shared" si="51"/>
        <v/>
      </c>
      <c r="Q92" s="21" t="str">
        <f t="shared" si="52"/>
        <v/>
      </c>
      <c r="R92" s="22" t="str">
        <f t="shared" si="53"/>
        <v/>
      </c>
      <c r="S92" s="21" t="str">
        <f t="shared" si="54"/>
        <v/>
      </c>
      <c r="T92" s="21" t="str">
        <f t="shared" si="55"/>
        <v/>
      </c>
      <c r="U92" s="19" t="str">
        <f t="shared" si="56"/>
        <v/>
      </c>
      <c r="V92" s="19" t="str">
        <f>IF($A92="","",IF(OR($U92="CONCLUÍDO",$U92="CANCELADO"),"—",IF($U92="BLOQUEADO",IF($N92="","BLOQUEADO SEM MOTIVO INFORMADO",$N92),IF($U92="SEM DATA DE ETAPA","INFORMAR A DATA DE INÍCIO DA ETAPA",IF($T92&gt;0,"SLA DA ETAPA "&amp;$I92&amp;" EXCEDIDO EM "&amp;$T92&amp;" DIA(S)",IF($AB92&gt;0,"DIVERGÊNCIA QUANTITATIVA EM "&amp;$AB92&amp;" ITEM(NS)",IF($S92&gt;SLA_Total,"PRAZO TOTAL ACIMA DE "&amp;SLA_Total&amp;" DIAS","FLUXO REGULAR")))))))</f>
        <v/>
      </c>
      <c r="W92" s="21" t="str">
        <f t="shared" si="57"/>
        <v/>
      </c>
      <c r="X92" s="21" t="str">
        <f t="shared" si="58"/>
        <v/>
      </c>
      <c r="Y92" s="21" t="str">
        <f t="shared" si="59"/>
        <v/>
      </c>
      <c r="Z92" s="21" t="str">
        <f t="shared" si="60"/>
        <v/>
      </c>
      <c r="AA92" s="21" t="str">
        <f t="shared" si="61"/>
        <v/>
      </c>
      <c r="AB92" s="21" t="str">
        <f t="shared" si="62"/>
        <v/>
      </c>
      <c r="AC92" s="21" t="str">
        <f t="shared" si="63"/>
        <v/>
      </c>
      <c r="AD92" s="21" t="str">
        <f>IF($A92="","",IF(OR($L92="CONCLUÍDO",$L92="CANCELADO"),"",IF(AND(OR(Filtro_Unid="(TODAS AS UNIDADES)",$C92=Filtro_Unid),OR(Filtro_Proj="(TODOS OS PROJETOS)",$AE92=Filtro_Proj)),MAX($AD$4:AD91)+1,"")))</f>
        <v/>
      </c>
      <c r="AE92" s="19" t="str">
        <f t="shared" si="64"/>
        <v/>
      </c>
      <c r="AF92" s="21" t="str">
        <f t="shared" si="65"/>
        <v/>
      </c>
    </row>
    <row r="93" spans="1:32" x14ac:dyDescent="0.3">
      <c r="A93" s="17"/>
      <c r="B93" s="18"/>
      <c r="C93" s="18"/>
      <c r="D93" s="18"/>
      <c r="E93" s="17"/>
      <c r="F93" s="19" t="str">
        <f t="shared" si="49"/>
        <v/>
      </c>
      <c r="G93" s="18"/>
      <c r="H93" s="20"/>
      <c r="I93" s="18"/>
      <c r="J93" s="19" t="str">
        <f t="shared" si="50"/>
        <v/>
      </c>
      <c r="K93" s="20"/>
      <c r="L93" s="18"/>
      <c r="M93" s="18"/>
      <c r="N93" s="18"/>
      <c r="O93" s="18"/>
      <c r="P93" s="21" t="str">
        <f t="shared" si="51"/>
        <v/>
      </c>
      <c r="Q93" s="21" t="str">
        <f t="shared" si="52"/>
        <v/>
      </c>
      <c r="R93" s="22" t="str">
        <f t="shared" si="53"/>
        <v/>
      </c>
      <c r="S93" s="21" t="str">
        <f t="shared" si="54"/>
        <v/>
      </c>
      <c r="T93" s="21" t="str">
        <f t="shared" si="55"/>
        <v/>
      </c>
      <c r="U93" s="19" t="str">
        <f t="shared" si="56"/>
        <v/>
      </c>
      <c r="V93" s="19" t="str">
        <f>IF($A93="","",IF(OR($U93="CONCLUÍDO",$U93="CANCELADO"),"—",IF($U93="BLOQUEADO",IF($N93="","BLOQUEADO SEM MOTIVO INFORMADO",$N93),IF($U93="SEM DATA DE ETAPA","INFORMAR A DATA DE INÍCIO DA ETAPA",IF($T93&gt;0,"SLA DA ETAPA "&amp;$I93&amp;" EXCEDIDO EM "&amp;$T93&amp;" DIA(S)",IF($AB93&gt;0,"DIVERGÊNCIA QUANTITATIVA EM "&amp;$AB93&amp;" ITEM(NS)",IF($S93&gt;SLA_Total,"PRAZO TOTAL ACIMA DE "&amp;SLA_Total&amp;" DIAS","FLUXO REGULAR")))))))</f>
        <v/>
      </c>
      <c r="W93" s="21" t="str">
        <f t="shared" si="57"/>
        <v/>
      </c>
      <c r="X93" s="21" t="str">
        <f t="shared" si="58"/>
        <v/>
      </c>
      <c r="Y93" s="21" t="str">
        <f t="shared" si="59"/>
        <v/>
      </c>
      <c r="Z93" s="21" t="str">
        <f t="shared" si="60"/>
        <v/>
      </c>
      <c r="AA93" s="21" t="str">
        <f t="shared" si="61"/>
        <v/>
      </c>
      <c r="AB93" s="21" t="str">
        <f t="shared" si="62"/>
        <v/>
      </c>
      <c r="AC93" s="21" t="str">
        <f t="shared" si="63"/>
        <v/>
      </c>
      <c r="AD93" s="21" t="str">
        <f>IF($A93="","",IF(OR($L93="CONCLUÍDO",$L93="CANCELADO"),"",IF(AND(OR(Filtro_Unid="(TODAS AS UNIDADES)",$C93=Filtro_Unid),OR(Filtro_Proj="(TODOS OS PROJETOS)",$AE93=Filtro_Proj)),MAX($AD$4:AD92)+1,"")))</f>
        <v/>
      </c>
      <c r="AE93" s="19" t="str">
        <f t="shared" si="64"/>
        <v/>
      </c>
      <c r="AF93" s="21" t="str">
        <f t="shared" si="65"/>
        <v/>
      </c>
    </row>
    <row r="94" spans="1:32" x14ac:dyDescent="0.3">
      <c r="A94" s="17"/>
      <c r="B94" s="18"/>
      <c r="C94" s="18"/>
      <c r="D94" s="18"/>
      <c r="E94" s="17"/>
      <c r="F94" s="19" t="str">
        <f t="shared" si="49"/>
        <v/>
      </c>
      <c r="G94" s="18"/>
      <c r="H94" s="20"/>
      <c r="I94" s="18"/>
      <c r="J94" s="19" t="str">
        <f t="shared" si="50"/>
        <v/>
      </c>
      <c r="K94" s="20"/>
      <c r="L94" s="18"/>
      <c r="M94" s="18"/>
      <c r="N94" s="18"/>
      <c r="O94" s="18"/>
      <c r="P94" s="21" t="str">
        <f t="shared" si="51"/>
        <v/>
      </c>
      <c r="Q94" s="21" t="str">
        <f t="shared" si="52"/>
        <v/>
      </c>
      <c r="R94" s="22" t="str">
        <f t="shared" si="53"/>
        <v/>
      </c>
      <c r="S94" s="21" t="str">
        <f t="shared" si="54"/>
        <v/>
      </c>
      <c r="T94" s="21" t="str">
        <f t="shared" si="55"/>
        <v/>
      </c>
      <c r="U94" s="19" t="str">
        <f t="shared" si="56"/>
        <v/>
      </c>
      <c r="V94" s="19" t="str">
        <f>IF($A94="","",IF(OR($U94="CONCLUÍDO",$U94="CANCELADO"),"—",IF($U94="BLOQUEADO",IF($N94="","BLOQUEADO SEM MOTIVO INFORMADO",$N94),IF($U94="SEM DATA DE ETAPA","INFORMAR A DATA DE INÍCIO DA ETAPA",IF($T94&gt;0,"SLA DA ETAPA "&amp;$I94&amp;" EXCEDIDO EM "&amp;$T94&amp;" DIA(S)",IF($AB94&gt;0,"DIVERGÊNCIA QUANTITATIVA EM "&amp;$AB94&amp;" ITEM(NS)",IF($S94&gt;SLA_Total,"PRAZO TOTAL ACIMA DE "&amp;SLA_Total&amp;" DIAS","FLUXO REGULAR")))))))</f>
        <v/>
      </c>
      <c r="W94" s="21" t="str">
        <f t="shared" si="57"/>
        <v/>
      </c>
      <c r="X94" s="21" t="str">
        <f t="shared" si="58"/>
        <v/>
      </c>
      <c r="Y94" s="21" t="str">
        <f t="shared" si="59"/>
        <v/>
      </c>
      <c r="Z94" s="21" t="str">
        <f t="shared" si="60"/>
        <v/>
      </c>
      <c r="AA94" s="21" t="str">
        <f t="shared" si="61"/>
        <v/>
      </c>
      <c r="AB94" s="21" t="str">
        <f t="shared" si="62"/>
        <v/>
      </c>
      <c r="AC94" s="21" t="str">
        <f t="shared" si="63"/>
        <v/>
      </c>
      <c r="AD94" s="21" t="str">
        <f>IF($A94="","",IF(OR($L94="CONCLUÍDO",$L94="CANCELADO"),"",IF(AND(OR(Filtro_Unid="(TODAS AS UNIDADES)",$C94=Filtro_Unid),OR(Filtro_Proj="(TODOS OS PROJETOS)",$AE94=Filtro_Proj)),MAX($AD$4:AD93)+1,"")))</f>
        <v/>
      </c>
      <c r="AE94" s="19" t="str">
        <f t="shared" si="64"/>
        <v/>
      </c>
      <c r="AF94" s="21" t="str">
        <f t="shared" si="65"/>
        <v/>
      </c>
    </row>
    <row r="95" spans="1:32" x14ac:dyDescent="0.3">
      <c r="A95" s="17"/>
      <c r="B95" s="18"/>
      <c r="C95" s="18"/>
      <c r="D95" s="18"/>
      <c r="E95" s="17"/>
      <c r="F95" s="19" t="str">
        <f t="shared" si="49"/>
        <v/>
      </c>
      <c r="G95" s="18"/>
      <c r="H95" s="20"/>
      <c r="I95" s="18"/>
      <c r="J95" s="19" t="str">
        <f t="shared" si="50"/>
        <v/>
      </c>
      <c r="K95" s="20"/>
      <c r="L95" s="18"/>
      <c r="M95" s="18"/>
      <c r="N95" s="18"/>
      <c r="O95" s="18"/>
      <c r="P95" s="21" t="str">
        <f t="shared" si="51"/>
        <v/>
      </c>
      <c r="Q95" s="21" t="str">
        <f t="shared" si="52"/>
        <v/>
      </c>
      <c r="R95" s="22" t="str">
        <f t="shared" si="53"/>
        <v/>
      </c>
      <c r="S95" s="21" t="str">
        <f t="shared" si="54"/>
        <v/>
      </c>
      <c r="T95" s="21" t="str">
        <f t="shared" si="55"/>
        <v/>
      </c>
      <c r="U95" s="19" t="str">
        <f t="shared" si="56"/>
        <v/>
      </c>
      <c r="V95" s="19" t="str">
        <f>IF($A95="","",IF(OR($U95="CONCLUÍDO",$U95="CANCELADO"),"—",IF($U95="BLOQUEADO",IF($N95="","BLOQUEADO SEM MOTIVO INFORMADO",$N95),IF($U95="SEM DATA DE ETAPA","INFORMAR A DATA DE INÍCIO DA ETAPA",IF($T95&gt;0,"SLA DA ETAPA "&amp;$I95&amp;" EXCEDIDO EM "&amp;$T95&amp;" DIA(S)",IF($AB95&gt;0,"DIVERGÊNCIA QUANTITATIVA EM "&amp;$AB95&amp;" ITEM(NS)",IF($S95&gt;SLA_Total,"PRAZO TOTAL ACIMA DE "&amp;SLA_Total&amp;" DIAS","FLUXO REGULAR")))))))</f>
        <v/>
      </c>
      <c r="W95" s="21" t="str">
        <f t="shared" si="57"/>
        <v/>
      </c>
      <c r="X95" s="21" t="str">
        <f t="shared" si="58"/>
        <v/>
      </c>
      <c r="Y95" s="21" t="str">
        <f t="shared" si="59"/>
        <v/>
      </c>
      <c r="Z95" s="21" t="str">
        <f t="shared" si="60"/>
        <v/>
      </c>
      <c r="AA95" s="21" t="str">
        <f t="shared" si="61"/>
        <v/>
      </c>
      <c r="AB95" s="21" t="str">
        <f t="shared" si="62"/>
        <v/>
      </c>
      <c r="AC95" s="21" t="str">
        <f t="shared" si="63"/>
        <v/>
      </c>
      <c r="AD95" s="21" t="str">
        <f>IF($A95="","",IF(OR($L95="CONCLUÍDO",$L95="CANCELADO"),"",IF(AND(OR(Filtro_Unid="(TODAS AS UNIDADES)",$C95=Filtro_Unid),OR(Filtro_Proj="(TODOS OS PROJETOS)",$AE95=Filtro_Proj)),MAX($AD$4:AD94)+1,"")))</f>
        <v/>
      </c>
      <c r="AE95" s="19" t="str">
        <f t="shared" si="64"/>
        <v/>
      </c>
      <c r="AF95" s="21" t="str">
        <f t="shared" si="65"/>
        <v/>
      </c>
    </row>
    <row r="96" spans="1:32" x14ac:dyDescent="0.3">
      <c r="A96" s="17"/>
      <c r="B96" s="18"/>
      <c r="C96" s="18"/>
      <c r="D96" s="18"/>
      <c r="E96" s="17"/>
      <c r="F96" s="19" t="str">
        <f t="shared" si="49"/>
        <v/>
      </c>
      <c r="G96" s="18"/>
      <c r="H96" s="20"/>
      <c r="I96" s="18"/>
      <c r="J96" s="19" t="str">
        <f t="shared" si="50"/>
        <v/>
      </c>
      <c r="K96" s="20"/>
      <c r="L96" s="18"/>
      <c r="M96" s="18"/>
      <c r="N96" s="18"/>
      <c r="O96" s="18"/>
      <c r="P96" s="21" t="str">
        <f t="shared" si="51"/>
        <v/>
      </c>
      <c r="Q96" s="21" t="str">
        <f t="shared" si="52"/>
        <v/>
      </c>
      <c r="R96" s="22" t="str">
        <f t="shared" si="53"/>
        <v/>
      </c>
      <c r="S96" s="21" t="str">
        <f t="shared" si="54"/>
        <v/>
      </c>
      <c r="T96" s="21" t="str">
        <f t="shared" si="55"/>
        <v/>
      </c>
      <c r="U96" s="19" t="str">
        <f t="shared" si="56"/>
        <v/>
      </c>
      <c r="V96" s="19" t="str">
        <f>IF($A96="","",IF(OR($U96="CONCLUÍDO",$U96="CANCELADO"),"—",IF($U96="BLOQUEADO",IF($N96="","BLOQUEADO SEM MOTIVO INFORMADO",$N96),IF($U96="SEM DATA DE ETAPA","INFORMAR A DATA DE INÍCIO DA ETAPA",IF($T96&gt;0,"SLA DA ETAPA "&amp;$I96&amp;" EXCEDIDO EM "&amp;$T96&amp;" DIA(S)",IF($AB96&gt;0,"DIVERGÊNCIA QUANTITATIVA EM "&amp;$AB96&amp;" ITEM(NS)",IF($S96&gt;SLA_Total,"PRAZO TOTAL ACIMA DE "&amp;SLA_Total&amp;" DIAS","FLUXO REGULAR")))))))</f>
        <v/>
      </c>
      <c r="W96" s="21" t="str">
        <f t="shared" si="57"/>
        <v/>
      </c>
      <c r="X96" s="21" t="str">
        <f t="shared" si="58"/>
        <v/>
      </c>
      <c r="Y96" s="21" t="str">
        <f t="shared" si="59"/>
        <v/>
      </c>
      <c r="Z96" s="21" t="str">
        <f t="shared" si="60"/>
        <v/>
      </c>
      <c r="AA96" s="21" t="str">
        <f t="shared" si="61"/>
        <v/>
      </c>
      <c r="AB96" s="21" t="str">
        <f t="shared" si="62"/>
        <v/>
      </c>
      <c r="AC96" s="21" t="str">
        <f t="shared" si="63"/>
        <v/>
      </c>
      <c r="AD96" s="21" t="str">
        <f>IF($A96="","",IF(OR($L96="CONCLUÍDO",$L96="CANCELADO"),"",IF(AND(OR(Filtro_Unid="(TODAS AS UNIDADES)",$C96=Filtro_Unid),OR(Filtro_Proj="(TODOS OS PROJETOS)",$AE96=Filtro_Proj)),MAX($AD$4:AD95)+1,"")))</f>
        <v/>
      </c>
      <c r="AE96" s="19" t="str">
        <f t="shared" si="64"/>
        <v/>
      </c>
      <c r="AF96" s="21" t="str">
        <f t="shared" si="65"/>
        <v/>
      </c>
    </row>
    <row r="97" spans="1:32" x14ac:dyDescent="0.3">
      <c r="A97" s="17"/>
      <c r="B97" s="18"/>
      <c r="C97" s="18"/>
      <c r="D97" s="18"/>
      <c r="E97" s="17"/>
      <c r="F97" s="19" t="str">
        <f t="shared" si="49"/>
        <v/>
      </c>
      <c r="G97" s="18"/>
      <c r="H97" s="20"/>
      <c r="I97" s="18"/>
      <c r="J97" s="19" t="str">
        <f t="shared" si="50"/>
        <v/>
      </c>
      <c r="K97" s="20"/>
      <c r="L97" s="18"/>
      <c r="M97" s="18"/>
      <c r="N97" s="18"/>
      <c r="O97" s="18"/>
      <c r="P97" s="21" t="str">
        <f t="shared" si="51"/>
        <v/>
      </c>
      <c r="Q97" s="21" t="str">
        <f t="shared" si="52"/>
        <v/>
      </c>
      <c r="R97" s="22" t="str">
        <f t="shared" si="53"/>
        <v/>
      </c>
      <c r="S97" s="21" t="str">
        <f t="shared" si="54"/>
        <v/>
      </c>
      <c r="T97" s="21" t="str">
        <f t="shared" si="55"/>
        <v/>
      </c>
      <c r="U97" s="19" t="str">
        <f t="shared" si="56"/>
        <v/>
      </c>
      <c r="V97" s="19" t="str">
        <f>IF($A97="","",IF(OR($U97="CONCLUÍDO",$U97="CANCELADO"),"—",IF($U97="BLOQUEADO",IF($N97="","BLOQUEADO SEM MOTIVO INFORMADO",$N97),IF($U97="SEM DATA DE ETAPA","INFORMAR A DATA DE INÍCIO DA ETAPA",IF($T97&gt;0,"SLA DA ETAPA "&amp;$I97&amp;" EXCEDIDO EM "&amp;$T97&amp;" DIA(S)",IF($AB97&gt;0,"DIVERGÊNCIA QUANTITATIVA EM "&amp;$AB97&amp;" ITEM(NS)",IF($S97&gt;SLA_Total,"PRAZO TOTAL ACIMA DE "&amp;SLA_Total&amp;" DIAS","FLUXO REGULAR")))))))</f>
        <v/>
      </c>
      <c r="W97" s="21" t="str">
        <f t="shared" si="57"/>
        <v/>
      </c>
      <c r="X97" s="21" t="str">
        <f t="shared" si="58"/>
        <v/>
      </c>
      <c r="Y97" s="21" t="str">
        <f t="shared" si="59"/>
        <v/>
      </c>
      <c r="Z97" s="21" t="str">
        <f t="shared" si="60"/>
        <v/>
      </c>
      <c r="AA97" s="21" t="str">
        <f t="shared" si="61"/>
        <v/>
      </c>
      <c r="AB97" s="21" t="str">
        <f t="shared" si="62"/>
        <v/>
      </c>
      <c r="AC97" s="21" t="str">
        <f t="shared" si="63"/>
        <v/>
      </c>
      <c r="AD97" s="21" t="str">
        <f>IF($A97="","",IF(OR($L97="CONCLUÍDO",$L97="CANCELADO"),"",IF(AND(OR(Filtro_Unid="(TODAS AS UNIDADES)",$C97=Filtro_Unid),OR(Filtro_Proj="(TODOS OS PROJETOS)",$AE97=Filtro_Proj)),MAX($AD$4:AD96)+1,"")))</f>
        <v/>
      </c>
      <c r="AE97" s="19" t="str">
        <f t="shared" si="64"/>
        <v/>
      </c>
      <c r="AF97" s="21" t="str">
        <f t="shared" si="65"/>
        <v/>
      </c>
    </row>
    <row r="98" spans="1:32" x14ac:dyDescent="0.3">
      <c r="A98" s="17"/>
      <c r="B98" s="18"/>
      <c r="C98" s="18"/>
      <c r="D98" s="18"/>
      <c r="E98" s="17"/>
      <c r="F98" s="19" t="str">
        <f t="shared" si="49"/>
        <v/>
      </c>
      <c r="G98" s="18"/>
      <c r="H98" s="20"/>
      <c r="I98" s="18"/>
      <c r="J98" s="19" t="str">
        <f t="shared" si="50"/>
        <v/>
      </c>
      <c r="K98" s="20"/>
      <c r="L98" s="18"/>
      <c r="M98" s="18"/>
      <c r="N98" s="18"/>
      <c r="O98" s="18"/>
      <c r="P98" s="21" t="str">
        <f t="shared" si="51"/>
        <v/>
      </c>
      <c r="Q98" s="21" t="str">
        <f t="shared" si="52"/>
        <v/>
      </c>
      <c r="R98" s="22" t="str">
        <f t="shared" si="53"/>
        <v/>
      </c>
      <c r="S98" s="21" t="str">
        <f t="shared" si="54"/>
        <v/>
      </c>
      <c r="T98" s="21" t="str">
        <f t="shared" si="55"/>
        <v/>
      </c>
      <c r="U98" s="19" t="str">
        <f t="shared" si="56"/>
        <v/>
      </c>
      <c r="V98" s="19" t="str">
        <f>IF($A98="","",IF(OR($U98="CONCLUÍDO",$U98="CANCELADO"),"—",IF($U98="BLOQUEADO",IF($N98="","BLOQUEADO SEM MOTIVO INFORMADO",$N98),IF($U98="SEM DATA DE ETAPA","INFORMAR A DATA DE INÍCIO DA ETAPA",IF($T98&gt;0,"SLA DA ETAPA "&amp;$I98&amp;" EXCEDIDO EM "&amp;$T98&amp;" DIA(S)",IF($AB98&gt;0,"DIVERGÊNCIA QUANTITATIVA EM "&amp;$AB98&amp;" ITEM(NS)",IF($S98&gt;SLA_Total,"PRAZO TOTAL ACIMA DE "&amp;SLA_Total&amp;" DIAS","FLUXO REGULAR")))))))</f>
        <v/>
      </c>
      <c r="W98" s="21" t="str">
        <f t="shared" si="57"/>
        <v/>
      </c>
      <c r="X98" s="21" t="str">
        <f t="shared" si="58"/>
        <v/>
      </c>
      <c r="Y98" s="21" t="str">
        <f t="shared" si="59"/>
        <v/>
      </c>
      <c r="Z98" s="21" t="str">
        <f t="shared" si="60"/>
        <v/>
      </c>
      <c r="AA98" s="21" t="str">
        <f t="shared" si="61"/>
        <v/>
      </c>
      <c r="AB98" s="21" t="str">
        <f t="shared" si="62"/>
        <v/>
      </c>
      <c r="AC98" s="21" t="str">
        <f t="shared" si="63"/>
        <v/>
      </c>
      <c r="AD98" s="21" t="str">
        <f>IF($A98="","",IF(OR($L98="CONCLUÍDO",$L98="CANCELADO"),"",IF(AND(OR(Filtro_Unid="(TODAS AS UNIDADES)",$C98=Filtro_Unid),OR(Filtro_Proj="(TODOS OS PROJETOS)",$AE98=Filtro_Proj)),MAX($AD$4:AD97)+1,"")))</f>
        <v/>
      </c>
      <c r="AE98" s="19" t="str">
        <f t="shared" si="64"/>
        <v/>
      </c>
      <c r="AF98" s="21" t="str">
        <f t="shared" si="65"/>
        <v/>
      </c>
    </row>
    <row r="99" spans="1:32" x14ac:dyDescent="0.3">
      <c r="A99" s="17"/>
      <c r="B99" s="18"/>
      <c r="C99" s="18"/>
      <c r="D99" s="18"/>
      <c r="E99" s="17"/>
      <c r="F99" s="19" t="str">
        <f t="shared" ref="F99:F130" si="68">IF($E99="","",IFERROR(INDEX(Obj_Desc,MATCH($E99,Obj_Cod,0)),"CÓDIGO NÃO CADASTRADO"))</f>
        <v/>
      </c>
      <c r="G99" s="18"/>
      <c r="H99" s="20"/>
      <c r="I99" s="18"/>
      <c r="J99" s="19" t="str">
        <f t="shared" ref="J99:J130" si="69">IF($I99="","",IFERROR(INDEX(Etapa_Resp,MATCH($I99,Lista_Etapas,0)),"ETAPA NÃO CADASTRADA"))</f>
        <v/>
      </c>
      <c r="K99" s="20"/>
      <c r="L99" s="18"/>
      <c r="M99" s="18"/>
      <c r="N99" s="18"/>
      <c r="O99" s="18"/>
      <c r="P99" s="21" t="str">
        <f t="shared" ref="P99:P130" si="70">IF($I99="","",IFERROR(INDEX(Etapa_SLA,MATCH($I99,Lista_Etapas,0)),""))</f>
        <v/>
      </c>
      <c r="Q99" s="21" t="str">
        <f t="shared" ref="Q99:Q130" si="71">IF($K99="","",MAX(DataRef-$K99,0))</f>
        <v/>
      </c>
      <c r="R99" s="22" t="str">
        <f t="shared" ref="R99:R130" si="72">IF(OR($P99="",$P99=0,$Q99=""),"",$Q99/$P99)</f>
        <v/>
      </c>
      <c r="S99" s="21" t="str">
        <f t="shared" ref="S99:S130" si="73">IF($H99="","",MAX(DataRef-$H99,0))</f>
        <v/>
      </c>
      <c r="T99" s="21" t="str">
        <f t="shared" ref="T99:T130" si="74">IF(OR($Q99="",$P99="",$P99=0),"",MAX($Q99-$P99,0))</f>
        <v/>
      </c>
      <c r="U99" s="19" t="str">
        <f t="shared" ref="U99:U130" si="75">IF($A99="","",IF($L99="CONCLUÍDO","CONCLUÍDO",IF($L99="CANCELADO","CANCELADO",IF($M99="SIM","BLOQUEADO",IF($K99="","SEM DATA DE ETAPA",IF($T99&gt;0,"ATRASADO",IF($R99&gt;=Lim_Risco,"EM RISCO",IF($R99&gt;=Lim_Atencao,"ATENÇÃO","NO PRAZO"))))))))</f>
        <v/>
      </c>
      <c r="V99" s="19" t="str">
        <f>IF($A99="","",IF(OR($U99="CONCLUÍDO",$U99="CANCELADO"),"—",IF($U99="BLOQUEADO",IF($N99="","BLOQUEADO SEM MOTIVO INFORMADO",$N99),IF($U99="SEM DATA DE ETAPA","INFORMAR A DATA DE INÍCIO DA ETAPA",IF($T99&gt;0,"SLA DA ETAPA "&amp;$I99&amp;" EXCEDIDO EM "&amp;$T99&amp;" DIA(S)",IF($AB99&gt;0,"DIVERGÊNCIA QUANTITATIVA EM "&amp;$AB99&amp;" ITEM(NS)",IF($S99&gt;SLA_Total,"PRAZO TOTAL ACIMA DE "&amp;SLA_Total&amp;" DIAS","FLUXO REGULAR")))))))</f>
        <v/>
      </c>
      <c r="W99" s="21" t="str">
        <f t="shared" ref="W99:W130" si="76">IF($A99="","",SUMIFS(Esc_Prev,Esc_Cham,$A99,Esc_Tipo,"CÂMERA"))</f>
        <v/>
      </c>
      <c r="X99" s="21" t="str">
        <f t="shared" ref="X99:X130" si="77">IF($A99="","",SUMIFS(Esc_Receb,Esc_Cham,$A99,Esc_Tipo,"CÂMERA"))</f>
        <v/>
      </c>
      <c r="Y99" s="21" t="str">
        <f t="shared" ref="Y99:Y130" si="78">IF($A99="","",SUMIFS(Esc_Inst,Esc_Cham,$A99,Esc_Tipo,"CÂMERA"))</f>
        <v/>
      </c>
      <c r="Z99" s="21" t="str">
        <f t="shared" ref="Z99:Z130" si="79">IF($A99="","",ROUNDUP($W99/4,0))</f>
        <v/>
      </c>
      <c r="AA99" s="21" t="str">
        <f t="shared" ref="AA99:AA130" si="80">IF($A99="","",SUMIFS(Esc_Receb,Esc_Cham,$A99,Esc_Tipo,"LICENÇA"))</f>
        <v/>
      </c>
      <c r="AB99" s="21" t="str">
        <f t="shared" ref="AB99:AB130" si="81">IF($A99="","",SUMIFS(Esc_Desvio,Esc_Cham,$A99))</f>
        <v/>
      </c>
      <c r="AC99" s="21" t="str">
        <f t="shared" ref="AC99:AC130" si="82">IF($A99="","",IF(OR($I99="INSTALAÇÃO",$I99="DISPONIBILIZAÇÃO DE IP",$I99="INCLUSÃO NO VMS",$I99="VALIDAÇÃO E ENCERRAMENTO",$L99="CONCLUÍDO"),$Y99-$W99,""))</f>
        <v/>
      </c>
      <c r="AD99" s="21" t="str">
        <f>IF($A99="","",IF(OR($L99="CONCLUÍDO",$L99="CANCELADO"),"",IF(AND(OR(Filtro_Unid="(TODAS AS UNIDADES)",$C99=Filtro_Unid),OR(Filtro_Proj="(TODOS OS PROJETOS)",$AE99=Filtro_Proj)),MAX($AD$4:AD98)+1,"")))</f>
        <v/>
      </c>
      <c r="AE99" s="19" t="str">
        <f t="shared" ref="AE99:AE130" si="83">IF($A99="","",$A99&amp;"  ·  "&amp;$B99&amp;"  ·  "&amp;$C99)</f>
        <v/>
      </c>
      <c r="AF99" s="21" t="str">
        <f t="shared" ref="AF99:AF130" si="84">IF($A99="","",IF($L99="CONCLUÍDO",99,IFERROR(MATCH($I99,Lista_Etapas,0),0)))</f>
        <v/>
      </c>
    </row>
    <row r="100" spans="1:32" x14ac:dyDescent="0.3">
      <c r="A100" s="17"/>
      <c r="B100" s="18"/>
      <c r="C100" s="18"/>
      <c r="D100" s="18"/>
      <c r="E100" s="17"/>
      <c r="F100" s="19" t="str">
        <f t="shared" si="68"/>
        <v/>
      </c>
      <c r="G100" s="18"/>
      <c r="H100" s="20"/>
      <c r="I100" s="18"/>
      <c r="J100" s="19" t="str">
        <f t="shared" si="69"/>
        <v/>
      </c>
      <c r="K100" s="20"/>
      <c r="L100" s="18"/>
      <c r="M100" s="18"/>
      <c r="N100" s="18"/>
      <c r="O100" s="18"/>
      <c r="P100" s="21" t="str">
        <f t="shared" si="70"/>
        <v/>
      </c>
      <c r="Q100" s="21" t="str">
        <f t="shared" si="71"/>
        <v/>
      </c>
      <c r="R100" s="22" t="str">
        <f t="shared" si="72"/>
        <v/>
      </c>
      <c r="S100" s="21" t="str">
        <f t="shared" si="73"/>
        <v/>
      </c>
      <c r="T100" s="21" t="str">
        <f t="shared" si="74"/>
        <v/>
      </c>
      <c r="U100" s="19" t="str">
        <f t="shared" si="75"/>
        <v/>
      </c>
      <c r="V100" s="19" t="str">
        <f>IF($A100="","",IF(OR($U100="CONCLUÍDO",$U100="CANCELADO"),"—",IF($U100="BLOQUEADO",IF($N100="","BLOQUEADO SEM MOTIVO INFORMADO",$N100),IF($U100="SEM DATA DE ETAPA","INFORMAR A DATA DE INÍCIO DA ETAPA",IF($T100&gt;0,"SLA DA ETAPA "&amp;$I100&amp;" EXCEDIDO EM "&amp;$T100&amp;" DIA(S)",IF($AB100&gt;0,"DIVERGÊNCIA QUANTITATIVA EM "&amp;$AB100&amp;" ITEM(NS)",IF($S100&gt;SLA_Total,"PRAZO TOTAL ACIMA DE "&amp;SLA_Total&amp;" DIAS","FLUXO REGULAR")))))))</f>
        <v/>
      </c>
      <c r="W100" s="21" t="str">
        <f t="shared" si="76"/>
        <v/>
      </c>
      <c r="X100" s="21" t="str">
        <f t="shared" si="77"/>
        <v/>
      </c>
      <c r="Y100" s="21" t="str">
        <f t="shared" si="78"/>
        <v/>
      </c>
      <c r="Z100" s="21" t="str">
        <f t="shared" si="79"/>
        <v/>
      </c>
      <c r="AA100" s="21" t="str">
        <f t="shared" si="80"/>
        <v/>
      </c>
      <c r="AB100" s="21" t="str">
        <f t="shared" si="81"/>
        <v/>
      </c>
      <c r="AC100" s="21" t="str">
        <f t="shared" si="82"/>
        <v/>
      </c>
      <c r="AD100" s="21" t="str">
        <f>IF($A100="","",IF(OR($L100="CONCLUÍDO",$L100="CANCELADO"),"",IF(AND(OR(Filtro_Unid="(TODAS AS UNIDADES)",$C100=Filtro_Unid),OR(Filtro_Proj="(TODOS OS PROJETOS)",$AE100=Filtro_Proj)),MAX($AD$4:AD99)+1,"")))</f>
        <v/>
      </c>
      <c r="AE100" s="19" t="str">
        <f t="shared" si="83"/>
        <v/>
      </c>
      <c r="AF100" s="21" t="str">
        <f t="shared" si="84"/>
        <v/>
      </c>
    </row>
    <row r="101" spans="1:32" x14ac:dyDescent="0.3">
      <c r="A101" s="17"/>
      <c r="B101" s="18"/>
      <c r="C101" s="18"/>
      <c r="D101" s="18"/>
      <c r="E101" s="17"/>
      <c r="F101" s="19" t="str">
        <f t="shared" si="68"/>
        <v/>
      </c>
      <c r="G101" s="18"/>
      <c r="H101" s="20"/>
      <c r="I101" s="18"/>
      <c r="J101" s="19" t="str">
        <f t="shared" si="69"/>
        <v/>
      </c>
      <c r="K101" s="20"/>
      <c r="L101" s="18"/>
      <c r="M101" s="18"/>
      <c r="N101" s="18"/>
      <c r="O101" s="18"/>
      <c r="P101" s="21" t="str">
        <f t="shared" si="70"/>
        <v/>
      </c>
      <c r="Q101" s="21" t="str">
        <f t="shared" si="71"/>
        <v/>
      </c>
      <c r="R101" s="22" t="str">
        <f t="shared" si="72"/>
        <v/>
      </c>
      <c r="S101" s="21" t="str">
        <f t="shared" si="73"/>
        <v/>
      </c>
      <c r="T101" s="21" t="str">
        <f t="shared" si="74"/>
        <v/>
      </c>
      <c r="U101" s="19" t="str">
        <f t="shared" si="75"/>
        <v/>
      </c>
      <c r="V101" s="19" t="str">
        <f>IF($A101="","",IF(OR($U101="CONCLUÍDO",$U101="CANCELADO"),"—",IF($U101="BLOQUEADO",IF($N101="","BLOQUEADO SEM MOTIVO INFORMADO",$N101),IF($U101="SEM DATA DE ETAPA","INFORMAR A DATA DE INÍCIO DA ETAPA",IF($T101&gt;0,"SLA DA ETAPA "&amp;$I101&amp;" EXCEDIDO EM "&amp;$T101&amp;" DIA(S)",IF($AB101&gt;0,"DIVERGÊNCIA QUANTITATIVA EM "&amp;$AB101&amp;" ITEM(NS)",IF($S101&gt;SLA_Total,"PRAZO TOTAL ACIMA DE "&amp;SLA_Total&amp;" DIAS","FLUXO REGULAR")))))))</f>
        <v/>
      </c>
      <c r="W101" s="21" t="str">
        <f t="shared" si="76"/>
        <v/>
      </c>
      <c r="X101" s="21" t="str">
        <f t="shared" si="77"/>
        <v/>
      </c>
      <c r="Y101" s="21" t="str">
        <f t="shared" si="78"/>
        <v/>
      </c>
      <c r="Z101" s="21" t="str">
        <f t="shared" si="79"/>
        <v/>
      </c>
      <c r="AA101" s="21" t="str">
        <f t="shared" si="80"/>
        <v/>
      </c>
      <c r="AB101" s="21" t="str">
        <f t="shared" si="81"/>
        <v/>
      </c>
      <c r="AC101" s="21" t="str">
        <f t="shared" si="82"/>
        <v/>
      </c>
      <c r="AD101" s="21" t="str">
        <f>IF($A101="","",IF(OR($L101="CONCLUÍDO",$L101="CANCELADO"),"",IF(AND(OR(Filtro_Unid="(TODAS AS UNIDADES)",$C101=Filtro_Unid),OR(Filtro_Proj="(TODOS OS PROJETOS)",$AE101=Filtro_Proj)),MAX($AD$4:AD100)+1,"")))</f>
        <v/>
      </c>
      <c r="AE101" s="19" t="str">
        <f t="shared" si="83"/>
        <v/>
      </c>
      <c r="AF101" s="21" t="str">
        <f t="shared" si="84"/>
        <v/>
      </c>
    </row>
    <row r="102" spans="1:32" x14ac:dyDescent="0.3">
      <c r="A102" s="17"/>
      <c r="B102" s="18"/>
      <c r="C102" s="18"/>
      <c r="D102" s="18"/>
      <c r="E102" s="17"/>
      <c r="F102" s="19" t="str">
        <f t="shared" si="68"/>
        <v/>
      </c>
      <c r="G102" s="18"/>
      <c r="H102" s="20"/>
      <c r="I102" s="18"/>
      <c r="J102" s="19" t="str">
        <f t="shared" si="69"/>
        <v/>
      </c>
      <c r="K102" s="20"/>
      <c r="L102" s="18"/>
      <c r="M102" s="18"/>
      <c r="N102" s="18"/>
      <c r="O102" s="18"/>
      <c r="P102" s="21" t="str">
        <f t="shared" si="70"/>
        <v/>
      </c>
      <c r="Q102" s="21" t="str">
        <f t="shared" si="71"/>
        <v/>
      </c>
      <c r="R102" s="22" t="str">
        <f t="shared" si="72"/>
        <v/>
      </c>
      <c r="S102" s="21" t="str">
        <f t="shared" si="73"/>
        <v/>
      </c>
      <c r="T102" s="21" t="str">
        <f t="shared" si="74"/>
        <v/>
      </c>
      <c r="U102" s="19" t="str">
        <f t="shared" si="75"/>
        <v/>
      </c>
      <c r="V102" s="19" t="str">
        <f>IF($A102="","",IF(OR($U102="CONCLUÍDO",$U102="CANCELADO"),"—",IF($U102="BLOQUEADO",IF($N102="","BLOQUEADO SEM MOTIVO INFORMADO",$N102),IF($U102="SEM DATA DE ETAPA","INFORMAR A DATA DE INÍCIO DA ETAPA",IF($T102&gt;0,"SLA DA ETAPA "&amp;$I102&amp;" EXCEDIDO EM "&amp;$T102&amp;" DIA(S)",IF($AB102&gt;0,"DIVERGÊNCIA QUANTITATIVA EM "&amp;$AB102&amp;" ITEM(NS)",IF($S102&gt;SLA_Total,"PRAZO TOTAL ACIMA DE "&amp;SLA_Total&amp;" DIAS","FLUXO REGULAR")))))))</f>
        <v/>
      </c>
      <c r="W102" s="21" t="str">
        <f t="shared" si="76"/>
        <v/>
      </c>
      <c r="X102" s="21" t="str">
        <f t="shared" si="77"/>
        <v/>
      </c>
      <c r="Y102" s="21" t="str">
        <f t="shared" si="78"/>
        <v/>
      </c>
      <c r="Z102" s="21" t="str">
        <f t="shared" si="79"/>
        <v/>
      </c>
      <c r="AA102" s="21" t="str">
        <f t="shared" si="80"/>
        <v/>
      </c>
      <c r="AB102" s="21" t="str">
        <f t="shared" si="81"/>
        <v/>
      </c>
      <c r="AC102" s="21" t="str">
        <f t="shared" si="82"/>
        <v/>
      </c>
      <c r="AD102" s="21" t="str">
        <f>IF($A102="","",IF(OR($L102="CONCLUÍDO",$L102="CANCELADO"),"",IF(AND(OR(Filtro_Unid="(TODAS AS UNIDADES)",$C102=Filtro_Unid),OR(Filtro_Proj="(TODOS OS PROJETOS)",$AE102=Filtro_Proj)),MAX($AD$4:AD101)+1,"")))</f>
        <v/>
      </c>
      <c r="AE102" s="19" t="str">
        <f t="shared" si="83"/>
        <v/>
      </c>
      <c r="AF102" s="21" t="str">
        <f t="shared" si="84"/>
        <v/>
      </c>
    </row>
    <row r="103" spans="1:32" x14ac:dyDescent="0.3">
      <c r="A103" s="17"/>
      <c r="B103" s="18"/>
      <c r="C103" s="18"/>
      <c r="D103" s="18"/>
      <c r="E103" s="17"/>
      <c r="F103" s="19" t="str">
        <f t="shared" si="68"/>
        <v/>
      </c>
      <c r="G103" s="18"/>
      <c r="H103" s="20"/>
      <c r="I103" s="18"/>
      <c r="J103" s="19" t="str">
        <f t="shared" si="69"/>
        <v/>
      </c>
      <c r="K103" s="20"/>
      <c r="L103" s="18"/>
      <c r="M103" s="18"/>
      <c r="N103" s="18"/>
      <c r="O103" s="18"/>
      <c r="P103" s="21" t="str">
        <f t="shared" si="70"/>
        <v/>
      </c>
      <c r="Q103" s="21" t="str">
        <f t="shared" si="71"/>
        <v/>
      </c>
      <c r="R103" s="22" t="str">
        <f t="shared" si="72"/>
        <v/>
      </c>
      <c r="S103" s="21" t="str">
        <f t="shared" si="73"/>
        <v/>
      </c>
      <c r="T103" s="21" t="str">
        <f t="shared" si="74"/>
        <v/>
      </c>
      <c r="U103" s="19" t="str">
        <f t="shared" si="75"/>
        <v/>
      </c>
      <c r="V103" s="19" t="str">
        <f>IF($A103="","",IF(OR($U103="CONCLUÍDO",$U103="CANCELADO"),"—",IF($U103="BLOQUEADO",IF($N103="","BLOQUEADO SEM MOTIVO INFORMADO",$N103),IF($U103="SEM DATA DE ETAPA","INFORMAR A DATA DE INÍCIO DA ETAPA",IF($T103&gt;0,"SLA DA ETAPA "&amp;$I103&amp;" EXCEDIDO EM "&amp;$T103&amp;" DIA(S)",IF($AB103&gt;0,"DIVERGÊNCIA QUANTITATIVA EM "&amp;$AB103&amp;" ITEM(NS)",IF($S103&gt;SLA_Total,"PRAZO TOTAL ACIMA DE "&amp;SLA_Total&amp;" DIAS","FLUXO REGULAR")))))))</f>
        <v/>
      </c>
      <c r="W103" s="21" t="str">
        <f t="shared" si="76"/>
        <v/>
      </c>
      <c r="X103" s="21" t="str">
        <f t="shared" si="77"/>
        <v/>
      </c>
      <c r="Y103" s="21" t="str">
        <f t="shared" si="78"/>
        <v/>
      </c>
      <c r="Z103" s="21" t="str">
        <f t="shared" si="79"/>
        <v/>
      </c>
      <c r="AA103" s="21" t="str">
        <f t="shared" si="80"/>
        <v/>
      </c>
      <c r="AB103" s="21" t="str">
        <f t="shared" si="81"/>
        <v/>
      </c>
      <c r="AC103" s="21" t="str">
        <f t="shared" si="82"/>
        <v/>
      </c>
      <c r="AD103" s="21" t="str">
        <f>IF($A103="","",IF(OR($L103="CONCLUÍDO",$L103="CANCELADO"),"",IF(AND(OR(Filtro_Unid="(TODAS AS UNIDADES)",$C103=Filtro_Unid),OR(Filtro_Proj="(TODOS OS PROJETOS)",$AE103=Filtro_Proj)),MAX($AD$4:AD102)+1,"")))</f>
        <v/>
      </c>
      <c r="AE103" s="19" t="str">
        <f t="shared" si="83"/>
        <v/>
      </c>
      <c r="AF103" s="21" t="str">
        <f t="shared" si="84"/>
        <v/>
      </c>
    </row>
    <row r="104" spans="1:32" x14ac:dyDescent="0.3">
      <c r="A104" s="17"/>
      <c r="B104" s="18"/>
      <c r="C104" s="18"/>
      <c r="D104" s="18"/>
      <c r="E104" s="17"/>
      <c r="F104" s="19" t="str">
        <f t="shared" si="68"/>
        <v/>
      </c>
      <c r="G104" s="18"/>
      <c r="H104" s="20"/>
      <c r="I104" s="18"/>
      <c r="J104" s="19" t="str">
        <f t="shared" si="69"/>
        <v/>
      </c>
      <c r="K104" s="20"/>
      <c r="L104" s="18"/>
      <c r="M104" s="18"/>
      <c r="N104" s="18"/>
      <c r="O104" s="18"/>
      <c r="P104" s="21" t="str">
        <f t="shared" si="70"/>
        <v/>
      </c>
      <c r="Q104" s="21" t="str">
        <f t="shared" si="71"/>
        <v/>
      </c>
      <c r="R104" s="22" t="str">
        <f t="shared" si="72"/>
        <v/>
      </c>
      <c r="S104" s="21" t="str">
        <f t="shared" si="73"/>
        <v/>
      </c>
      <c r="T104" s="21" t="str">
        <f t="shared" si="74"/>
        <v/>
      </c>
      <c r="U104" s="19" t="str">
        <f t="shared" si="75"/>
        <v/>
      </c>
      <c r="V104" s="19" t="str">
        <f>IF($A104="","",IF(OR($U104="CONCLUÍDO",$U104="CANCELADO"),"—",IF($U104="BLOQUEADO",IF($N104="","BLOQUEADO SEM MOTIVO INFORMADO",$N104),IF($U104="SEM DATA DE ETAPA","INFORMAR A DATA DE INÍCIO DA ETAPA",IF($T104&gt;0,"SLA DA ETAPA "&amp;$I104&amp;" EXCEDIDO EM "&amp;$T104&amp;" DIA(S)",IF($AB104&gt;0,"DIVERGÊNCIA QUANTITATIVA EM "&amp;$AB104&amp;" ITEM(NS)",IF($S104&gt;SLA_Total,"PRAZO TOTAL ACIMA DE "&amp;SLA_Total&amp;" DIAS","FLUXO REGULAR")))))))</f>
        <v/>
      </c>
      <c r="W104" s="21" t="str">
        <f t="shared" si="76"/>
        <v/>
      </c>
      <c r="X104" s="21" t="str">
        <f t="shared" si="77"/>
        <v/>
      </c>
      <c r="Y104" s="21" t="str">
        <f t="shared" si="78"/>
        <v/>
      </c>
      <c r="Z104" s="21" t="str">
        <f t="shared" si="79"/>
        <v/>
      </c>
      <c r="AA104" s="21" t="str">
        <f t="shared" si="80"/>
        <v/>
      </c>
      <c r="AB104" s="21" t="str">
        <f t="shared" si="81"/>
        <v/>
      </c>
      <c r="AC104" s="21" t="str">
        <f t="shared" si="82"/>
        <v/>
      </c>
      <c r="AD104" s="21" t="str">
        <f>IF($A104="","",IF(OR($L104="CONCLUÍDO",$L104="CANCELADO"),"",IF(AND(OR(Filtro_Unid="(TODAS AS UNIDADES)",$C104=Filtro_Unid),OR(Filtro_Proj="(TODOS OS PROJETOS)",$AE104=Filtro_Proj)),MAX($AD$4:AD103)+1,"")))</f>
        <v/>
      </c>
      <c r="AE104" s="19" t="str">
        <f t="shared" si="83"/>
        <v/>
      </c>
      <c r="AF104" s="21" t="str">
        <f t="shared" si="84"/>
        <v/>
      </c>
    </row>
    <row r="105" spans="1:32" x14ac:dyDescent="0.3">
      <c r="A105" s="17"/>
      <c r="B105" s="18"/>
      <c r="C105" s="18"/>
      <c r="D105" s="18"/>
      <c r="E105" s="17"/>
      <c r="F105" s="19" t="str">
        <f t="shared" si="68"/>
        <v/>
      </c>
      <c r="G105" s="18"/>
      <c r="H105" s="20"/>
      <c r="I105" s="18"/>
      <c r="J105" s="19" t="str">
        <f t="shared" si="69"/>
        <v/>
      </c>
      <c r="K105" s="20"/>
      <c r="L105" s="18"/>
      <c r="M105" s="18"/>
      <c r="N105" s="18"/>
      <c r="O105" s="18"/>
      <c r="P105" s="21" t="str">
        <f t="shared" si="70"/>
        <v/>
      </c>
      <c r="Q105" s="21" t="str">
        <f t="shared" si="71"/>
        <v/>
      </c>
      <c r="R105" s="22" t="str">
        <f t="shared" si="72"/>
        <v/>
      </c>
      <c r="S105" s="21" t="str">
        <f t="shared" si="73"/>
        <v/>
      </c>
      <c r="T105" s="21" t="str">
        <f t="shared" si="74"/>
        <v/>
      </c>
      <c r="U105" s="19" t="str">
        <f t="shared" si="75"/>
        <v/>
      </c>
      <c r="V105" s="19" t="str">
        <f>IF($A105="","",IF(OR($U105="CONCLUÍDO",$U105="CANCELADO"),"—",IF($U105="BLOQUEADO",IF($N105="","BLOQUEADO SEM MOTIVO INFORMADO",$N105),IF($U105="SEM DATA DE ETAPA","INFORMAR A DATA DE INÍCIO DA ETAPA",IF($T105&gt;0,"SLA DA ETAPA "&amp;$I105&amp;" EXCEDIDO EM "&amp;$T105&amp;" DIA(S)",IF($AB105&gt;0,"DIVERGÊNCIA QUANTITATIVA EM "&amp;$AB105&amp;" ITEM(NS)",IF($S105&gt;SLA_Total,"PRAZO TOTAL ACIMA DE "&amp;SLA_Total&amp;" DIAS","FLUXO REGULAR")))))))</f>
        <v/>
      </c>
      <c r="W105" s="21" t="str">
        <f t="shared" si="76"/>
        <v/>
      </c>
      <c r="X105" s="21" t="str">
        <f t="shared" si="77"/>
        <v/>
      </c>
      <c r="Y105" s="21" t="str">
        <f t="shared" si="78"/>
        <v/>
      </c>
      <c r="Z105" s="21" t="str">
        <f t="shared" si="79"/>
        <v/>
      </c>
      <c r="AA105" s="21" t="str">
        <f t="shared" si="80"/>
        <v/>
      </c>
      <c r="AB105" s="21" t="str">
        <f t="shared" si="81"/>
        <v/>
      </c>
      <c r="AC105" s="21" t="str">
        <f t="shared" si="82"/>
        <v/>
      </c>
      <c r="AD105" s="21" t="str">
        <f>IF($A105="","",IF(OR($L105="CONCLUÍDO",$L105="CANCELADO"),"",IF(AND(OR(Filtro_Unid="(TODAS AS UNIDADES)",$C105=Filtro_Unid),OR(Filtro_Proj="(TODOS OS PROJETOS)",$AE105=Filtro_Proj)),MAX($AD$4:AD104)+1,"")))</f>
        <v/>
      </c>
      <c r="AE105" s="19" t="str">
        <f t="shared" si="83"/>
        <v/>
      </c>
      <c r="AF105" s="21" t="str">
        <f t="shared" si="84"/>
        <v/>
      </c>
    </row>
    <row r="106" spans="1:32" x14ac:dyDescent="0.3">
      <c r="A106" s="17"/>
      <c r="B106" s="18"/>
      <c r="C106" s="18"/>
      <c r="D106" s="18"/>
      <c r="E106" s="17"/>
      <c r="F106" s="19" t="str">
        <f t="shared" si="68"/>
        <v/>
      </c>
      <c r="G106" s="18"/>
      <c r="H106" s="20"/>
      <c r="I106" s="18"/>
      <c r="J106" s="19" t="str">
        <f t="shared" si="69"/>
        <v/>
      </c>
      <c r="K106" s="20"/>
      <c r="L106" s="18"/>
      <c r="M106" s="18"/>
      <c r="N106" s="18"/>
      <c r="O106" s="18"/>
      <c r="P106" s="21" t="str">
        <f t="shared" si="70"/>
        <v/>
      </c>
      <c r="Q106" s="21" t="str">
        <f t="shared" si="71"/>
        <v/>
      </c>
      <c r="R106" s="22" t="str">
        <f t="shared" si="72"/>
        <v/>
      </c>
      <c r="S106" s="21" t="str">
        <f t="shared" si="73"/>
        <v/>
      </c>
      <c r="T106" s="21" t="str">
        <f t="shared" si="74"/>
        <v/>
      </c>
      <c r="U106" s="19" t="str">
        <f t="shared" si="75"/>
        <v/>
      </c>
      <c r="V106" s="19" t="str">
        <f>IF($A106="","",IF(OR($U106="CONCLUÍDO",$U106="CANCELADO"),"—",IF($U106="BLOQUEADO",IF($N106="","BLOQUEADO SEM MOTIVO INFORMADO",$N106),IF($U106="SEM DATA DE ETAPA","INFORMAR A DATA DE INÍCIO DA ETAPA",IF($T106&gt;0,"SLA DA ETAPA "&amp;$I106&amp;" EXCEDIDO EM "&amp;$T106&amp;" DIA(S)",IF($AB106&gt;0,"DIVERGÊNCIA QUANTITATIVA EM "&amp;$AB106&amp;" ITEM(NS)",IF($S106&gt;SLA_Total,"PRAZO TOTAL ACIMA DE "&amp;SLA_Total&amp;" DIAS","FLUXO REGULAR")))))))</f>
        <v/>
      </c>
      <c r="W106" s="21" t="str">
        <f t="shared" si="76"/>
        <v/>
      </c>
      <c r="X106" s="21" t="str">
        <f t="shared" si="77"/>
        <v/>
      </c>
      <c r="Y106" s="21" t="str">
        <f t="shared" si="78"/>
        <v/>
      </c>
      <c r="Z106" s="21" t="str">
        <f t="shared" si="79"/>
        <v/>
      </c>
      <c r="AA106" s="21" t="str">
        <f t="shared" si="80"/>
        <v/>
      </c>
      <c r="AB106" s="21" t="str">
        <f t="shared" si="81"/>
        <v/>
      </c>
      <c r="AC106" s="21" t="str">
        <f t="shared" si="82"/>
        <v/>
      </c>
      <c r="AD106" s="21" t="str">
        <f>IF($A106="","",IF(OR($L106="CONCLUÍDO",$L106="CANCELADO"),"",IF(AND(OR(Filtro_Unid="(TODAS AS UNIDADES)",$C106=Filtro_Unid),OR(Filtro_Proj="(TODOS OS PROJETOS)",$AE106=Filtro_Proj)),MAX($AD$4:AD105)+1,"")))</f>
        <v/>
      </c>
      <c r="AE106" s="19" t="str">
        <f t="shared" si="83"/>
        <v/>
      </c>
      <c r="AF106" s="21" t="str">
        <f t="shared" si="84"/>
        <v/>
      </c>
    </row>
    <row r="107" spans="1:32" x14ac:dyDescent="0.3">
      <c r="A107" s="17"/>
      <c r="B107" s="18"/>
      <c r="C107" s="18"/>
      <c r="D107" s="18"/>
      <c r="E107" s="17"/>
      <c r="F107" s="19" t="str">
        <f t="shared" si="68"/>
        <v/>
      </c>
      <c r="G107" s="18"/>
      <c r="H107" s="20"/>
      <c r="I107" s="18"/>
      <c r="J107" s="19" t="str">
        <f t="shared" si="69"/>
        <v/>
      </c>
      <c r="K107" s="20"/>
      <c r="L107" s="18"/>
      <c r="M107" s="18"/>
      <c r="N107" s="18"/>
      <c r="O107" s="18"/>
      <c r="P107" s="21" t="str">
        <f t="shared" si="70"/>
        <v/>
      </c>
      <c r="Q107" s="21" t="str">
        <f t="shared" si="71"/>
        <v/>
      </c>
      <c r="R107" s="22" t="str">
        <f t="shared" si="72"/>
        <v/>
      </c>
      <c r="S107" s="21" t="str">
        <f t="shared" si="73"/>
        <v/>
      </c>
      <c r="T107" s="21" t="str">
        <f t="shared" si="74"/>
        <v/>
      </c>
      <c r="U107" s="19" t="str">
        <f t="shared" si="75"/>
        <v/>
      </c>
      <c r="V107" s="19" t="str">
        <f>IF($A107="","",IF(OR($U107="CONCLUÍDO",$U107="CANCELADO"),"—",IF($U107="BLOQUEADO",IF($N107="","BLOQUEADO SEM MOTIVO INFORMADO",$N107),IF($U107="SEM DATA DE ETAPA","INFORMAR A DATA DE INÍCIO DA ETAPA",IF($T107&gt;0,"SLA DA ETAPA "&amp;$I107&amp;" EXCEDIDO EM "&amp;$T107&amp;" DIA(S)",IF($AB107&gt;0,"DIVERGÊNCIA QUANTITATIVA EM "&amp;$AB107&amp;" ITEM(NS)",IF($S107&gt;SLA_Total,"PRAZO TOTAL ACIMA DE "&amp;SLA_Total&amp;" DIAS","FLUXO REGULAR")))))))</f>
        <v/>
      </c>
      <c r="W107" s="21" t="str">
        <f t="shared" si="76"/>
        <v/>
      </c>
      <c r="X107" s="21" t="str">
        <f t="shared" si="77"/>
        <v/>
      </c>
      <c r="Y107" s="21" t="str">
        <f t="shared" si="78"/>
        <v/>
      </c>
      <c r="Z107" s="21" t="str">
        <f t="shared" si="79"/>
        <v/>
      </c>
      <c r="AA107" s="21" t="str">
        <f t="shared" si="80"/>
        <v/>
      </c>
      <c r="AB107" s="21" t="str">
        <f t="shared" si="81"/>
        <v/>
      </c>
      <c r="AC107" s="21" t="str">
        <f t="shared" si="82"/>
        <v/>
      </c>
      <c r="AD107" s="21" t="str">
        <f>IF($A107="","",IF(OR($L107="CONCLUÍDO",$L107="CANCELADO"),"",IF(AND(OR(Filtro_Unid="(TODAS AS UNIDADES)",$C107=Filtro_Unid),OR(Filtro_Proj="(TODOS OS PROJETOS)",$AE107=Filtro_Proj)),MAX($AD$4:AD106)+1,"")))</f>
        <v/>
      </c>
      <c r="AE107" s="19" t="str">
        <f t="shared" si="83"/>
        <v/>
      </c>
      <c r="AF107" s="21" t="str">
        <f t="shared" si="84"/>
        <v/>
      </c>
    </row>
    <row r="108" spans="1:32" x14ac:dyDescent="0.3">
      <c r="A108" s="17"/>
      <c r="B108" s="18"/>
      <c r="C108" s="18"/>
      <c r="D108" s="18"/>
      <c r="E108" s="17"/>
      <c r="F108" s="19" t="str">
        <f t="shared" si="68"/>
        <v/>
      </c>
      <c r="G108" s="18"/>
      <c r="H108" s="20"/>
      <c r="I108" s="18"/>
      <c r="J108" s="19" t="str">
        <f t="shared" si="69"/>
        <v/>
      </c>
      <c r="K108" s="20"/>
      <c r="L108" s="18"/>
      <c r="M108" s="18"/>
      <c r="N108" s="18"/>
      <c r="O108" s="18"/>
      <c r="P108" s="21" t="str">
        <f t="shared" si="70"/>
        <v/>
      </c>
      <c r="Q108" s="21" t="str">
        <f t="shared" si="71"/>
        <v/>
      </c>
      <c r="R108" s="22" t="str">
        <f t="shared" si="72"/>
        <v/>
      </c>
      <c r="S108" s="21" t="str">
        <f t="shared" si="73"/>
        <v/>
      </c>
      <c r="T108" s="21" t="str">
        <f t="shared" si="74"/>
        <v/>
      </c>
      <c r="U108" s="19" t="str">
        <f t="shared" si="75"/>
        <v/>
      </c>
      <c r="V108" s="19" t="str">
        <f>IF($A108="","",IF(OR($U108="CONCLUÍDO",$U108="CANCELADO"),"—",IF($U108="BLOQUEADO",IF($N108="","BLOQUEADO SEM MOTIVO INFORMADO",$N108),IF($U108="SEM DATA DE ETAPA","INFORMAR A DATA DE INÍCIO DA ETAPA",IF($T108&gt;0,"SLA DA ETAPA "&amp;$I108&amp;" EXCEDIDO EM "&amp;$T108&amp;" DIA(S)",IF($AB108&gt;0,"DIVERGÊNCIA QUANTITATIVA EM "&amp;$AB108&amp;" ITEM(NS)",IF($S108&gt;SLA_Total,"PRAZO TOTAL ACIMA DE "&amp;SLA_Total&amp;" DIAS","FLUXO REGULAR")))))))</f>
        <v/>
      </c>
      <c r="W108" s="21" t="str">
        <f t="shared" si="76"/>
        <v/>
      </c>
      <c r="X108" s="21" t="str">
        <f t="shared" si="77"/>
        <v/>
      </c>
      <c r="Y108" s="21" t="str">
        <f t="shared" si="78"/>
        <v/>
      </c>
      <c r="Z108" s="21" t="str">
        <f t="shared" si="79"/>
        <v/>
      </c>
      <c r="AA108" s="21" t="str">
        <f t="shared" si="80"/>
        <v/>
      </c>
      <c r="AB108" s="21" t="str">
        <f t="shared" si="81"/>
        <v/>
      </c>
      <c r="AC108" s="21" t="str">
        <f t="shared" si="82"/>
        <v/>
      </c>
      <c r="AD108" s="21" t="str">
        <f>IF($A108="","",IF(OR($L108="CONCLUÍDO",$L108="CANCELADO"),"",IF(AND(OR(Filtro_Unid="(TODAS AS UNIDADES)",$C108=Filtro_Unid),OR(Filtro_Proj="(TODOS OS PROJETOS)",$AE108=Filtro_Proj)),MAX($AD$4:AD107)+1,"")))</f>
        <v/>
      </c>
      <c r="AE108" s="19" t="str">
        <f t="shared" si="83"/>
        <v/>
      </c>
      <c r="AF108" s="21" t="str">
        <f t="shared" si="84"/>
        <v/>
      </c>
    </row>
    <row r="109" spans="1:32" x14ac:dyDescent="0.3">
      <c r="A109" s="17"/>
      <c r="B109" s="18"/>
      <c r="C109" s="18"/>
      <c r="D109" s="18"/>
      <c r="E109" s="17"/>
      <c r="F109" s="19" t="str">
        <f t="shared" si="68"/>
        <v/>
      </c>
      <c r="G109" s="18"/>
      <c r="H109" s="20"/>
      <c r="I109" s="18"/>
      <c r="J109" s="19" t="str">
        <f t="shared" si="69"/>
        <v/>
      </c>
      <c r="K109" s="20"/>
      <c r="L109" s="18"/>
      <c r="M109" s="18"/>
      <c r="N109" s="18"/>
      <c r="O109" s="18"/>
      <c r="P109" s="21" t="str">
        <f t="shared" si="70"/>
        <v/>
      </c>
      <c r="Q109" s="21" t="str">
        <f t="shared" si="71"/>
        <v/>
      </c>
      <c r="R109" s="22" t="str">
        <f t="shared" si="72"/>
        <v/>
      </c>
      <c r="S109" s="21" t="str">
        <f t="shared" si="73"/>
        <v/>
      </c>
      <c r="T109" s="21" t="str">
        <f t="shared" si="74"/>
        <v/>
      </c>
      <c r="U109" s="19" t="str">
        <f t="shared" si="75"/>
        <v/>
      </c>
      <c r="V109" s="19" t="str">
        <f>IF($A109="","",IF(OR($U109="CONCLUÍDO",$U109="CANCELADO"),"—",IF($U109="BLOQUEADO",IF($N109="","BLOQUEADO SEM MOTIVO INFORMADO",$N109),IF($U109="SEM DATA DE ETAPA","INFORMAR A DATA DE INÍCIO DA ETAPA",IF($T109&gt;0,"SLA DA ETAPA "&amp;$I109&amp;" EXCEDIDO EM "&amp;$T109&amp;" DIA(S)",IF($AB109&gt;0,"DIVERGÊNCIA QUANTITATIVA EM "&amp;$AB109&amp;" ITEM(NS)",IF($S109&gt;SLA_Total,"PRAZO TOTAL ACIMA DE "&amp;SLA_Total&amp;" DIAS","FLUXO REGULAR")))))))</f>
        <v/>
      </c>
      <c r="W109" s="21" t="str">
        <f t="shared" si="76"/>
        <v/>
      </c>
      <c r="X109" s="21" t="str">
        <f t="shared" si="77"/>
        <v/>
      </c>
      <c r="Y109" s="21" t="str">
        <f t="shared" si="78"/>
        <v/>
      </c>
      <c r="Z109" s="21" t="str">
        <f t="shared" si="79"/>
        <v/>
      </c>
      <c r="AA109" s="21" t="str">
        <f t="shared" si="80"/>
        <v/>
      </c>
      <c r="AB109" s="21" t="str">
        <f t="shared" si="81"/>
        <v/>
      </c>
      <c r="AC109" s="21" t="str">
        <f t="shared" si="82"/>
        <v/>
      </c>
      <c r="AD109" s="21" t="str">
        <f>IF($A109="","",IF(OR($L109="CONCLUÍDO",$L109="CANCELADO"),"",IF(AND(OR(Filtro_Unid="(TODAS AS UNIDADES)",$C109=Filtro_Unid),OR(Filtro_Proj="(TODOS OS PROJETOS)",$AE109=Filtro_Proj)),MAX($AD$4:AD108)+1,"")))</f>
        <v/>
      </c>
      <c r="AE109" s="19" t="str">
        <f t="shared" si="83"/>
        <v/>
      </c>
      <c r="AF109" s="21" t="str">
        <f t="shared" si="84"/>
        <v/>
      </c>
    </row>
    <row r="110" spans="1:32" x14ac:dyDescent="0.3">
      <c r="A110" s="17"/>
      <c r="B110" s="18"/>
      <c r="C110" s="18"/>
      <c r="D110" s="18"/>
      <c r="E110" s="17"/>
      <c r="F110" s="19" t="str">
        <f t="shared" si="68"/>
        <v/>
      </c>
      <c r="G110" s="18"/>
      <c r="H110" s="20"/>
      <c r="I110" s="18"/>
      <c r="J110" s="19" t="str">
        <f t="shared" si="69"/>
        <v/>
      </c>
      <c r="K110" s="20"/>
      <c r="L110" s="18"/>
      <c r="M110" s="18"/>
      <c r="N110" s="18"/>
      <c r="O110" s="18"/>
      <c r="P110" s="21" t="str">
        <f t="shared" si="70"/>
        <v/>
      </c>
      <c r="Q110" s="21" t="str">
        <f t="shared" si="71"/>
        <v/>
      </c>
      <c r="R110" s="22" t="str">
        <f t="shared" si="72"/>
        <v/>
      </c>
      <c r="S110" s="21" t="str">
        <f t="shared" si="73"/>
        <v/>
      </c>
      <c r="T110" s="21" t="str">
        <f t="shared" si="74"/>
        <v/>
      </c>
      <c r="U110" s="19" t="str">
        <f t="shared" si="75"/>
        <v/>
      </c>
      <c r="V110" s="19" t="str">
        <f>IF($A110="","",IF(OR($U110="CONCLUÍDO",$U110="CANCELADO"),"—",IF($U110="BLOQUEADO",IF($N110="","BLOQUEADO SEM MOTIVO INFORMADO",$N110),IF($U110="SEM DATA DE ETAPA","INFORMAR A DATA DE INÍCIO DA ETAPA",IF($T110&gt;0,"SLA DA ETAPA "&amp;$I110&amp;" EXCEDIDO EM "&amp;$T110&amp;" DIA(S)",IF($AB110&gt;0,"DIVERGÊNCIA QUANTITATIVA EM "&amp;$AB110&amp;" ITEM(NS)",IF($S110&gt;SLA_Total,"PRAZO TOTAL ACIMA DE "&amp;SLA_Total&amp;" DIAS","FLUXO REGULAR")))))))</f>
        <v/>
      </c>
      <c r="W110" s="21" t="str">
        <f t="shared" si="76"/>
        <v/>
      </c>
      <c r="X110" s="21" t="str">
        <f t="shared" si="77"/>
        <v/>
      </c>
      <c r="Y110" s="21" t="str">
        <f t="shared" si="78"/>
        <v/>
      </c>
      <c r="Z110" s="21" t="str">
        <f t="shared" si="79"/>
        <v/>
      </c>
      <c r="AA110" s="21" t="str">
        <f t="shared" si="80"/>
        <v/>
      </c>
      <c r="AB110" s="21" t="str">
        <f t="shared" si="81"/>
        <v/>
      </c>
      <c r="AC110" s="21" t="str">
        <f t="shared" si="82"/>
        <v/>
      </c>
      <c r="AD110" s="21" t="str">
        <f>IF($A110="","",IF(OR($L110="CONCLUÍDO",$L110="CANCELADO"),"",IF(AND(OR(Filtro_Unid="(TODAS AS UNIDADES)",$C110=Filtro_Unid),OR(Filtro_Proj="(TODOS OS PROJETOS)",$AE110=Filtro_Proj)),MAX($AD$4:AD109)+1,"")))</f>
        <v/>
      </c>
      <c r="AE110" s="19" t="str">
        <f t="shared" si="83"/>
        <v/>
      </c>
      <c r="AF110" s="21" t="str">
        <f t="shared" si="84"/>
        <v/>
      </c>
    </row>
    <row r="111" spans="1:32" x14ac:dyDescent="0.3">
      <c r="A111" s="17"/>
      <c r="B111" s="18"/>
      <c r="C111" s="18"/>
      <c r="D111" s="18"/>
      <c r="E111" s="17"/>
      <c r="F111" s="19" t="str">
        <f t="shared" si="68"/>
        <v/>
      </c>
      <c r="G111" s="18"/>
      <c r="H111" s="20"/>
      <c r="I111" s="18"/>
      <c r="J111" s="19" t="str">
        <f t="shared" si="69"/>
        <v/>
      </c>
      <c r="K111" s="20"/>
      <c r="L111" s="18"/>
      <c r="M111" s="18"/>
      <c r="N111" s="18"/>
      <c r="O111" s="18"/>
      <c r="P111" s="21" t="str">
        <f t="shared" si="70"/>
        <v/>
      </c>
      <c r="Q111" s="21" t="str">
        <f t="shared" si="71"/>
        <v/>
      </c>
      <c r="R111" s="22" t="str">
        <f t="shared" si="72"/>
        <v/>
      </c>
      <c r="S111" s="21" t="str">
        <f t="shared" si="73"/>
        <v/>
      </c>
      <c r="T111" s="21" t="str">
        <f t="shared" si="74"/>
        <v/>
      </c>
      <c r="U111" s="19" t="str">
        <f t="shared" si="75"/>
        <v/>
      </c>
      <c r="V111" s="19" t="str">
        <f>IF($A111="","",IF(OR($U111="CONCLUÍDO",$U111="CANCELADO"),"—",IF($U111="BLOQUEADO",IF($N111="","BLOQUEADO SEM MOTIVO INFORMADO",$N111),IF($U111="SEM DATA DE ETAPA","INFORMAR A DATA DE INÍCIO DA ETAPA",IF($T111&gt;0,"SLA DA ETAPA "&amp;$I111&amp;" EXCEDIDO EM "&amp;$T111&amp;" DIA(S)",IF($AB111&gt;0,"DIVERGÊNCIA QUANTITATIVA EM "&amp;$AB111&amp;" ITEM(NS)",IF($S111&gt;SLA_Total,"PRAZO TOTAL ACIMA DE "&amp;SLA_Total&amp;" DIAS","FLUXO REGULAR")))))))</f>
        <v/>
      </c>
      <c r="W111" s="21" t="str">
        <f t="shared" si="76"/>
        <v/>
      </c>
      <c r="X111" s="21" t="str">
        <f t="shared" si="77"/>
        <v/>
      </c>
      <c r="Y111" s="21" t="str">
        <f t="shared" si="78"/>
        <v/>
      </c>
      <c r="Z111" s="21" t="str">
        <f t="shared" si="79"/>
        <v/>
      </c>
      <c r="AA111" s="21" t="str">
        <f t="shared" si="80"/>
        <v/>
      </c>
      <c r="AB111" s="21" t="str">
        <f t="shared" si="81"/>
        <v/>
      </c>
      <c r="AC111" s="21" t="str">
        <f t="shared" si="82"/>
        <v/>
      </c>
      <c r="AD111" s="21" t="str">
        <f>IF($A111="","",IF(OR($L111="CONCLUÍDO",$L111="CANCELADO"),"",IF(AND(OR(Filtro_Unid="(TODAS AS UNIDADES)",$C111=Filtro_Unid),OR(Filtro_Proj="(TODOS OS PROJETOS)",$AE111=Filtro_Proj)),MAX($AD$4:AD110)+1,"")))</f>
        <v/>
      </c>
      <c r="AE111" s="19" t="str">
        <f t="shared" si="83"/>
        <v/>
      </c>
      <c r="AF111" s="21" t="str">
        <f t="shared" si="84"/>
        <v/>
      </c>
    </row>
    <row r="112" spans="1:32" x14ac:dyDescent="0.3">
      <c r="A112" s="17"/>
      <c r="B112" s="18"/>
      <c r="C112" s="18"/>
      <c r="D112" s="18"/>
      <c r="E112" s="17"/>
      <c r="F112" s="19" t="str">
        <f t="shared" si="68"/>
        <v/>
      </c>
      <c r="G112" s="18"/>
      <c r="H112" s="20"/>
      <c r="I112" s="18"/>
      <c r="J112" s="19" t="str">
        <f t="shared" si="69"/>
        <v/>
      </c>
      <c r="K112" s="20"/>
      <c r="L112" s="18"/>
      <c r="M112" s="18"/>
      <c r="N112" s="18"/>
      <c r="O112" s="18"/>
      <c r="P112" s="21" t="str">
        <f t="shared" si="70"/>
        <v/>
      </c>
      <c r="Q112" s="21" t="str">
        <f t="shared" si="71"/>
        <v/>
      </c>
      <c r="R112" s="22" t="str">
        <f t="shared" si="72"/>
        <v/>
      </c>
      <c r="S112" s="21" t="str">
        <f t="shared" si="73"/>
        <v/>
      </c>
      <c r="T112" s="21" t="str">
        <f t="shared" si="74"/>
        <v/>
      </c>
      <c r="U112" s="19" t="str">
        <f t="shared" si="75"/>
        <v/>
      </c>
      <c r="V112" s="19" t="str">
        <f>IF($A112="","",IF(OR($U112="CONCLUÍDO",$U112="CANCELADO"),"—",IF($U112="BLOQUEADO",IF($N112="","BLOQUEADO SEM MOTIVO INFORMADO",$N112),IF($U112="SEM DATA DE ETAPA","INFORMAR A DATA DE INÍCIO DA ETAPA",IF($T112&gt;0,"SLA DA ETAPA "&amp;$I112&amp;" EXCEDIDO EM "&amp;$T112&amp;" DIA(S)",IF($AB112&gt;0,"DIVERGÊNCIA QUANTITATIVA EM "&amp;$AB112&amp;" ITEM(NS)",IF($S112&gt;SLA_Total,"PRAZO TOTAL ACIMA DE "&amp;SLA_Total&amp;" DIAS","FLUXO REGULAR")))))))</f>
        <v/>
      </c>
      <c r="W112" s="21" t="str">
        <f t="shared" si="76"/>
        <v/>
      </c>
      <c r="X112" s="21" t="str">
        <f t="shared" si="77"/>
        <v/>
      </c>
      <c r="Y112" s="21" t="str">
        <f t="shared" si="78"/>
        <v/>
      </c>
      <c r="Z112" s="21" t="str">
        <f t="shared" si="79"/>
        <v/>
      </c>
      <c r="AA112" s="21" t="str">
        <f t="shared" si="80"/>
        <v/>
      </c>
      <c r="AB112" s="21" t="str">
        <f t="shared" si="81"/>
        <v/>
      </c>
      <c r="AC112" s="21" t="str">
        <f t="shared" si="82"/>
        <v/>
      </c>
      <c r="AD112" s="21" t="str">
        <f>IF($A112="","",IF(OR($L112="CONCLUÍDO",$L112="CANCELADO"),"",IF(AND(OR(Filtro_Unid="(TODAS AS UNIDADES)",$C112=Filtro_Unid),OR(Filtro_Proj="(TODOS OS PROJETOS)",$AE112=Filtro_Proj)),MAX($AD$4:AD111)+1,"")))</f>
        <v/>
      </c>
      <c r="AE112" s="19" t="str">
        <f t="shared" si="83"/>
        <v/>
      </c>
      <c r="AF112" s="21" t="str">
        <f t="shared" si="84"/>
        <v/>
      </c>
    </row>
    <row r="113" spans="1:32" x14ac:dyDescent="0.3">
      <c r="A113" s="17"/>
      <c r="B113" s="18"/>
      <c r="C113" s="18"/>
      <c r="D113" s="18"/>
      <c r="E113" s="17"/>
      <c r="F113" s="19" t="str">
        <f t="shared" si="68"/>
        <v/>
      </c>
      <c r="G113" s="18"/>
      <c r="H113" s="20"/>
      <c r="I113" s="18"/>
      <c r="J113" s="19" t="str">
        <f t="shared" si="69"/>
        <v/>
      </c>
      <c r="K113" s="20"/>
      <c r="L113" s="18"/>
      <c r="M113" s="18"/>
      <c r="N113" s="18"/>
      <c r="O113" s="18"/>
      <c r="P113" s="21" t="str">
        <f t="shared" si="70"/>
        <v/>
      </c>
      <c r="Q113" s="21" t="str">
        <f t="shared" si="71"/>
        <v/>
      </c>
      <c r="R113" s="22" t="str">
        <f t="shared" si="72"/>
        <v/>
      </c>
      <c r="S113" s="21" t="str">
        <f t="shared" si="73"/>
        <v/>
      </c>
      <c r="T113" s="21" t="str">
        <f t="shared" si="74"/>
        <v/>
      </c>
      <c r="U113" s="19" t="str">
        <f t="shared" si="75"/>
        <v/>
      </c>
      <c r="V113" s="19" t="str">
        <f>IF($A113="","",IF(OR($U113="CONCLUÍDO",$U113="CANCELADO"),"—",IF($U113="BLOQUEADO",IF($N113="","BLOQUEADO SEM MOTIVO INFORMADO",$N113),IF($U113="SEM DATA DE ETAPA","INFORMAR A DATA DE INÍCIO DA ETAPA",IF($T113&gt;0,"SLA DA ETAPA "&amp;$I113&amp;" EXCEDIDO EM "&amp;$T113&amp;" DIA(S)",IF($AB113&gt;0,"DIVERGÊNCIA QUANTITATIVA EM "&amp;$AB113&amp;" ITEM(NS)",IF($S113&gt;SLA_Total,"PRAZO TOTAL ACIMA DE "&amp;SLA_Total&amp;" DIAS","FLUXO REGULAR")))))))</f>
        <v/>
      </c>
      <c r="W113" s="21" t="str">
        <f t="shared" si="76"/>
        <v/>
      </c>
      <c r="X113" s="21" t="str">
        <f t="shared" si="77"/>
        <v/>
      </c>
      <c r="Y113" s="21" t="str">
        <f t="shared" si="78"/>
        <v/>
      </c>
      <c r="Z113" s="21" t="str">
        <f t="shared" si="79"/>
        <v/>
      </c>
      <c r="AA113" s="21" t="str">
        <f t="shared" si="80"/>
        <v/>
      </c>
      <c r="AB113" s="21" t="str">
        <f t="shared" si="81"/>
        <v/>
      </c>
      <c r="AC113" s="21" t="str">
        <f t="shared" si="82"/>
        <v/>
      </c>
      <c r="AD113" s="21" t="str">
        <f>IF($A113="","",IF(OR($L113="CONCLUÍDO",$L113="CANCELADO"),"",IF(AND(OR(Filtro_Unid="(TODAS AS UNIDADES)",$C113=Filtro_Unid),OR(Filtro_Proj="(TODOS OS PROJETOS)",$AE113=Filtro_Proj)),MAX($AD$4:AD112)+1,"")))</f>
        <v/>
      </c>
      <c r="AE113" s="19" t="str">
        <f t="shared" si="83"/>
        <v/>
      </c>
      <c r="AF113" s="21" t="str">
        <f t="shared" si="84"/>
        <v/>
      </c>
    </row>
    <row r="114" spans="1:32" x14ac:dyDescent="0.3">
      <c r="A114" s="17"/>
      <c r="B114" s="18"/>
      <c r="C114" s="18"/>
      <c r="D114" s="18"/>
      <c r="E114" s="17"/>
      <c r="F114" s="19" t="str">
        <f t="shared" si="68"/>
        <v/>
      </c>
      <c r="G114" s="18"/>
      <c r="H114" s="20"/>
      <c r="I114" s="18"/>
      <c r="J114" s="19" t="str">
        <f t="shared" si="69"/>
        <v/>
      </c>
      <c r="K114" s="20"/>
      <c r="L114" s="18"/>
      <c r="M114" s="18"/>
      <c r="N114" s="18"/>
      <c r="O114" s="18"/>
      <c r="P114" s="21" t="str">
        <f t="shared" si="70"/>
        <v/>
      </c>
      <c r="Q114" s="21" t="str">
        <f t="shared" si="71"/>
        <v/>
      </c>
      <c r="R114" s="22" t="str">
        <f t="shared" si="72"/>
        <v/>
      </c>
      <c r="S114" s="21" t="str">
        <f t="shared" si="73"/>
        <v/>
      </c>
      <c r="T114" s="21" t="str">
        <f t="shared" si="74"/>
        <v/>
      </c>
      <c r="U114" s="19" t="str">
        <f t="shared" si="75"/>
        <v/>
      </c>
      <c r="V114" s="19" t="str">
        <f>IF($A114="","",IF(OR($U114="CONCLUÍDO",$U114="CANCELADO"),"—",IF($U114="BLOQUEADO",IF($N114="","BLOQUEADO SEM MOTIVO INFORMADO",$N114),IF($U114="SEM DATA DE ETAPA","INFORMAR A DATA DE INÍCIO DA ETAPA",IF($T114&gt;0,"SLA DA ETAPA "&amp;$I114&amp;" EXCEDIDO EM "&amp;$T114&amp;" DIA(S)",IF($AB114&gt;0,"DIVERGÊNCIA QUANTITATIVA EM "&amp;$AB114&amp;" ITEM(NS)",IF($S114&gt;SLA_Total,"PRAZO TOTAL ACIMA DE "&amp;SLA_Total&amp;" DIAS","FLUXO REGULAR")))))))</f>
        <v/>
      </c>
      <c r="W114" s="21" t="str">
        <f t="shared" si="76"/>
        <v/>
      </c>
      <c r="X114" s="21" t="str">
        <f t="shared" si="77"/>
        <v/>
      </c>
      <c r="Y114" s="21" t="str">
        <f t="shared" si="78"/>
        <v/>
      </c>
      <c r="Z114" s="21" t="str">
        <f t="shared" si="79"/>
        <v/>
      </c>
      <c r="AA114" s="21" t="str">
        <f t="shared" si="80"/>
        <v/>
      </c>
      <c r="AB114" s="21" t="str">
        <f t="shared" si="81"/>
        <v/>
      </c>
      <c r="AC114" s="21" t="str">
        <f t="shared" si="82"/>
        <v/>
      </c>
      <c r="AD114" s="21" t="str">
        <f>IF($A114="","",IF(OR($L114="CONCLUÍDO",$L114="CANCELADO"),"",IF(AND(OR(Filtro_Unid="(TODAS AS UNIDADES)",$C114=Filtro_Unid),OR(Filtro_Proj="(TODOS OS PROJETOS)",$AE114=Filtro_Proj)),MAX($AD$4:AD113)+1,"")))</f>
        <v/>
      </c>
      <c r="AE114" s="19" t="str">
        <f t="shared" si="83"/>
        <v/>
      </c>
      <c r="AF114" s="21" t="str">
        <f t="shared" si="84"/>
        <v/>
      </c>
    </row>
    <row r="115" spans="1:32" x14ac:dyDescent="0.3">
      <c r="A115" s="17"/>
      <c r="B115" s="18"/>
      <c r="C115" s="18"/>
      <c r="D115" s="18"/>
      <c r="E115" s="17"/>
      <c r="F115" s="19" t="str">
        <f t="shared" si="68"/>
        <v/>
      </c>
      <c r="G115" s="18"/>
      <c r="H115" s="20"/>
      <c r="I115" s="18"/>
      <c r="J115" s="19" t="str">
        <f t="shared" si="69"/>
        <v/>
      </c>
      <c r="K115" s="20"/>
      <c r="L115" s="18"/>
      <c r="M115" s="18"/>
      <c r="N115" s="18"/>
      <c r="O115" s="18"/>
      <c r="P115" s="21" t="str">
        <f t="shared" si="70"/>
        <v/>
      </c>
      <c r="Q115" s="21" t="str">
        <f t="shared" si="71"/>
        <v/>
      </c>
      <c r="R115" s="22" t="str">
        <f t="shared" si="72"/>
        <v/>
      </c>
      <c r="S115" s="21" t="str">
        <f t="shared" si="73"/>
        <v/>
      </c>
      <c r="T115" s="21" t="str">
        <f t="shared" si="74"/>
        <v/>
      </c>
      <c r="U115" s="19" t="str">
        <f t="shared" si="75"/>
        <v/>
      </c>
      <c r="V115" s="19" t="str">
        <f>IF($A115="","",IF(OR($U115="CONCLUÍDO",$U115="CANCELADO"),"—",IF($U115="BLOQUEADO",IF($N115="","BLOQUEADO SEM MOTIVO INFORMADO",$N115),IF($U115="SEM DATA DE ETAPA","INFORMAR A DATA DE INÍCIO DA ETAPA",IF($T115&gt;0,"SLA DA ETAPA "&amp;$I115&amp;" EXCEDIDO EM "&amp;$T115&amp;" DIA(S)",IF($AB115&gt;0,"DIVERGÊNCIA QUANTITATIVA EM "&amp;$AB115&amp;" ITEM(NS)",IF($S115&gt;SLA_Total,"PRAZO TOTAL ACIMA DE "&amp;SLA_Total&amp;" DIAS","FLUXO REGULAR")))))))</f>
        <v/>
      </c>
      <c r="W115" s="21" t="str">
        <f t="shared" si="76"/>
        <v/>
      </c>
      <c r="X115" s="21" t="str">
        <f t="shared" si="77"/>
        <v/>
      </c>
      <c r="Y115" s="21" t="str">
        <f t="shared" si="78"/>
        <v/>
      </c>
      <c r="Z115" s="21" t="str">
        <f t="shared" si="79"/>
        <v/>
      </c>
      <c r="AA115" s="21" t="str">
        <f t="shared" si="80"/>
        <v/>
      </c>
      <c r="AB115" s="21" t="str">
        <f t="shared" si="81"/>
        <v/>
      </c>
      <c r="AC115" s="21" t="str">
        <f t="shared" si="82"/>
        <v/>
      </c>
      <c r="AD115" s="21" t="str">
        <f>IF($A115="","",IF(OR($L115="CONCLUÍDO",$L115="CANCELADO"),"",IF(AND(OR(Filtro_Unid="(TODAS AS UNIDADES)",$C115=Filtro_Unid),OR(Filtro_Proj="(TODOS OS PROJETOS)",$AE115=Filtro_Proj)),MAX($AD$4:AD114)+1,"")))</f>
        <v/>
      </c>
      <c r="AE115" s="19" t="str">
        <f t="shared" si="83"/>
        <v/>
      </c>
      <c r="AF115" s="21" t="str">
        <f t="shared" si="84"/>
        <v/>
      </c>
    </row>
    <row r="116" spans="1:32" x14ac:dyDescent="0.3">
      <c r="A116" s="17"/>
      <c r="B116" s="18"/>
      <c r="C116" s="18"/>
      <c r="D116" s="18"/>
      <c r="E116" s="17"/>
      <c r="F116" s="19" t="str">
        <f t="shared" si="68"/>
        <v/>
      </c>
      <c r="G116" s="18"/>
      <c r="H116" s="20"/>
      <c r="I116" s="18"/>
      <c r="J116" s="19" t="str">
        <f t="shared" si="69"/>
        <v/>
      </c>
      <c r="K116" s="20"/>
      <c r="L116" s="18"/>
      <c r="M116" s="18"/>
      <c r="N116" s="18"/>
      <c r="O116" s="18"/>
      <c r="P116" s="21" t="str">
        <f t="shared" si="70"/>
        <v/>
      </c>
      <c r="Q116" s="21" t="str">
        <f t="shared" si="71"/>
        <v/>
      </c>
      <c r="R116" s="22" t="str">
        <f t="shared" si="72"/>
        <v/>
      </c>
      <c r="S116" s="21" t="str">
        <f t="shared" si="73"/>
        <v/>
      </c>
      <c r="T116" s="21" t="str">
        <f t="shared" si="74"/>
        <v/>
      </c>
      <c r="U116" s="19" t="str">
        <f t="shared" si="75"/>
        <v/>
      </c>
      <c r="V116" s="19" t="str">
        <f>IF($A116="","",IF(OR($U116="CONCLUÍDO",$U116="CANCELADO"),"—",IF($U116="BLOQUEADO",IF($N116="","BLOQUEADO SEM MOTIVO INFORMADO",$N116),IF($U116="SEM DATA DE ETAPA","INFORMAR A DATA DE INÍCIO DA ETAPA",IF($T116&gt;0,"SLA DA ETAPA "&amp;$I116&amp;" EXCEDIDO EM "&amp;$T116&amp;" DIA(S)",IF($AB116&gt;0,"DIVERGÊNCIA QUANTITATIVA EM "&amp;$AB116&amp;" ITEM(NS)",IF($S116&gt;SLA_Total,"PRAZO TOTAL ACIMA DE "&amp;SLA_Total&amp;" DIAS","FLUXO REGULAR")))))))</f>
        <v/>
      </c>
      <c r="W116" s="21" t="str">
        <f t="shared" si="76"/>
        <v/>
      </c>
      <c r="X116" s="21" t="str">
        <f t="shared" si="77"/>
        <v/>
      </c>
      <c r="Y116" s="21" t="str">
        <f t="shared" si="78"/>
        <v/>
      </c>
      <c r="Z116" s="21" t="str">
        <f t="shared" si="79"/>
        <v/>
      </c>
      <c r="AA116" s="21" t="str">
        <f t="shared" si="80"/>
        <v/>
      </c>
      <c r="AB116" s="21" t="str">
        <f t="shared" si="81"/>
        <v/>
      </c>
      <c r="AC116" s="21" t="str">
        <f t="shared" si="82"/>
        <v/>
      </c>
      <c r="AD116" s="21" t="str">
        <f>IF($A116="","",IF(OR($L116="CONCLUÍDO",$L116="CANCELADO"),"",IF(AND(OR(Filtro_Unid="(TODAS AS UNIDADES)",$C116=Filtro_Unid),OR(Filtro_Proj="(TODOS OS PROJETOS)",$AE116=Filtro_Proj)),MAX($AD$4:AD115)+1,"")))</f>
        <v/>
      </c>
      <c r="AE116" s="19" t="str">
        <f t="shared" si="83"/>
        <v/>
      </c>
      <c r="AF116" s="21" t="str">
        <f t="shared" si="84"/>
        <v/>
      </c>
    </row>
    <row r="117" spans="1:32" x14ac:dyDescent="0.3">
      <c r="A117" s="17"/>
      <c r="B117" s="18"/>
      <c r="C117" s="18"/>
      <c r="D117" s="18"/>
      <c r="E117" s="17"/>
      <c r="F117" s="19" t="str">
        <f t="shared" si="68"/>
        <v/>
      </c>
      <c r="G117" s="18"/>
      <c r="H117" s="20"/>
      <c r="I117" s="18"/>
      <c r="J117" s="19" t="str">
        <f t="shared" si="69"/>
        <v/>
      </c>
      <c r="K117" s="20"/>
      <c r="L117" s="18"/>
      <c r="M117" s="18"/>
      <c r="N117" s="18"/>
      <c r="O117" s="18"/>
      <c r="P117" s="21" t="str">
        <f t="shared" si="70"/>
        <v/>
      </c>
      <c r="Q117" s="21" t="str">
        <f t="shared" si="71"/>
        <v/>
      </c>
      <c r="R117" s="22" t="str">
        <f t="shared" si="72"/>
        <v/>
      </c>
      <c r="S117" s="21" t="str">
        <f t="shared" si="73"/>
        <v/>
      </c>
      <c r="T117" s="21" t="str">
        <f t="shared" si="74"/>
        <v/>
      </c>
      <c r="U117" s="19" t="str">
        <f t="shared" si="75"/>
        <v/>
      </c>
      <c r="V117" s="19" t="str">
        <f>IF($A117="","",IF(OR($U117="CONCLUÍDO",$U117="CANCELADO"),"—",IF($U117="BLOQUEADO",IF($N117="","BLOQUEADO SEM MOTIVO INFORMADO",$N117),IF($U117="SEM DATA DE ETAPA","INFORMAR A DATA DE INÍCIO DA ETAPA",IF($T117&gt;0,"SLA DA ETAPA "&amp;$I117&amp;" EXCEDIDO EM "&amp;$T117&amp;" DIA(S)",IF($AB117&gt;0,"DIVERGÊNCIA QUANTITATIVA EM "&amp;$AB117&amp;" ITEM(NS)",IF($S117&gt;SLA_Total,"PRAZO TOTAL ACIMA DE "&amp;SLA_Total&amp;" DIAS","FLUXO REGULAR")))))))</f>
        <v/>
      </c>
      <c r="W117" s="21" t="str">
        <f t="shared" si="76"/>
        <v/>
      </c>
      <c r="X117" s="21" t="str">
        <f t="shared" si="77"/>
        <v/>
      </c>
      <c r="Y117" s="21" t="str">
        <f t="shared" si="78"/>
        <v/>
      </c>
      <c r="Z117" s="21" t="str">
        <f t="shared" si="79"/>
        <v/>
      </c>
      <c r="AA117" s="21" t="str">
        <f t="shared" si="80"/>
        <v/>
      </c>
      <c r="AB117" s="21" t="str">
        <f t="shared" si="81"/>
        <v/>
      </c>
      <c r="AC117" s="21" t="str">
        <f t="shared" si="82"/>
        <v/>
      </c>
      <c r="AD117" s="21" t="str">
        <f>IF($A117="","",IF(OR($L117="CONCLUÍDO",$L117="CANCELADO"),"",IF(AND(OR(Filtro_Unid="(TODAS AS UNIDADES)",$C117=Filtro_Unid),OR(Filtro_Proj="(TODOS OS PROJETOS)",$AE117=Filtro_Proj)),MAX($AD$4:AD116)+1,"")))</f>
        <v/>
      </c>
      <c r="AE117" s="19" t="str">
        <f t="shared" si="83"/>
        <v/>
      </c>
      <c r="AF117" s="21" t="str">
        <f t="shared" si="84"/>
        <v/>
      </c>
    </row>
    <row r="118" spans="1:32" x14ac:dyDescent="0.3">
      <c r="A118" s="17"/>
      <c r="B118" s="18"/>
      <c r="C118" s="18"/>
      <c r="D118" s="18"/>
      <c r="E118" s="17"/>
      <c r="F118" s="19" t="str">
        <f t="shared" si="68"/>
        <v/>
      </c>
      <c r="G118" s="18"/>
      <c r="H118" s="20"/>
      <c r="I118" s="18"/>
      <c r="J118" s="19" t="str">
        <f t="shared" si="69"/>
        <v/>
      </c>
      <c r="K118" s="20"/>
      <c r="L118" s="18"/>
      <c r="M118" s="18"/>
      <c r="N118" s="18"/>
      <c r="O118" s="18"/>
      <c r="P118" s="21" t="str">
        <f t="shared" si="70"/>
        <v/>
      </c>
      <c r="Q118" s="21" t="str">
        <f t="shared" si="71"/>
        <v/>
      </c>
      <c r="R118" s="22" t="str">
        <f t="shared" si="72"/>
        <v/>
      </c>
      <c r="S118" s="21" t="str">
        <f t="shared" si="73"/>
        <v/>
      </c>
      <c r="T118" s="21" t="str">
        <f t="shared" si="74"/>
        <v/>
      </c>
      <c r="U118" s="19" t="str">
        <f t="shared" si="75"/>
        <v/>
      </c>
      <c r="V118" s="19" t="str">
        <f>IF($A118="","",IF(OR($U118="CONCLUÍDO",$U118="CANCELADO"),"—",IF($U118="BLOQUEADO",IF($N118="","BLOQUEADO SEM MOTIVO INFORMADO",$N118),IF($U118="SEM DATA DE ETAPA","INFORMAR A DATA DE INÍCIO DA ETAPA",IF($T118&gt;0,"SLA DA ETAPA "&amp;$I118&amp;" EXCEDIDO EM "&amp;$T118&amp;" DIA(S)",IF($AB118&gt;0,"DIVERGÊNCIA QUANTITATIVA EM "&amp;$AB118&amp;" ITEM(NS)",IF($S118&gt;SLA_Total,"PRAZO TOTAL ACIMA DE "&amp;SLA_Total&amp;" DIAS","FLUXO REGULAR")))))))</f>
        <v/>
      </c>
      <c r="W118" s="21" t="str">
        <f t="shared" si="76"/>
        <v/>
      </c>
      <c r="X118" s="21" t="str">
        <f t="shared" si="77"/>
        <v/>
      </c>
      <c r="Y118" s="21" t="str">
        <f t="shared" si="78"/>
        <v/>
      </c>
      <c r="Z118" s="21" t="str">
        <f t="shared" si="79"/>
        <v/>
      </c>
      <c r="AA118" s="21" t="str">
        <f t="shared" si="80"/>
        <v/>
      </c>
      <c r="AB118" s="21" t="str">
        <f t="shared" si="81"/>
        <v/>
      </c>
      <c r="AC118" s="21" t="str">
        <f t="shared" si="82"/>
        <v/>
      </c>
      <c r="AD118" s="21" t="str">
        <f>IF($A118="","",IF(OR($L118="CONCLUÍDO",$L118="CANCELADO"),"",IF(AND(OR(Filtro_Unid="(TODAS AS UNIDADES)",$C118=Filtro_Unid),OR(Filtro_Proj="(TODOS OS PROJETOS)",$AE118=Filtro_Proj)),MAX($AD$4:AD117)+1,"")))</f>
        <v/>
      </c>
      <c r="AE118" s="19" t="str">
        <f t="shared" si="83"/>
        <v/>
      </c>
      <c r="AF118" s="21" t="str">
        <f t="shared" si="84"/>
        <v/>
      </c>
    </row>
    <row r="119" spans="1:32" x14ac:dyDescent="0.3">
      <c r="A119" s="17"/>
      <c r="B119" s="18"/>
      <c r="C119" s="18"/>
      <c r="D119" s="18"/>
      <c r="E119" s="17"/>
      <c r="F119" s="19" t="str">
        <f t="shared" si="68"/>
        <v/>
      </c>
      <c r="G119" s="18"/>
      <c r="H119" s="20"/>
      <c r="I119" s="18"/>
      <c r="J119" s="19" t="str">
        <f t="shared" si="69"/>
        <v/>
      </c>
      <c r="K119" s="20"/>
      <c r="L119" s="18"/>
      <c r="M119" s="18"/>
      <c r="N119" s="18"/>
      <c r="O119" s="18"/>
      <c r="P119" s="21" t="str">
        <f t="shared" si="70"/>
        <v/>
      </c>
      <c r="Q119" s="21" t="str">
        <f t="shared" si="71"/>
        <v/>
      </c>
      <c r="R119" s="22" t="str">
        <f t="shared" si="72"/>
        <v/>
      </c>
      <c r="S119" s="21" t="str">
        <f t="shared" si="73"/>
        <v/>
      </c>
      <c r="T119" s="21" t="str">
        <f t="shared" si="74"/>
        <v/>
      </c>
      <c r="U119" s="19" t="str">
        <f t="shared" si="75"/>
        <v/>
      </c>
      <c r="V119" s="19" t="str">
        <f>IF($A119="","",IF(OR($U119="CONCLUÍDO",$U119="CANCELADO"),"—",IF($U119="BLOQUEADO",IF($N119="","BLOQUEADO SEM MOTIVO INFORMADO",$N119),IF($U119="SEM DATA DE ETAPA","INFORMAR A DATA DE INÍCIO DA ETAPA",IF($T119&gt;0,"SLA DA ETAPA "&amp;$I119&amp;" EXCEDIDO EM "&amp;$T119&amp;" DIA(S)",IF($AB119&gt;0,"DIVERGÊNCIA QUANTITATIVA EM "&amp;$AB119&amp;" ITEM(NS)",IF($S119&gt;SLA_Total,"PRAZO TOTAL ACIMA DE "&amp;SLA_Total&amp;" DIAS","FLUXO REGULAR")))))))</f>
        <v/>
      </c>
      <c r="W119" s="21" t="str">
        <f t="shared" si="76"/>
        <v/>
      </c>
      <c r="X119" s="21" t="str">
        <f t="shared" si="77"/>
        <v/>
      </c>
      <c r="Y119" s="21" t="str">
        <f t="shared" si="78"/>
        <v/>
      </c>
      <c r="Z119" s="21" t="str">
        <f t="shared" si="79"/>
        <v/>
      </c>
      <c r="AA119" s="21" t="str">
        <f t="shared" si="80"/>
        <v/>
      </c>
      <c r="AB119" s="21" t="str">
        <f t="shared" si="81"/>
        <v/>
      </c>
      <c r="AC119" s="21" t="str">
        <f t="shared" si="82"/>
        <v/>
      </c>
      <c r="AD119" s="21" t="str">
        <f>IF($A119="","",IF(OR($L119="CONCLUÍDO",$L119="CANCELADO"),"",IF(AND(OR(Filtro_Unid="(TODAS AS UNIDADES)",$C119=Filtro_Unid),OR(Filtro_Proj="(TODOS OS PROJETOS)",$AE119=Filtro_Proj)),MAX($AD$4:AD118)+1,"")))</f>
        <v/>
      </c>
      <c r="AE119" s="19" t="str">
        <f t="shared" si="83"/>
        <v/>
      </c>
      <c r="AF119" s="21" t="str">
        <f t="shared" si="84"/>
        <v/>
      </c>
    </row>
    <row r="120" spans="1:32" x14ac:dyDescent="0.3">
      <c r="A120" s="17"/>
      <c r="B120" s="18"/>
      <c r="C120" s="18"/>
      <c r="D120" s="18"/>
      <c r="E120" s="17"/>
      <c r="F120" s="19" t="str">
        <f t="shared" si="68"/>
        <v/>
      </c>
      <c r="G120" s="18"/>
      <c r="H120" s="20"/>
      <c r="I120" s="18"/>
      <c r="J120" s="19" t="str">
        <f t="shared" si="69"/>
        <v/>
      </c>
      <c r="K120" s="20"/>
      <c r="L120" s="18"/>
      <c r="M120" s="18"/>
      <c r="N120" s="18"/>
      <c r="O120" s="18"/>
      <c r="P120" s="21" t="str">
        <f t="shared" si="70"/>
        <v/>
      </c>
      <c r="Q120" s="21" t="str">
        <f t="shared" si="71"/>
        <v/>
      </c>
      <c r="R120" s="22" t="str">
        <f t="shared" si="72"/>
        <v/>
      </c>
      <c r="S120" s="21" t="str">
        <f t="shared" si="73"/>
        <v/>
      </c>
      <c r="T120" s="21" t="str">
        <f t="shared" si="74"/>
        <v/>
      </c>
      <c r="U120" s="19" t="str">
        <f t="shared" si="75"/>
        <v/>
      </c>
      <c r="V120" s="19" t="str">
        <f>IF($A120="","",IF(OR($U120="CONCLUÍDO",$U120="CANCELADO"),"—",IF($U120="BLOQUEADO",IF($N120="","BLOQUEADO SEM MOTIVO INFORMADO",$N120),IF($U120="SEM DATA DE ETAPA","INFORMAR A DATA DE INÍCIO DA ETAPA",IF($T120&gt;0,"SLA DA ETAPA "&amp;$I120&amp;" EXCEDIDO EM "&amp;$T120&amp;" DIA(S)",IF($AB120&gt;0,"DIVERGÊNCIA QUANTITATIVA EM "&amp;$AB120&amp;" ITEM(NS)",IF($S120&gt;SLA_Total,"PRAZO TOTAL ACIMA DE "&amp;SLA_Total&amp;" DIAS","FLUXO REGULAR")))))))</f>
        <v/>
      </c>
      <c r="W120" s="21" t="str">
        <f t="shared" si="76"/>
        <v/>
      </c>
      <c r="X120" s="21" t="str">
        <f t="shared" si="77"/>
        <v/>
      </c>
      <c r="Y120" s="21" t="str">
        <f t="shared" si="78"/>
        <v/>
      </c>
      <c r="Z120" s="21" t="str">
        <f t="shared" si="79"/>
        <v/>
      </c>
      <c r="AA120" s="21" t="str">
        <f t="shared" si="80"/>
        <v/>
      </c>
      <c r="AB120" s="21" t="str">
        <f t="shared" si="81"/>
        <v/>
      </c>
      <c r="AC120" s="21" t="str">
        <f t="shared" si="82"/>
        <v/>
      </c>
      <c r="AD120" s="21" t="str">
        <f>IF($A120="","",IF(OR($L120="CONCLUÍDO",$L120="CANCELADO"),"",IF(AND(OR(Filtro_Unid="(TODAS AS UNIDADES)",$C120=Filtro_Unid),OR(Filtro_Proj="(TODOS OS PROJETOS)",$AE120=Filtro_Proj)),MAX($AD$4:AD119)+1,"")))</f>
        <v/>
      </c>
      <c r="AE120" s="19" t="str">
        <f t="shared" si="83"/>
        <v/>
      </c>
      <c r="AF120" s="21" t="str">
        <f t="shared" si="84"/>
        <v/>
      </c>
    </row>
    <row r="121" spans="1:32" x14ac:dyDescent="0.3">
      <c r="A121" s="17"/>
      <c r="B121" s="18"/>
      <c r="C121" s="18"/>
      <c r="D121" s="18"/>
      <c r="E121" s="17"/>
      <c r="F121" s="19" t="str">
        <f t="shared" si="68"/>
        <v/>
      </c>
      <c r="G121" s="18"/>
      <c r="H121" s="20"/>
      <c r="I121" s="18"/>
      <c r="J121" s="19" t="str">
        <f t="shared" si="69"/>
        <v/>
      </c>
      <c r="K121" s="20"/>
      <c r="L121" s="18"/>
      <c r="M121" s="18"/>
      <c r="N121" s="18"/>
      <c r="O121" s="18"/>
      <c r="P121" s="21" t="str">
        <f t="shared" si="70"/>
        <v/>
      </c>
      <c r="Q121" s="21" t="str">
        <f t="shared" si="71"/>
        <v/>
      </c>
      <c r="R121" s="22" t="str">
        <f t="shared" si="72"/>
        <v/>
      </c>
      <c r="S121" s="21" t="str">
        <f t="shared" si="73"/>
        <v/>
      </c>
      <c r="T121" s="21" t="str">
        <f t="shared" si="74"/>
        <v/>
      </c>
      <c r="U121" s="19" t="str">
        <f t="shared" si="75"/>
        <v/>
      </c>
      <c r="V121" s="19" t="str">
        <f>IF($A121="","",IF(OR($U121="CONCLUÍDO",$U121="CANCELADO"),"—",IF($U121="BLOQUEADO",IF($N121="","BLOQUEADO SEM MOTIVO INFORMADO",$N121),IF($U121="SEM DATA DE ETAPA","INFORMAR A DATA DE INÍCIO DA ETAPA",IF($T121&gt;0,"SLA DA ETAPA "&amp;$I121&amp;" EXCEDIDO EM "&amp;$T121&amp;" DIA(S)",IF($AB121&gt;0,"DIVERGÊNCIA QUANTITATIVA EM "&amp;$AB121&amp;" ITEM(NS)",IF($S121&gt;SLA_Total,"PRAZO TOTAL ACIMA DE "&amp;SLA_Total&amp;" DIAS","FLUXO REGULAR")))))))</f>
        <v/>
      </c>
      <c r="W121" s="21" t="str">
        <f t="shared" si="76"/>
        <v/>
      </c>
      <c r="X121" s="21" t="str">
        <f t="shared" si="77"/>
        <v/>
      </c>
      <c r="Y121" s="21" t="str">
        <f t="shared" si="78"/>
        <v/>
      </c>
      <c r="Z121" s="21" t="str">
        <f t="shared" si="79"/>
        <v/>
      </c>
      <c r="AA121" s="21" t="str">
        <f t="shared" si="80"/>
        <v/>
      </c>
      <c r="AB121" s="21" t="str">
        <f t="shared" si="81"/>
        <v/>
      </c>
      <c r="AC121" s="21" t="str">
        <f t="shared" si="82"/>
        <v/>
      </c>
      <c r="AD121" s="21" t="str">
        <f>IF($A121="","",IF(OR($L121="CONCLUÍDO",$L121="CANCELADO"),"",IF(AND(OR(Filtro_Unid="(TODAS AS UNIDADES)",$C121=Filtro_Unid),OR(Filtro_Proj="(TODOS OS PROJETOS)",$AE121=Filtro_Proj)),MAX($AD$4:AD120)+1,"")))</f>
        <v/>
      </c>
      <c r="AE121" s="19" t="str">
        <f t="shared" si="83"/>
        <v/>
      </c>
      <c r="AF121" s="21" t="str">
        <f t="shared" si="84"/>
        <v/>
      </c>
    </row>
    <row r="122" spans="1:32" x14ac:dyDescent="0.3">
      <c r="A122" s="17"/>
      <c r="B122" s="18"/>
      <c r="C122" s="18"/>
      <c r="D122" s="18"/>
      <c r="E122" s="17"/>
      <c r="F122" s="19" t="str">
        <f t="shared" si="68"/>
        <v/>
      </c>
      <c r="G122" s="18"/>
      <c r="H122" s="20"/>
      <c r="I122" s="18"/>
      <c r="J122" s="19" t="str">
        <f t="shared" si="69"/>
        <v/>
      </c>
      <c r="K122" s="20"/>
      <c r="L122" s="18"/>
      <c r="M122" s="18"/>
      <c r="N122" s="18"/>
      <c r="O122" s="18"/>
      <c r="P122" s="21" t="str">
        <f t="shared" si="70"/>
        <v/>
      </c>
      <c r="Q122" s="21" t="str">
        <f t="shared" si="71"/>
        <v/>
      </c>
      <c r="R122" s="22" t="str">
        <f t="shared" si="72"/>
        <v/>
      </c>
      <c r="S122" s="21" t="str">
        <f t="shared" si="73"/>
        <v/>
      </c>
      <c r="T122" s="21" t="str">
        <f t="shared" si="74"/>
        <v/>
      </c>
      <c r="U122" s="19" t="str">
        <f t="shared" si="75"/>
        <v/>
      </c>
      <c r="V122" s="19" t="str">
        <f>IF($A122="","",IF(OR($U122="CONCLUÍDO",$U122="CANCELADO"),"—",IF($U122="BLOQUEADO",IF($N122="","BLOQUEADO SEM MOTIVO INFORMADO",$N122),IF($U122="SEM DATA DE ETAPA","INFORMAR A DATA DE INÍCIO DA ETAPA",IF($T122&gt;0,"SLA DA ETAPA "&amp;$I122&amp;" EXCEDIDO EM "&amp;$T122&amp;" DIA(S)",IF($AB122&gt;0,"DIVERGÊNCIA QUANTITATIVA EM "&amp;$AB122&amp;" ITEM(NS)",IF($S122&gt;SLA_Total,"PRAZO TOTAL ACIMA DE "&amp;SLA_Total&amp;" DIAS","FLUXO REGULAR")))))))</f>
        <v/>
      </c>
      <c r="W122" s="21" t="str">
        <f t="shared" si="76"/>
        <v/>
      </c>
      <c r="X122" s="21" t="str">
        <f t="shared" si="77"/>
        <v/>
      </c>
      <c r="Y122" s="21" t="str">
        <f t="shared" si="78"/>
        <v/>
      </c>
      <c r="Z122" s="21" t="str">
        <f t="shared" si="79"/>
        <v/>
      </c>
      <c r="AA122" s="21" t="str">
        <f t="shared" si="80"/>
        <v/>
      </c>
      <c r="AB122" s="21" t="str">
        <f t="shared" si="81"/>
        <v/>
      </c>
      <c r="AC122" s="21" t="str">
        <f t="shared" si="82"/>
        <v/>
      </c>
      <c r="AD122" s="21" t="str">
        <f>IF($A122="","",IF(OR($L122="CONCLUÍDO",$L122="CANCELADO"),"",IF(AND(OR(Filtro_Unid="(TODAS AS UNIDADES)",$C122=Filtro_Unid),OR(Filtro_Proj="(TODOS OS PROJETOS)",$AE122=Filtro_Proj)),MAX($AD$4:AD121)+1,"")))</f>
        <v/>
      </c>
      <c r="AE122" s="19" t="str">
        <f t="shared" si="83"/>
        <v/>
      </c>
      <c r="AF122" s="21" t="str">
        <f t="shared" si="84"/>
        <v/>
      </c>
    </row>
    <row r="123" spans="1:32" x14ac:dyDescent="0.3">
      <c r="A123" s="17"/>
      <c r="B123" s="18"/>
      <c r="C123" s="18"/>
      <c r="D123" s="18"/>
      <c r="E123" s="17"/>
      <c r="F123" s="19" t="str">
        <f t="shared" si="68"/>
        <v/>
      </c>
      <c r="G123" s="18"/>
      <c r="H123" s="20"/>
      <c r="I123" s="18"/>
      <c r="J123" s="19" t="str">
        <f t="shared" si="69"/>
        <v/>
      </c>
      <c r="K123" s="20"/>
      <c r="L123" s="18"/>
      <c r="M123" s="18"/>
      <c r="N123" s="18"/>
      <c r="O123" s="18"/>
      <c r="P123" s="21" t="str">
        <f t="shared" si="70"/>
        <v/>
      </c>
      <c r="Q123" s="21" t="str">
        <f t="shared" si="71"/>
        <v/>
      </c>
      <c r="R123" s="22" t="str">
        <f t="shared" si="72"/>
        <v/>
      </c>
      <c r="S123" s="21" t="str">
        <f t="shared" si="73"/>
        <v/>
      </c>
      <c r="T123" s="21" t="str">
        <f t="shared" si="74"/>
        <v/>
      </c>
      <c r="U123" s="19" t="str">
        <f t="shared" si="75"/>
        <v/>
      </c>
      <c r="V123" s="19" t="str">
        <f>IF($A123="","",IF(OR($U123="CONCLUÍDO",$U123="CANCELADO"),"—",IF($U123="BLOQUEADO",IF($N123="","BLOQUEADO SEM MOTIVO INFORMADO",$N123),IF($U123="SEM DATA DE ETAPA","INFORMAR A DATA DE INÍCIO DA ETAPA",IF($T123&gt;0,"SLA DA ETAPA "&amp;$I123&amp;" EXCEDIDO EM "&amp;$T123&amp;" DIA(S)",IF($AB123&gt;0,"DIVERGÊNCIA QUANTITATIVA EM "&amp;$AB123&amp;" ITEM(NS)",IF($S123&gt;SLA_Total,"PRAZO TOTAL ACIMA DE "&amp;SLA_Total&amp;" DIAS","FLUXO REGULAR")))))))</f>
        <v/>
      </c>
      <c r="W123" s="21" t="str">
        <f t="shared" si="76"/>
        <v/>
      </c>
      <c r="X123" s="21" t="str">
        <f t="shared" si="77"/>
        <v/>
      </c>
      <c r="Y123" s="21" t="str">
        <f t="shared" si="78"/>
        <v/>
      </c>
      <c r="Z123" s="21" t="str">
        <f t="shared" si="79"/>
        <v/>
      </c>
      <c r="AA123" s="21" t="str">
        <f t="shared" si="80"/>
        <v/>
      </c>
      <c r="AB123" s="21" t="str">
        <f t="shared" si="81"/>
        <v/>
      </c>
      <c r="AC123" s="21" t="str">
        <f t="shared" si="82"/>
        <v/>
      </c>
      <c r="AD123" s="21" t="str">
        <f>IF($A123="","",IF(OR($L123="CONCLUÍDO",$L123="CANCELADO"),"",IF(AND(OR(Filtro_Unid="(TODAS AS UNIDADES)",$C123=Filtro_Unid),OR(Filtro_Proj="(TODOS OS PROJETOS)",$AE123=Filtro_Proj)),MAX($AD$4:AD122)+1,"")))</f>
        <v/>
      </c>
      <c r="AE123" s="19" t="str">
        <f t="shared" si="83"/>
        <v/>
      </c>
      <c r="AF123" s="21" t="str">
        <f t="shared" si="84"/>
        <v/>
      </c>
    </row>
    <row r="124" spans="1:32" x14ac:dyDescent="0.3">
      <c r="A124" s="17"/>
      <c r="B124" s="18"/>
      <c r="C124" s="18"/>
      <c r="D124" s="18"/>
      <c r="E124" s="17"/>
      <c r="F124" s="19" t="str">
        <f t="shared" si="68"/>
        <v/>
      </c>
      <c r="G124" s="18"/>
      <c r="H124" s="20"/>
      <c r="I124" s="18"/>
      <c r="J124" s="19" t="str">
        <f t="shared" si="69"/>
        <v/>
      </c>
      <c r="K124" s="20"/>
      <c r="L124" s="18"/>
      <c r="M124" s="18"/>
      <c r="N124" s="18"/>
      <c r="O124" s="18"/>
      <c r="P124" s="21" t="str">
        <f t="shared" si="70"/>
        <v/>
      </c>
      <c r="Q124" s="21" t="str">
        <f t="shared" si="71"/>
        <v/>
      </c>
      <c r="R124" s="22" t="str">
        <f t="shared" si="72"/>
        <v/>
      </c>
      <c r="S124" s="21" t="str">
        <f t="shared" si="73"/>
        <v/>
      </c>
      <c r="T124" s="21" t="str">
        <f t="shared" si="74"/>
        <v/>
      </c>
      <c r="U124" s="19" t="str">
        <f t="shared" si="75"/>
        <v/>
      </c>
      <c r="V124" s="19" t="str">
        <f>IF($A124="","",IF(OR($U124="CONCLUÍDO",$U124="CANCELADO"),"—",IF($U124="BLOQUEADO",IF($N124="","BLOQUEADO SEM MOTIVO INFORMADO",$N124),IF($U124="SEM DATA DE ETAPA","INFORMAR A DATA DE INÍCIO DA ETAPA",IF($T124&gt;0,"SLA DA ETAPA "&amp;$I124&amp;" EXCEDIDO EM "&amp;$T124&amp;" DIA(S)",IF($AB124&gt;0,"DIVERGÊNCIA QUANTITATIVA EM "&amp;$AB124&amp;" ITEM(NS)",IF($S124&gt;SLA_Total,"PRAZO TOTAL ACIMA DE "&amp;SLA_Total&amp;" DIAS","FLUXO REGULAR")))))))</f>
        <v/>
      </c>
      <c r="W124" s="21" t="str">
        <f t="shared" si="76"/>
        <v/>
      </c>
      <c r="X124" s="21" t="str">
        <f t="shared" si="77"/>
        <v/>
      </c>
      <c r="Y124" s="21" t="str">
        <f t="shared" si="78"/>
        <v/>
      </c>
      <c r="Z124" s="21" t="str">
        <f t="shared" si="79"/>
        <v/>
      </c>
      <c r="AA124" s="21" t="str">
        <f t="shared" si="80"/>
        <v/>
      </c>
      <c r="AB124" s="21" t="str">
        <f t="shared" si="81"/>
        <v/>
      </c>
      <c r="AC124" s="21" t="str">
        <f t="shared" si="82"/>
        <v/>
      </c>
      <c r="AD124" s="21" t="str">
        <f>IF($A124="","",IF(OR($L124="CONCLUÍDO",$L124="CANCELADO"),"",IF(AND(OR(Filtro_Unid="(TODAS AS UNIDADES)",$C124=Filtro_Unid),OR(Filtro_Proj="(TODOS OS PROJETOS)",$AE124=Filtro_Proj)),MAX($AD$4:AD123)+1,"")))</f>
        <v/>
      </c>
      <c r="AE124" s="19" t="str">
        <f t="shared" si="83"/>
        <v/>
      </c>
      <c r="AF124" s="21" t="str">
        <f t="shared" si="84"/>
        <v/>
      </c>
    </row>
    <row r="125" spans="1:32" x14ac:dyDescent="0.3">
      <c r="A125" s="17"/>
      <c r="B125" s="18"/>
      <c r="C125" s="18"/>
      <c r="D125" s="18"/>
      <c r="E125" s="17"/>
      <c r="F125" s="19" t="str">
        <f t="shared" si="68"/>
        <v/>
      </c>
      <c r="G125" s="18"/>
      <c r="H125" s="20"/>
      <c r="I125" s="18"/>
      <c r="J125" s="19" t="str">
        <f t="shared" si="69"/>
        <v/>
      </c>
      <c r="K125" s="20"/>
      <c r="L125" s="18"/>
      <c r="M125" s="18"/>
      <c r="N125" s="18"/>
      <c r="O125" s="18"/>
      <c r="P125" s="21" t="str">
        <f t="shared" si="70"/>
        <v/>
      </c>
      <c r="Q125" s="21" t="str">
        <f t="shared" si="71"/>
        <v/>
      </c>
      <c r="R125" s="22" t="str">
        <f t="shared" si="72"/>
        <v/>
      </c>
      <c r="S125" s="21" t="str">
        <f t="shared" si="73"/>
        <v/>
      </c>
      <c r="T125" s="21" t="str">
        <f t="shared" si="74"/>
        <v/>
      </c>
      <c r="U125" s="19" t="str">
        <f t="shared" si="75"/>
        <v/>
      </c>
      <c r="V125" s="19" t="str">
        <f>IF($A125="","",IF(OR($U125="CONCLUÍDO",$U125="CANCELADO"),"—",IF($U125="BLOQUEADO",IF($N125="","BLOQUEADO SEM MOTIVO INFORMADO",$N125),IF($U125="SEM DATA DE ETAPA","INFORMAR A DATA DE INÍCIO DA ETAPA",IF($T125&gt;0,"SLA DA ETAPA "&amp;$I125&amp;" EXCEDIDO EM "&amp;$T125&amp;" DIA(S)",IF($AB125&gt;0,"DIVERGÊNCIA QUANTITATIVA EM "&amp;$AB125&amp;" ITEM(NS)",IF($S125&gt;SLA_Total,"PRAZO TOTAL ACIMA DE "&amp;SLA_Total&amp;" DIAS","FLUXO REGULAR")))))))</f>
        <v/>
      </c>
      <c r="W125" s="21" t="str">
        <f t="shared" si="76"/>
        <v/>
      </c>
      <c r="X125" s="21" t="str">
        <f t="shared" si="77"/>
        <v/>
      </c>
      <c r="Y125" s="21" t="str">
        <f t="shared" si="78"/>
        <v/>
      </c>
      <c r="Z125" s="21" t="str">
        <f t="shared" si="79"/>
        <v/>
      </c>
      <c r="AA125" s="21" t="str">
        <f t="shared" si="80"/>
        <v/>
      </c>
      <c r="AB125" s="21" t="str">
        <f t="shared" si="81"/>
        <v/>
      </c>
      <c r="AC125" s="21" t="str">
        <f t="shared" si="82"/>
        <v/>
      </c>
      <c r="AD125" s="21" t="str">
        <f>IF($A125="","",IF(OR($L125="CONCLUÍDO",$L125="CANCELADO"),"",IF(AND(OR(Filtro_Unid="(TODAS AS UNIDADES)",$C125=Filtro_Unid),OR(Filtro_Proj="(TODOS OS PROJETOS)",$AE125=Filtro_Proj)),MAX($AD$4:AD124)+1,"")))</f>
        <v/>
      </c>
      <c r="AE125" s="19" t="str">
        <f t="shared" si="83"/>
        <v/>
      </c>
      <c r="AF125" s="21" t="str">
        <f t="shared" si="84"/>
        <v/>
      </c>
    </row>
    <row r="126" spans="1:32" x14ac:dyDescent="0.3">
      <c r="A126" s="17"/>
      <c r="B126" s="18"/>
      <c r="C126" s="18"/>
      <c r="D126" s="18"/>
      <c r="E126" s="17"/>
      <c r="F126" s="19" t="str">
        <f t="shared" si="68"/>
        <v/>
      </c>
      <c r="G126" s="18"/>
      <c r="H126" s="20"/>
      <c r="I126" s="18"/>
      <c r="J126" s="19" t="str">
        <f t="shared" si="69"/>
        <v/>
      </c>
      <c r="K126" s="20"/>
      <c r="L126" s="18"/>
      <c r="M126" s="18"/>
      <c r="N126" s="18"/>
      <c r="O126" s="18"/>
      <c r="P126" s="21" t="str">
        <f t="shared" si="70"/>
        <v/>
      </c>
      <c r="Q126" s="21" t="str">
        <f t="shared" si="71"/>
        <v/>
      </c>
      <c r="R126" s="22" t="str">
        <f t="shared" si="72"/>
        <v/>
      </c>
      <c r="S126" s="21" t="str">
        <f t="shared" si="73"/>
        <v/>
      </c>
      <c r="T126" s="21" t="str">
        <f t="shared" si="74"/>
        <v/>
      </c>
      <c r="U126" s="19" t="str">
        <f t="shared" si="75"/>
        <v/>
      </c>
      <c r="V126" s="19" t="str">
        <f>IF($A126="","",IF(OR($U126="CONCLUÍDO",$U126="CANCELADO"),"—",IF($U126="BLOQUEADO",IF($N126="","BLOQUEADO SEM MOTIVO INFORMADO",$N126),IF($U126="SEM DATA DE ETAPA","INFORMAR A DATA DE INÍCIO DA ETAPA",IF($T126&gt;0,"SLA DA ETAPA "&amp;$I126&amp;" EXCEDIDO EM "&amp;$T126&amp;" DIA(S)",IF($AB126&gt;0,"DIVERGÊNCIA QUANTITATIVA EM "&amp;$AB126&amp;" ITEM(NS)",IF($S126&gt;SLA_Total,"PRAZO TOTAL ACIMA DE "&amp;SLA_Total&amp;" DIAS","FLUXO REGULAR")))))))</f>
        <v/>
      </c>
      <c r="W126" s="21" t="str">
        <f t="shared" si="76"/>
        <v/>
      </c>
      <c r="X126" s="21" t="str">
        <f t="shared" si="77"/>
        <v/>
      </c>
      <c r="Y126" s="21" t="str">
        <f t="shared" si="78"/>
        <v/>
      </c>
      <c r="Z126" s="21" t="str">
        <f t="shared" si="79"/>
        <v/>
      </c>
      <c r="AA126" s="21" t="str">
        <f t="shared" si="80"/>
        <v/>
      </c>
      <c r="AB126" s="21" t="str">
        <f t="shared" si="81"/>
        <v/>
      </c>
      <c r="AC126" s="21" t="str">
        <f t="shared" si="82"/>
        <v/>
      </c>
      <c r="AD126" s="21" t="str">
        <f>IF($A126="","",IF(OR($L126="CONCLUÍDO",$L126="CANCELADO"),"",IF(AND(OR(Filtro_Unid="(TODAS AS UNIDADES)",$C126=Filtro_Unid),OR(Filtro_Proj="(TODOS OS PROJETOS)",$AE126=Filtro_Proj)),MAX($AD$4:AD125)+1,"")))</f>
        <v/>
      </c>
      <c r="AE126" s="19" t="str">
        <f t="shared" si="83"/>
        <v/>
      </c>
      <c r="AF126" s="21" t="str">
        <f t="shared" si="84"/>
        <v/>
      </c>
    </row>
    <row r="127" spans="1:32" x14ac:dyDescent="0.3">
      <c r="A127" s="17"/>
      <c r="B127" s="18"/>
      <c r="C127" s="18"/>
      <c r="D127" s="18"/>
      <c r="E127" s="17"/>
      <c r="F127" s="19" t="str">
        <f t="shared" si="68"/>
        <v/>
      </c>
      <c r="G127" s="18"/>
      <c r="H127" s="20"/>
      <c r="I127" s="18"/>
      <c r="J127" s="19" t="str">
        <f t="shared" si="69"/>
        <v/>
      </c>
      <c r="K127" s="20"/>
      <c r="L127" s="18"/>
      <c r="M127" s="18"/>
      <c r="N127" s="18"/>
      <c r="O127" s="18"/>
      <c r="P127" s="21" t="str">
        <f t="shared" si="70"/>
        <v/>
      </c>
      <c r="Q127" s="21" t="str">
        <f t="shared" si="71"/>
        <v/>
      </c>
      <c r="R127" s="22" t="str">
        <f t="shared" si="72"/>
        <v/>
      </c>
      <c r="S127" s="21" t="str">
        <f t="shared" si="73"/>
        <v/>
      </c>
      <c r="T127" s="21" t="str">
        <f t="shared" si="74"/>
        <v/>
      </c>
      <c r="U127" s="19" t="str">
        <f t="shared" si="75"/>
        <v/>
      </c>
      <c r="V127" s="19" t="str">
        <f>IF($A127="","",IF(OR($U127="CONCLUÍDO",$U127="CANCELADO"),"—",IF($U127="BLOQUEADO",IF($N127="","BLOQUEADO SEM MOTIVO INFORMADO",$N127),IF($U127="SEM DATA DE ETAPA","INFORMAR A DATA DE INÍCIO DA ETAPA",IF($T127&gt;0,"SLA DA ETAPA "&amp;$I127&amp;" EXCEDIDO EM "&amp;$T127&amp;" DIA(S)",IF($AB127&gt;0,"DIVERGÊNCIA QUANTITATIVA EM "&amp;$AB127&amp;" ITEM(NS)",IF($S127&gt;SLA_Total,"PRAZO TOTAL ACIMA DE "&amp;SLA_Total&amp;" DIAS","FLUXO REGULAR")))))))</f>
        <v/>
      </c>
      <c r="W127" s="21" t="str">
        <f t="shared" si="76"/>
        <v/>
      </c>
      <c r="X127" s="21" t="str">
        <f t="shared" si="77"/>
        <v/>
      </c>
      <c r="Y127" s="21" t="str">
        <f t="shared" si="78"/>
        <v/>
      </c>
      <c r="Z127" s="21" t="str">
        <f t="shared" si="79"/>
        <v/>
      </c>
      <c r="AA127" s="21" t="str">
        <f t="shared" si="80"/>
        <v/>
      </c>
      <c r="AB127" s="21" t="str">
        <f t="shared" si="81"/>
        <v/>
      </c>
      <c r="AC127" s="21" t="str">
        <f t="shared" si="82"/>
        <v/>
      </c>
      <c r="AD127" s="21" t="str">
        <f>IF($A127="","",IF(OR($L127="CONCLUÍDO",$L127="CANCELADO"),"",IF(AND(OR(Filtro_Unid="(TODAS AS UNIDADES)",$C127=Filtro_Unid),OR(Filtro_Proj="(TODOS OS PROJETOS)",$AE127=Filtro_Proj)),MAX($AD$4:AD126)+1,"")))</f>
        <v/>
      </c>
      <c r="AE127" s="19" t="str">
        <f t="shared" si="83"/>
        <v/>
      </c>
      <c r="AF127" s="21" t="str">
        <f t="shared" si="84"/>
        <v/>
      </c>
    </row>
    <row r="128" spans="1:32" x14ac:dyDescent="0.3">
      <c r="A128" s="17"/>
      <c r="B128" s="18"/>
      <c r="C128" s="18"/>
      <c r="D128" s="18"/>
      <c r="E128" s="17"/>
      <c r="F128" s="19" t="str">
        <f t="shared" si="68"/>
        <v/>
      </c>
      <c r="G128" s="18"/>
      <c r="H128" s="20"/>
      <c r="I128" s="18"/>
      <c r="J128" s="19" t="str">
        <f t="shared" si="69"/>
        <v/>
      </c>
      <c r="K128" s="20"/>
      <c r="L128" s="18"/>
      <c r="M128" s="18"/>
      <c r="N128" s="18"/>
      <c r="O128" s="18"/>
      <c r="P128" s="21" t="str">
        <f t="shared" si="70"/>
        <v/>
      </c>
      <c r="Q128" s="21" t="str">
        <f t="shared" si="71"/>
        <v/>
      </c>
      <c r="R128" s="22" t="str">
        <f t="shared" si="72"/>
        <v/>
      </c>
      <c r="S128" s="21" t="str">
        <f t="shared" si="73"/>
        <v/>
      </c>
      <c r="T128" s="21" t="str">
        <f t="shared" si="74"/>
        <v/>
      </c>
      <c r="U128" s="19" t="str">
        <f t="shared" si="75"/>
        <v/>
      </c>
      <c r="V128" s="19" t="str">
        <f>IF($A128="","",IF(OR($U128="CONCLUÍDO",$U128="CANCELADO"),"—",IF($U128="BLOQUEADO",IF($N128="","BLOQUEADO SEM MOTIVO INFORMADO",$N128),IF($U128="SEM DATA DE ETAPA","INFORMAR A DATA DE INÍCIO DA ETAPA",IF($T128&gt;0,"SLA DA ETAPA "&amp;$I128&amp;" EXCEDIDO EM "&amp;$T128&amp;" DIA(S)",IF($AB128&gt;0,"DIVERGÊNCIA QUANTITATIVA EM "&amp;$AB128&amp;" ITEM(NS)",IF($S128&gt;SLA_Total,"PRAZO TOTAL ACIMA DE "&amp;SLA_Total&amp;" DIAS","FLUXO REGULAR")))))))</f>
        <v/>
      </c>
      <c r="W128" s="21" t="str">
        <f t="shared" si="76"/>
        <v/>
      </c>
      <c r="X128" s="21" t="str">
        <f t="shared" si="77"/>
        <v/>
      </c>
      <c r="Y128" s="21" t="str">
        <f t="shared" si="78"/>
        <v/>
      </c>
      <c r="Z128" s="21" t="str">
        <f t="shared" si="79"/>
        <v/>
      </c>
      <c r="AA128" s="21" t="str">
        <f t="shared" si="80"/>
        <v/>
      </c>
      <c r="AB128" s="21" t="str">
        <f t="shared" si="81"/>
        <v/>
      </c>
      <c r="AC128" s="21" t="str">
        <f t="shared" si="82"/>
        <v/>
      </c>
      <c r="AD128" s="21" t="str">
        <f>IF($A128="","",IF(OR($L128="CONCLUÍDO",$L128="CANCELADO"),"",IF(AND(OR(Filtro_Unid="(TODAS AS UNIDADES)",$C128=Filtro_Unid),OR(Filtro_Proj="(TODOS OS PROJETOS)",$AE128=Filtro_Proj)),MAX($AD$4:AD127)+1,"")))</f>
        <v/>
      </c>
      <c r="AE128" s="19" t="str">
        <f t="shared" si="83"/>
        <v/>
      </c>
      <c r="AF128" s="21" t="str">
        <f t="shared" si="84"/>
        <v/>
      </c>
    </row>
    <row r="129" spans="1:32" x14ac:dyDescent="0.3">
      <c r="A129" s="17"/>
      <c r="B129" s="18"/>
      <c r="C129" s="18"/>
      <c r="D129" s="18"/>
      <c r="E129" s="17"/>
      <c r="F129" s="19" t="str">
        <f t="shared" si="68"/>
        <v/>
      </c>
      <c r="G129" s="18"/>
      <c r="H129" s="20"/>
      <c r="I129" s="18"/>
      <c r="J129" s="19" t="str">
        <f t="shared" si="69"/>
        <v/>
      </c>
      <c r="K129" s="20"/>
      <c r="L129" s="18"/>
      <c r="M129" s="18"/>
      <c r="N129" s="18"/>
      <c r="O129" s="18"/>
      <c r="P129" s="21" t="str">
        <f t="shared" si="70"/>
        <v/>
      </c>
      <c r="Q129" s="21" t="str">
        <f t="shared" si="71"/>
        <v/>
      </c>
      <c r="R129" s="22" t="str">
        <f t="shared" si="72"/>
        <v/>
      </c>
      <c r="S129" s="21" t="str">
        <f t="shared" si="73"/>
        <v/>
      </c>
      <c r="T129" s="21" t="str">
        <f t="shared" si="74"/>
        <v/>
      </c>
      <c r="U129" s="19" t="str">
        <f t="shared" si="75"/>
        <v/>
      </c>
      <c r="V129" s="19" t="str">
        <f>IF($A129="","",IF(OR($U129="CONCLUÍDO",$U129="CANCELADO"),"—",IF($U129="BLOQUEADO",IF($N129="","BLOQUEADO SEM MOTIVO INFORMADO",$N129),IF($U129="SEM DATA DE ETAPA","INFORMAR A DATA DE INÍCIO DA ETAPA",IF($T129&gt;0,"SLA DA ETAPA "&amp;$I129&amp;" EXCEDIDO EM "&amp;$T129&amp;" DIA(S)",IF($AB129&gt;0,"DIVERGÊNCIA QUANTITATIVA EM "&amp;$AB129&amp;" ITEM(NS)",IF($S129&gt;SLA_Total,"PRAZO TOTAL ACIMA DE "&amp;SLA_Total&amp;" DIAS","FLUXO REGULAR")))))))</f>
        <v/>
      </c>
      <c r="W129" s="21" t="str">
        <f t="shared" si="76"/>
        <v/>
      </c>
      <c r="X129" s="21" t="str">
        <f t="shared" si="77"/>
        <v/>
      </c>
      <c r="Y129" s="21" t="str">
        <f t="shared" si="78"/>
        <v/>
      </c>
      <c r="Z129" s="21" t="str">
        <f t="shared" si="79"/>
        <v/>
      </c>
      <c r="AA129" s="21" t="str">
        <f t="shared" si="80"/>
        <v/>
      </c>
      <c r="AB129" s="21" t="str">
        <f t="shared" si="81"/>
        <v/>
      </c>
      <c r="AC129" s="21" t="str">
        <f t="shared" si="82"/>
        <v/>
      </c>
      <c r="AD129" s="21" t="str">
        <f>IF($A129="","",IF(OR($L129="CONCLUÍDO",$L129="CANCELADO"),"",IF(AND(OR(Filtro_Unid="(TODAS AS UNIDADES)",$C129=Filtro_Unid),OR(Filtro_Proj="(TODOS OS PROJETOS)",$AE129=Filtro_Proj)),MAX($AD$4:AD128)+1,"")))</f>
        <v/>
      </c>
      <c r="AE129" s="19" t="str">
        <f t="shared" si="83"/>
        <v/>
      </c>
      <c r="AF129" s="21" t="str">
        <f t="shared" si="84"/>
        <v/>
      </c>
    </row>
    <row r="130" spans="1:32" x14ac:dyDescent="0.3">
      <c r="A130" s="17"/>
      <c r="B130" s="18"/>
      <c r="C130" s="18"/>
      <c r="D130" s="18"/>
      <c r="E130" s="17"/>
      <c r="F130" s="19" t="str">
        <f t="shared" si="68"/>
        <v/>
      </c>
      <c r="G130" s="18"/>
      <c r="H130" s="20"/>
      <c r="I130" s="18"/>
      <c r="J130" s="19" t="str">
        <f t="shared" si="69"/>
        <v/>
      </c>
      <c r="K130" s="20"/>
      <c r="L130" s="18"/>
      <c r="M130" s="18"/>
      <c r="N130" s="18"/>
      <c r="O130" s="18"/>
      <c r="P130" s="21" t="str">
        <f t="shared" si="70"/>
        <v/>
      </c>
      <c r="Q130" s="21" t="str">
        <f t="shared" si="71"/>
        <v/>
      </c>
      <c r="R130" s="22" t="str">
        <f t="shared" si="72"/>
        <v/>
      </c>
      <c r="S130" s="21" t="str">
        <f t="shared" si="73"/>
        <v/>
      </c>
      <c r="T130" s="21" t="str">
        <f t="shared" si="74"/>
        <v/>
      </c>
      <c r="U130" s="19" t="str">
        <f t="shared" si="75"/>
        <v/>
      </c>
      <c r="V130" s="19" t="str">
        <f>IF($A130="","",IF(OR($U130="CONCLUÍDO",$U130="CANCELADO"),"—",IF($U130="BLOQUEADO",IF($N130="","BLOQUEADO SEM MOTIVO INFORMADO",$N130),IF($U130="SEM DATA DE ETAPA","INFORMAR A DATA DE INÍCIO DA ETAPA",IF($T130&gt;0,"SLA DA ETAPA "&amp;$I130&amp;" EXCEDIDO EM "&amp;$T130&amp;" DIA(S)",IF($AB130&gt;0,"DIVERGÊNCIA QUANTITATIVA EM "&amp;$AB130&amp;" ITEM(NS)",IF($S130&gt;SLA_Total,"PRAZO TOTAL ACIMA DE "&amp;SLA_Total&amp;" DIAS","FLUXO REGULAR")))))))</f>
        <v/>
      </c>
      <c r="W130" s="21" t="str">
        <f t="shared" si="76"/>
        <v/>
      </c>
      <c r="X130" s="21" t="str">
        <f t="shared" si="77"/>
        <v/>
      </c>
      <c r="Y130" s="21" t="str">
        <f t="shared" si="78"/>
        <v/>
      </c>
      <c r="Z130" s="21" t="str">
        <f t="shared" si="79"/>
        <v/>
      </c>
      <c r="AA130" s="21" t="str">
        <f t="shared" si="80"/>
        <v/>
      </c>
      <c r="AB130" s="21" t="str">
        <f t="shared" si="81"/>
        <v/>
      </c>
      <c r="AC130" s="21" t="str">
        <f t="shared" si="82"/>
        <v/>
      </c>
      <c r="AD130" s="21" t="str">
        <f>IF($A130="","",IF(OR($L130="CONCLUÍDO",$L130="CANCELADO"),"",IF(AND(OR(Filtro_Unid="(TODAS AS UNIDADES)",$C130=Filtro_Unid),OR(Filtro_Proj="(TODOS OS PROJETOS)",$AE130=Filtro_Proj)),MAX($AD$4:AD129)+1,"")))</f>
        <v/>
      </c>
      <c r="AE130" s="19" t="str">
        <f t="shared" si="83"/>
        <v/>
      </c>
      <c r="AF130" s="21" t="str">
        <f t="shared" si="84"/>
        <v/>
      </c>
    </row>
    <row r="131" spans="1:32" x14ac:dyDescent="0.3">
      <c r="A131" s="17"/>
      <c r="B131" s="18"/>
      <c r="C131" s="18"/>
      <c r="D131" s="18"/>
      <c r="E131" s="17"/>
      <c r="F131" s="19" t="str">
        <f t="shared" ref="F131:F152" si="85">IF($E131="","",IFERROR(INDEX(Obj_Desc,MATCH($E131,Obj_Cod,0)),"CÓDIGO NÃO CADASTRADO"))</f>
        <v/>
      </c>
      <c r="G131" s="18"/>
      <c r="H131" s="20"/>
      <c r="I131" s="18"/>
      <c r="J131" s="19" t="str">
        <f t="shared" ref="J131:J152" si="86">IF($I131="","",IFERROR(INDEX(Etapa_Resp,MATCH($I131,Lista_Etapas,0)),"ETAPA NÃO CADASTRADA"))</f>
        <v/>
      </c>
      <c r="K131" s="20"/>
      <c r="L131" s="18"/>
      <c r="M131" s="18"/>
      <c r="N131" s="18"/>
      <c r="O131" s="18"/>
      <c r="P131" s="21" t="str">
        <f t="shared" ref="P131:P152" si="87">IF($I131="","",IFERROR(INDEX(Etapa_SLA,MATCH($I131,Lista_Etapas,0)),""))</f>
        <v/>
      </c>
      <c r="Q131" s="21" t="str">
        <f t="shared" ref="Q131:Q152" si="88">IF($K131="","",MAX(DataRef-$K131,0))</f>
        <v/>
      </c>
      <c r="R131" s="22" t="str">
        <f t="shared" ref="R131:R152" si="89">IF(OR($P131="",$P131=0,$Q131=""),"",$Q131/$P131)</f>
        <v/>
      </c>
      <c r="S131" s="21" t="str">
        <f t="shared" ref="S131:S152" si="90">IF($H131="","",MAX(DataRef-$H131,0))</f>
        <v/>
      </c>
      <c r="T131" s="21" t="str">
        <f t="shared" ref="T131:T152" si="91">IF(OR($Q131="",$P131="",$P131=0),"",MAX($Q131-$P131,0))</f>
        <v/>
      </c>
      <c r="U131" s="19" t="str">
        <f t="shared" ref="U131:U152" si="92">IF($A131="","",IF($L131="CONCLUÍDO","CONCLUÍDO",IF($L131="CANCELADO","CANCELADO",IF($M131="SIM","BLOQUEADO",IF($K131="","SEM DATA DE ETAPA",IF($T131&gt;0,"ATRASADO",IF($R131&gt;=Lim_Risco,"EM RISCO",IF($R131&gt;=Lim_Atencao,"ATENÇÃO","NO PRAZO"))))))))</f>
        <v/>
      </c>
      <c r="V131" s="19" t="str">
        <f>IF($A131="","",IF(OR($U131="CONCLUÍDO",$U131="CANCELADO"),"—",IF($U131="BLOQUEADO",IF($N131="","BLOQUEADO SEM MOTIVO INFORMADO",$N131),IF($U131="SEM DATA DE ETAPA","INFORMAR A DATA DE INÍCIO DA ETAPA",IF($T131&gt;0,"SLA DA ETAPA "&amp;$I131&amp;" EXCEDIDO EM "&amp;$T131&amp;" DIA(S)",IF($AB131&gt;0,"DIVERGÊNCIA QUANTITATIVA EM "&amp;$AB131&amp;" ITEM(NS)",IF($S131&gt;SLA_Total,"PRAZO TOTAL ACIMA DE "&amp;SLA_Total&amp;" DIAS","FLUXO REGULAR")))))))</f>
        <v/>
      </c>
      <c r="W131" s="21" t="str">
        <f t="shared" ref="W131:W152" si="93">IF($A131="","",SUMIFS(Esc_Prev,Esc_Cham,$A131,Esc_Tipo,"CÂMERA"))</f>
        <v/>
      </c>
      <c r="X131" s="21" t="str">
        <f t="shared" ref="X131:X152" si="94">IF($A131="","",SUMIFS(Esc_Receb,Esc_Cham,$A131,Esc_Tipo,"CÂMERA"))</f>
        <v/>
      </c>
      <c r="Y131" s="21" t="str">
        <f t="shared" ref="Y131:Y152" si="95">IF($A131="","",SUMIFS(Esc_Inst,Esc_Cham,$A131,Esc_Tipo,"CÂMERA"))</f>
        <v/>
      </c>
      <c r="Z131" s="21" t="str">
        <f t="shared" ref="Z131:Z152" si="96">IF($A131="","",ROUNDUP($W131/4,0))</f>
        <v/>
      </c>
      <c r="AA131" s="21" t="str">
        <f t="shared" ref="AA131:AA152" si="97">IF($A131="","",SUMIFS(Esc_Receb,Esc_Cham,$A131,Esc_Tipo,"LICENÇA"))</f>
        <v/>
      </c>
      <c r="AB131" s="21" t="str">
        <f t="shared" ref="AB131:AB152" si="98">IF($A131="","",SUMIFS(Esc_Desvio,Esc_Cham,$A131))</f>
        <v/>
      </c>
      <c r="AC131" s="21" t="str">
        <f t="shared" ref="AC131:AC152" si="99">IF($A131="","",IF(OR($I131="INSTALAÇÃO",$I131="DISPONIBILIZAÇÃO DE IP",$I131="INCLUSÃO NO VMS",$I131="VALIDAÇÃO E ENCERRAMENTO",$L131="CONCLUÍDO"),$Y131-$W131,""))</f>
        <v/>
      </c>
      <c r="AD131" s="21" t="str">
        <f>IF($A131="","",IF(OR($L131="CONCLUÍDO",$L131="CANCELADO"),"",IF(AND(OR(Filtro_Unid="(TODAS AS UNIDADES)",$C131=Filtro_Unid),OR(Filtro_Proj="(TODOS OS PROJETOS)",$AE131=Filtro_Proj)),MAX($AD$4:AD130)+1,"")))</f>
        <v/>
      </c>
      <c r="AE131" s="19" t="str">
        <f t="shared" ref="AE131:AE152" si="100">IF($A131="","",$A131&amp;"  ·  "&amp;$B131&amp;"  ·  "&amp;$C131)</f>
        <v/>
      </c>
      <c r="AF131" s="21" t="str">
        <f t="shared" ref="AF131:AF152" si="101">IF($A131="","",IF($L131="CONCLUÍDO",99,IFERROR(MATCH($I131,Lista_Etapas,0),0)))</f>
        <v/>
      </c>
    </row>
    <row r="132" spans="1:32" x14ac:dyDescent="0.3">
      <c r="A132" s="17"/>
      <c r="B132" s="18"/>
      <c r="C132" s="18"/>
      <c r="D132" s="18"/>
      <c r="E132" s="17"/>
      <c r="F132" s="19" t="str">
        <f t="shared" si="85"/>
        <v/>
      </c>
      <c r="G132" s="18"/>
      <c r="H132" s="20"/>
      <c r="I132" s="18"/>
      <c r="J132" s="19" t="str">
        <f t="shared" si="86"/>
        <v/>
      </c>
      <c r="K132" s="20"/>
      <c r="L132" s="18"/>
      <c r="M132" s="18"/>
      <c r="N132" s="18"/>
      <c r="O132" s="18"/>
      <c r="P132" s="21" t="str">
        <f t="shared" si="87"/>
        <v/>
      </c>
      <c r="Q132" s="21" t="str">
        <f t="shared" si="88"/>
        <v/>
      </c>
      <c r="R132" s="22" t="str">
        <f t="shared" si="89"/>
        <v/>
      </c>
      <c r="S132" s="21" t="str">
        <f t="shared" si="90"/>
        <v/>
      </c>
      <c r="T132" s="21" t="str">
        <f t="shared" si="91"/>
        <v/>
      </c>
      <c r="U132" s="19" t="str">
        <f t="shared" si="92"/>
        <v/>
      </c>
      <c r="V132" s="19" t="str">
        <f>IF($A132="","",IF(OR($U132="CONCLUÍDO",$U132="CANCELADO"),"—",IF($U132="BLOQUEADO",IF($N132="","BLOQUEADO SEM MOTIVO INFORMADO",$N132),IF($U132="SEM DATA DE ETAPA","INFORMAR A DATA DE INÍCIO DA ETAPA",IF($T132&gt;0,"SLA DA ETAPA "&amp;$I132&amp;" EXCEDIDO EM "&amp;$T132&amp;" DIA(S)",IF($AB132&gt;0,"DIVERGÊNCIA QUANTITATIVA EM "&amp;$AB132&amp;" ITEM(NS)",IF($S132&gt;SLA_Total,"PRAZO TOTAL ACIMA DE "&amp;SLA_Total&amp;" DIAS","FLUXO REGULAR")))))))</f>
        <v/>
      </c>
      <c r="W132" s="21" t="str">
        <f t="shared" si="93"/>
        <v/>
      </c>
      <c r="X132" s="21" t="str">
        <f t="shared" si="94"/>
        <v/>
      </c>
      <c r="Y132" s="21" t="str">
        <f t="shared" si="95"/>
        <v/>
      </c>
      <c r="Z132" s="21" t="str">
        <f t="shared" si="96"/>
        <v/>
      </c>
      <c r="AA132" s="21" t="str">
        <f t="shared" si="97"/>
        <v/>
      </c>
      <c r="AB132" s="21" t="str">
        <f t="shared" si="98"/>
        <v/>
      </c>
      <c r="AC132" s="21" t="str">
        <f t="shared" si="99"/>
        <v/>
      </c>
      <c r="AD132" s="21" t="str">
        <f>IF($A132="","",IF(OR($L132="CONCLUÍDO",$L132="CANCELADO"),"",IF(AND(OR(Filtro_Unid="(TODAS AS UNIDADES)",$C132=Filtro_Unid),OR(Filtro_Proj="(TODOS OS PROJETOS)",$AE132=Filtro_Proj)),MAX($AD$4:AD131)+1,"")))</f>
        <v/>
      </c>
      <c r="AE132" s="19" t="str">
        <f t="shared" si="100"/>
        <v/>
      </c>
      <c r="AF132" s="21" t="str">
        <f t="shared" si="101"/>
        <v/>
      </c>
    </row>
    <row r="133" spans="1:32" x14ac:dyDescent="0.3">
      <c r="A133" s="17"/>
      <c r="B133" s="18"/>
      <c r="C133" s="18"/>
      <c r="D133" s="18"/>
      <c r="E133" s="17"/>
      <c r="F133" s="19" t="str">
        <f t="shared" si="85"/>
        <v/>
      </c>
      <c r="G133" s="18"/>
      <c r="H133" s="20"/>
      <c r="I133" s="18"/>
      <c r="J133" s="19" t="str">
        <f t="shared" si="86"/>
        <v/>
      </c>
      <c r="K133" s="20"/>
      <c r="L133" s="18"/>
      <c r="M133" s="18"/>
      <c r="N133" s="18"/>
      <c r="O133" s="18"/>
      <c r="P133" s="21" t="str">
        <f t="shared" si="87"/>
        <v/>
      </c>
      <c r="Q133" s="21" t="str">
        <f t="shared" si="88"/>
        <v/>
      </c>
      <c r="R133" s="22" t="str">
        <f t="shared" si="89"/>
        <v/>
      </c>
      <c r="S133" s="21" t="str">
        <f t="shared" si="90"/>
        <v/>
      </c>
      <c r="T133" s="21" t="str">
        <f t="shared" si="91"/>
        <v/>
      </c>
      <c r="U133" s="19" t="str">
        <f t="shared" si="92"/>
        <v/>
      </c>
      <c r="V133" s="19" t="str">
        <f>IF($A133="","",IF(OR($U133="CONCLUÍDO",$U133="CANCELADO"),"—",IF($U133="BLOQUEADO",IF($N133="","BLOQUEADO SEM MOTIVO INFORMADO",$N133),IF($U133="SEM DATA DE ETAPA","INFORMAR A DATA DE INÍCIO DA ETAPA",IF($T133&gt;0,"SLA DA ETAPA "&amp;$I133&amp;" EXCEDIDO EM "&amp;$T133&amp;" DIA(S)",IF($AB133&gt;0,"DIVERGÊNCIA QUANTITATIVA EM "&amp;$AB133&amp;" ITEM(NS)",IF($S133&gt;SLA_Total,"PRAZO TOTAL ACIMA DE "&amp;SLA_Total&amp;" DIAS","FLUXO REGULAR")))))))</f>
        <v/>
      </c>
      <c r="W133" s="21" t="str">
        <f t="shared" si="93"/>
        <v/>
      </c>
      <c r="X133" s="21" t="str">
        <f t="shared" si="94"/>
        <v/>
      </c>
      <c r="Y133" s="21" t="str">
        <f t="shared" si="95"/>
        <v/>
      </c>
      <c r="Z133" s="21" t="str">
        <f t="shared" si="96"/>
        <v/>
      </c>
      <c r="AA133" s="21" t="str">
        <f t="shared" si="97"/>
        <v/>
      </c>
      <c r="AB133" s="21" t="str">
        <f t="shared" si="98"/>
        <v/>
      </c>
      <c r="AC133" s="21" t="str">
        <f t="shared" si="99"/>
        <v/>
      </c>
      <c r="AD133" s="21" t="str">
        <f>IF($A133="","",IF(OR($L133="CONCLUÍDO",$L133="CANCELADO"),"",IF(AND(OR(Filtro_Unid="(TODAS AS UNIDADES)",$C133=Filtro_Unid),OR(Filtro_Proj="(TODOS OS PROJETOS)",$AE133=Filtro_Proj)),MAX($AD$4:AD132)+1,"")))</f>
        <v/>
      </c>
      <c r="AE133" s="19" t="str">
        <f t="shared" si="100"/>
        <v/>
      </c>
      <c r="AF133" s="21" t="str">
        <f t="shared" si="101"/>
        <v/>
      </c>
    </row>
    <row r="134" spans="1:32" x14ac:dyDescent="0.3">
      <c r="A134" s="17"/>
      <c r="B134" s="18"/>
      <c r="C134" s="18"/>
      <c r="D134" s="18"/>
      <c r="E134" s="17"/>
      <c r="F134" s="19" t="str">
        <f t="shared" si="85"/>
        <v/>
      </c>
      <c r="G134" s="18"/>
      <c r="H134" s="20"/>
      <c r="I134" s="18"/>
      <c r="J134" s="19" t="str">
        <f t="shared" si="86"/>
        <v/>
      </c>
      <c r="K134" s="20"/>
      <c r="L134" s="18"/>
      <c r="M134" s="18"/>
      <c r="N134" s="18"/>
      <c r="O134" s="18"/>
      <c r="P134" s="21" t="str">
        <f t="shared" si="87"/>
        <v/>
      </c>
      <c r="Q134" s="21" t="str">
        <f t="shared" si="88"/>
        <v/>
      </c>
      <c r="R134" s="22" t="str">
        <f t="shared" si="89"/>
        <v/>
      </c>
      <c r="S134" s="21" t="str">
        <f t="shared" si="90"/>
        <v/>
      </c>
      <c r="T134" s="21" t="str">
        <f t="shared" si="91"/>
        <v/>
      </c>
      <c r="U134" s="19" t="str">
        <f t="shared" si="92"/>
        <v/>
      </c>
      <c r="V134" s="19" t="str">
        <f>IF($A134="","",IF(OR($U134="CONCLUÍDO",$U134="CANCELADO"),"—",IF($U134="BLOQUEADO",IF($N134="","BLOQUEADO SEM MOTIVO INFORMADO",$N134),IF($U134="SEM DATA DE ETAPA","INFORMAR A DATA DE INÍCIO DA ETAPA",IF($T134&gt;0,"SLA DA ETAPA "&amp;$I134&amp;" EXCEDIDO EM "&amp;$T134&amp;" DIA(S)",IF($AB134&gt;0,"DIVERGÊNCIA QUANTITATIVA EM "&amp;$AB134&amp;" ITEM(NS)",IF($S134&gt;SLA_Total,"PRAZO TOTAL ACIMA DE "&amp;SLA_Total&amp;" DIAS","FLUXO REGULAR")))))))</f>
        <v/>
      </c>
      <c r="W134" s="21" t="str">
        <f t="shared" si="93"/>
        <v/>
      </c>
      <c r="X134" s="21" t="str">
        <f t="shared" si="94"/>
        <v/>
      </c>
      <c r="Y134" s="21" t="str">
        <f t="shared" si="95"/>
        <v/>
      </c>
      <c r="Z134" s="21" t="str">
        <f t="shared" si="96"/>
        <v/>
      </c>
      <c r="AA134" s="21" t="str">
        <f t="shared" si="97"/>
        <v/>
      </c>
      <c r="AB134" s="21" t="str">
        <f t="shared" si="98"/>
        <v/>
      </c>
      <c r="AC134" s="21" t="str">
        <f t="shared" si="99"/>
        <v/>
      </c>
      <c r="AD134" s="21" t="str">
        <f>IF($A134="","",IF(OR($L134="CONCLUÍDO",$L134="CANCELADO"),"",IF(AND(OR(Filtro_Unid="(TODAS AS UNIDADES)",$C134=Filtro_Unid),OR(Filtro_Proj="(TODOS OS PROJETOS)",$AE134=Filtro_Proj)),MAX($AD$4:AD133)+1,"")))</f>
        <v/>
      </c>
      <c r="AE134" s="19" t="str">
        <f t="shared" si="100"/>
        <v/>
      </c>
      <c r="AF134" s="21" t="str">
        <f t="shared" si="101"/>
        <v/>
      </c>
    </row>
    <row r="135" spans="1:32" x14ac:dyDescent="0.3">
      <c r="A135" s="17"/>
      <c r="B135" s="18"/>
      <c r="C135" s="18"/>
      <c r="D135" s="18"/>
      <c r="E135" s="17"/>
      <c r="F135" s="19" t="str">
        <f t="shared" si="85"/>
        <v/>
      </c>
      <c r="G135" s="18"/>
      <c r="H135" s="20"/>
      <c r="I135" s="18"/>
      <c r="J135" s="19" t="str">
        <f t="shared" si="86"/>
        <v/>
      </c>
      <c r="K135" s="20"/>
      <c r="L135" s="18"/>
      <c r="M135" s="18"/>
      <c r="N135" s="18"/>
      <c r="O135" s="18"/>
      <c r="P135" s="21" t="str">
        <f t="shared" si="87"/>
        <v/>
      </c>
      <c r="Q135" s="21" t="str">
        <f t="shared" si="88"/>
        <v/>
      </c>
      <c r="R135" s="22" t="str">
        <f t="shared" si="89"/>
        <v/>
      </c>
      <c r="S135" s="21" t="str">
        <f t="shared" si="90"/>
        <v/>
      </c>
      <c r="T135" s="21" t="str">
        <f t="shared" si="91"/>
        <v/>
      </c>
      <c r="U135" s="19" t="str">
        <f t="shared" si="92"/>
        <v/>
      </c>
      <c r="V135" s="19" t="str">
        <f>IF($A135="","",IF(OR($U135="CONCLUÍDO",$U135="CANCELADO"),"—",IF($U135="BLOQUEADO",IF($N135="","BLOQUEADO SEM MOTIVO INFORMADO",$N135),IF($U135="SEM DATA DE ETAPA","INFORMAR A DATA DE INÍCIO DA ETAPA",IF($T135&gt;0,"SLA DA ETAPA "&amp;$I135&amp;" EXCEDIDO EM "&amp;$T135&amp;" DIA(S)",IF($AB135&gt;0,"DIVERGÊNCIA QUANTITATIVA EM "&amp;$AB135&amp;" ITEM(NS)",IF($S135&gt;SLA_Total,"PRAZO TOTAL ACIMA DE "&amp;SLA_Total&amp;" DIAS","FLUXO REGULAR")))))))</f>
        <v/>
      </c>
      <c r="W135" s="21" t="str">
        <f t="shared" si="93"/>
        <v/>
      </c>
      <c r="X135" s="21" t="str">
        <f t="shared" si="94"/>
        <v/>
      </c>
      <c r="Y135" s="21" t="str">
        <f t="shared" si="95"/>
        <v/>
      </c>
      <c r="Z135" s="21" t="str">
        <f t="shared" si="96"/>
        <v/>
      </c>
      <c r="AA135" s="21" t="str">
        <f t="shared" si="97"/>
        <v/>
      </c>
      <c r="AB135" s="21" t="str">
        <f t="shared" si="98"/>
        <v/>
      </c>
      <c r="AC135" s="21" t="str">
        <f t="shared" si="99"/>
        <v/>
      </c>
      <c r="AD135" s="21" t="str">
        <f>IF($A135="","",IF(OR($L135="CONCLUÍDO",$L135="CANCELADO"),"",IF(AND(OR(Filtro_Unid="(TODAS AS UNIDADES)",$C135=Filtro_Unid),OR(Filtro_Proj="(TODOS OS PROJETOS)",$AE135=Filtro_Proj)),MAX($AD$4:AD134)+1,"")))</f>
        <v/>
      </c>
      <c r="AE135" s="19" t="str">
        <f t="shared" si="100"/>
        <v/>
      </c>
      <c r="AF135" s="21" t="str">
        <f t="shared" si="101"/>
        <v/>
      </c>
    </row>
    <row r="136" spans="1:32" x14ac:dyDescent="0.3">
      <c r="A136" s="17"/>
      <c r="B136" s="18"/>
      <c r="C136" s="18"/>
      <c r="D136" s="18"/>
      <c r="E136" s="17"/>
      <c r="F136" s="19" t="str">
        <f t="shared" si="85"/>
        <v/>
      </c>
      <c r="G136" s="18"/>
      <c r="H136" s="20"/>
      <c r="I136" s="18"/>
      <c r="J136" s="19" t="str">
        <f t="shared" si="86"/>
        <v/>
      </c>
      <c r="K136" s="20"/>
      <c r="L136" s="18"/>
      <c r="M136" s="18"/>
      <c r="N136" s="18"/>
      <c r="O136" s="18"/>
      <c r="P136" s="21" t="str">
        <f t="shared" si="87"/>
        <v/>
      </c>
      <c r="Q136" s="21" t="str">
        <f t="shared" si="88"/>
        <v/>
      </c>
      <c r="R136" s="22" t="str">
        <f t="shared" si="89"/>
        <v/>
      </c>
      <c r="S136" s="21" t="str">
        <f t="shared" si="90"/>
        <v/>
      </c>
      <c r="T136" s="21" t="str">
        <f t="shared" si="91"/>
        <v/>
      </c>
      <c r="U136" s="19" t="str">
        <f t="shared" si="92"/>
        <v/>
      </c>
      <c r="V136" s="19" t="str">
        <f>IF($A136="","",IF(OR($U136="CONCLUÍDO",$U136="CANCELADO"),"—",IF($U136="BLOQUEADO",IF($N136="","BLOQUEADO SEM MOTIVO INFORMADO",$N136),IF($U136="SEM DATA DE ETAPA","INFORMAR A DATA DE INÍCIO DA ETAPA",IF($T136&gt;0,"SLA DA ETAPA "&amp;$I136&amp;" EXCEDIDO EM "&amp;$T136&amp;" DIA(S)",IF($AB136&gt;0,"DIVERGÊNCIA QUANTITATIVA EM "&amp;$AB136&amp;" ITEM(NS)",IF($S136&gt;SLA_Total,"PRAZO TOTAL ACIMA DE "&amp;SLA_Total&amp;" DIAS","FLUXO REGULAR")))))))</f>
        <v/>
      </c>
      <c r="W136" s="21" t="str">
        <f t="shared" si="93"/>
        <v/>
      </c>
      <c r="X136" s="21" t="str">
        <f t="shared" si="94"/>
        <v/>
      </c>
      <c r="Y136" s="21" t="str">
        <f t="shared" si="95"/>
        <v/>
      </c>
      <c r="Z136" s="21" t="str">
        <f t="shared" si="96"/>
        <v/>
      </c>
      <c r="AA136" s="21" t="str">
        <f t="shared" si="97"/>
        <v/>
      </c>
      <c r="AB136" s="21" t="str">
        <f t="shared" si="98"/>
        <v/>
      </c>
      <c r="AC136" s="21" t="str">
        <f t="shared" si="99"/>
        <v/>
      </c>
      <c r="AD136" s="21" t="str">
        <f>IF($A136="","",IF(OR($L136="CONCLUÍDO",$L136="CANCELADO"),"",IF(AND(OR(Filtro_Unid="(TODAS AS UNIDADES)",$C136=Filtro_Unid),OR(Filtro_Proj="(TODOS OS PROJETOS)",$AE136=Filtro_Proj)),MAX($AD$4:AD135)+1,"")))</f>
        <v/>
      </c>
      <c r="AE136" s="19" t="str">
        <f t="shared" si="100"/>
        <v/>
      </c>
      <c r="AF136" s="21" t="str">
        <f t="shared" si="101"/>
        <v/>
      </c>
    </row>
    <row r="137" spans="1:32" x14ac:dyDescent="0.3">
      <c r="A137" s="17"/>
      <c r="B137" s="18"/>
      <c r="C137" s="18"/>
      <c r="D137" s="18"/>
      <c r="E137" s="17"/>
      <c r="F137" s="19" t="str">
        <f t="shared" si="85"/>
        <v/>
      </c>
      <c r="G137" s="18"/>
      <c r="H137" s="20"/>
      <c r="I137" s="18"/>
      <c r="J137" s="19" t="str">
        <f t="shared" si="86"/>
        <v/>
      </c>
      <c r="K137" s="20"/>
      <c r="L137" s="18"/>
      <c r="M137" s="18"/>
      <c r="N137" s="18"/>
      <c r="O137" s="18"/>
      <c r="P137" s="21" t="str">
        <f t="shared" si="87"/>
        <v/>
      </c>
      <c r="Q137" s="21" t="str">
        <f t="shared" si="88"/>
        <v/>
      </c>
      <c r="R137" s="22" t="str">
        <f t="shared" si="89"/>
        <v/>
      </c>
      <c r="S137" s="21" t="str">
        <f t="shared" si="90"/>
        <v/>
      </c>
      <c r="T137" s="21" t="str">
        <f t="shared" si="91"/>
        <v/>
      </c>
      <c r="U137" s="19" t="str">
        <f t="shared" si="92"/>
        <v/>
      </c>
      <c r="V137" s="19" t="str">
        <f>IF($A137="","",IF(OR($U137="CONCLUÍDO",$U137="CANCELADO"),"—",IF($U137="BLOQUEADO",IF($N137="","BLOQUEADO SEM MOTIVO INFORMADO",$N137),IF($U137="SEM DATA DE ETAPA","INFORMAR A DATA DE INÍCIO DA ETAPA",IF($T137&gt;0,"SLA DA ETAPA "&amp;$I137&amp;" EXCEDIDO EM "&amp;$T137&amp;" DIA(S)",IF($AB137&gt;0,"DIVERGÊNCIA QUANTITATIVA EM "&amp;$AB137&amp;" ITEM(NS)",IF($S137&gt;SLA_Total,"PRAZO TOTAL ACIMA DE "&amp;SLA_Total&amp;" DIAS","FLUXO REGULAR")))))))</f>
        <v/>
      </c>
      <c r="W137" s="21" t="str">
        <f t="shared" si="93"/>
        <v/>
      </c>
      <c r="X137" s="21" t="str">
        <f t="shared" si="94"/>
        <v/>
      </c>
      <c r="Y137" s="21" t="str">
        <f t="shared" si="95"/>
        <v/>
      </c>
      <c r="Z137" s="21" t="str">
        <f t="shared" si="96"/>
        <v/>
      </c>
      <c r="AA137" s="21" t="str">
        <f t="shared" si="97"/>
        <v/>
      </c>
      <c r="AB137" s="21" t="str">
        <f t="shared" si="98"/>
        <v/>
      </c>
      <c r="AC137" s="21" t="str">
        <f t="shared" si="99"/>
        <v/>
      </c>
      <c r="AD137" s="21" t="str">
        <f>IF($A137="","",IF(OR($L137="CONCLUÍDO",$L137="CANCELADO"),"",IF(AND(OR(Filtro_Unid="(TODAS AS UNIDADES)",$C137=Filtro_Unid),OR(Filtro_Proj="(TODOS OS PROJETOS)",$AE137=Filtro_Proj)),MAX($AD$4:AD136)+1,"")))</f>
        <v/>
      </c>
      <c r="AE137" s="19" t="str">
        <f t="shared" si="100"/>
        <v/>
      </c>
      <c r="AF137" s="21" t="str">
        <f t="shared" si="101"/>
        <v/>
      </c>
    </row>
    <row r="138" spans="1:32" x14ac:dyDescent="0.3">
      <c r="A138" s="17"/>
      <c r="B138" s="18"/>
      <c r="C138" s="18"/>
      <c r="D138" s="18"/>
      <c r="E138" s="17"/>
      <c r="F138" s="19" t="str">
        <f t="shared" si="85"/>
        <v/>
      </c>
      <c r="G138" s="18"/>
      <c r="H138" s="20"/>
      <c r="I138" s="18"/>
      <c r="J138" s="19" t="str">
        <f t="shared" si="86"/>
        <v/>
      </c>
      <c r="K138" s="20"/>
      <c r="L138" s="18"/>
      <c r="M138" s="18"/>
      <c r="N138" s="18"/>
      <c r="O138" s="18"/>
      <c r="P138" s="21" t="str">
        <f t="shared" si="87"/>
        <v/>
      </c>
      <c r="Q138" s="21" t="str">
        <f t="shared" si="88"/>
        <v/>
      </c>
      <c r="R138" s="22" t="str">
        <f t="shared" si="89"/>
        <v/>
      </c>
      <c r="S138" s="21" t="str">
        <f t="shared" si="90"/>
        <v/>
      </c>
      <c r="T138" s="21" t="str">
        <f t="shared" si="91"/>
        <v/>
      </c>
      <c r="U138" s="19" t="str">
        <f t="shared" si="92"/>
        <v/>
      </c>
      <c r="V138" s="19" t="str">
        <f>IF($A138="","",IF(OR($U138="CONCLUÍDO",$U138="CANCELADO"),"—",IF($U138="BLOQUEADO",IF($N138="","BLOQUEADO SEM MOTIVO INFORMADO",$N138),IF($U138="SEM DATA DE ETAPA","INFORMAR A DATA DE INÍCIO DA ETAPA",IF($T138&gt;0,"SLA DA ETAPA "&amp;$I138&amp;" EXCEDIDO EM "&amp;$T138&amp;" DIA(S)",IF($AB138&gt;0,"DIVERGÊNCIA QUANTITATIVA EM "&amp;$AB138&amp;" ITEM(NS)",IF($S138&gt;SLA_Total,"PRAZO TOTAL ACIMA DE "&amp;SLA_Total&amp;" DIAS","FLUXO REGULAR")))))))</f>
        <v/>
      </c>
      <c r="W138" s="21" t="str">
        <f t="shared" si="93"/>
        <v/>
      </c>
      <c r="X138" s="21" t="str">
        <f t="shared" si="94"/>
        <v/>
      </c>
      <c r="Y138" s="21" t="str">
        <f t="shared" si="95"/>
        <v/>
      </c>
      <c r="Z138" s="21" t="str">
        <f t="shared" si="96"/>
        <v/>
      </c>
      <c r="AA138" s="21" t="str">
        <f t="shared" si="97"/>
        <v/>
      </c>
      <c r="AB138" s="21" t="str">
        <f t="shared" si="98"/>
        <v/>
      </c>
      <c r="AC138" s="21" t="str">
        <f t="shared" si="99"/>
        <v/>
      </c>
      <c r="AD138" s="21" t="str">
        <f>IF($A138="","",IF(OR($L138="CONCLUÍDO",$L138="CANCELADO"),"",IF(AND(OR(Filtro_Unid="(TODAS AS UNIDADES)",$C138=Filtro_Unid),OR(Filtro_Proj="(TODOS OS PROJETOS)",$AE138=Filtro_Proj)),MAX($AD$4:AD137)+1,"")))</f>
        <v/>
      </c>
      <c r="AE138" s="19" t="str">
        <f t="shared" si="100"/>
        <v/>
      </c>
      <c r="AF138" s="21" t="str">
        <f t="shared" si="101"/>
        <v/>
      </c>
    </row>
    <row r="139" spans="1:32" x14ac:dyDescent="0.3">
      <c r="A139" s="17"/>
      <c r="B139" s="18"/>
      <c r="C139" s="18"/>
      <c r="D139" s="18"/>
      <c r="E139" s="17"/>
      <c r="F139" s="19" t="str">
        <f t="shared" si="85"/>
        <v/>
      </c>
      <c r="G139" s="18"/>
      <c r="H139" s="20"/>
      <c r="I139" s="18"/>
      <c r="J139" s="19" t="str">
        <f t="shared" si="86"/>
        <v/>
      </c>
      <c r="K139" s="20"/>
      <c r="L139" s="18"/>
      <c r="M139" s="18"/>
      <c r="N139" s="18"/>
      <c r="O139" s="18"/>
      <c r="P139" s="21" t="str">
        <f t="shared" si="87"/>
        <v/>
      </c>
      <c r="Q139" s="21" t="str">
        <f t="shared" si="88"/>
        <v/>
      </c>
      <c r="R139" s="22" t="str">
        <f t="shared" si="89"/>
        <v/>
      </c>
      <c r="S139" s="21" t="str">
        <f t="shared" si="90"/>
        <v/>
      </c>
      <c r="T139" s="21" t="str">
        <f t="shared" si="91"/>
        <v/>
      </c>
      <c r="U139" s="19" t="str">
        <f t="shared" si="92"/>
        <v/>
      </c>
      <c r="V139" s="19" t="str">
        <f>IF($A139="","",IF(OR($U139="CONCLUÍDO",$U139="CANCELADO"),"—",IF($U139="BLOQUEADO",IF($N139="","BLOQUEADO SEM MOTIVO INFORMADO",$N139),IF($U139="SEM DATA DE ETAPA","INFORMAR A DATA DE INÍCIO DA ETAPA",IF($T139&gt;0,"SLA DA ETAPA "&amp;$I139&amp;" EXCEDIDO EM "&amp;$T139&amp;" DIA(S)",IF($AB139&gt;0,"DIVERGÊNCIA QUANTITATIVA EM "&amp;$AB139&amp;" ITEM(NS)",IF($S139&gt;SLA_Total,"PRAZO TOTAL ACIMA DE "&amp;SLA_Total&amp;" DIAS","FLUXO REGULAR")))))))</f>
        <v/>
      </c>
      <c r="W139" s="21" t="str">
        <f t="shared" si="93"/>
        <v/>
      </c>
      <c r="X139" s="21" t="str">
        <f t="shared" si="94"/>
        <v/>
      </c>
      <c r="Y139" s="21" t="str">
        <f t="shared" si="95"/>
        <v/>
      </c>
      <c r="Z139" s="21" t="str">
        <f t="shared" si="96"/>
        <v/>
      </c>
      <c r="AA139" s="21" t="str">
        <f t="shared" si="97"/>
        <v/>
      </c>
      <c r="AB139" s="21" t="str">
        <f t="shared" si="98"/>
        <v/>
      </c>
      <c r="AC139" s="21" t="str">
        <f t="shared" si="99"/>
        <v/>
      </c>
      <c r="AD139" s="21" t="str">
        <f>IF($A139="","",IF(OR($L139="CONCLUÍDO",$L139="CANCELADO"),"",IF(AND(OR(Filtro_Unid="(TODAS AS UNIDADES)",$C139=Filtro_Unid),OR(Filtro_Proj="(TODOS OS PROJETOS)",$AE139=Filtro_Proj)),MAX($AD$4:AD138)+1,"")))</f>
        <v/>
      </c>
      <c r="AE139" s="19" t="str">
        <f t="shared" si="100"/>
        <v/>
      </c>
      <c r="AF139" s="21" t="str">
        <f t="shared" si="101"/>
        <v/>
      </c>
    </row>
    <row r="140" spans="1:32" x14ac:dyDescent="0.3">
      <c r="A140" s="17"/>
      <c r="B140" s="18"/>
      <c r="C140" s="18"/>
      <c r="D140" s="18"/>
      <c r="E140" s="17"/>
      <c r="F140" s="19" t="str">
        <f t="shared" si="85"/>
        <v/>
      </c>
      <c r="G140" s="18"/>
      <c r="H140" s="20"/>
      <c r="I140" s="18"/>
      <c r="J140" s="19" t="str">
        <f t="shared" si="86"/>
        <v/>
      </c>
      <c r="K140" s="20"/>
      <c r="L140" s="18"/>
      <c r="M140" s="18"/>
      <c r="N140" s="18"/>
      <c r="O140" s="18"/>
      <c r="P140" s="21" t="str">
        <f t="shared" si="87"/>
        <v/>
      </c>
      <c r="Q140" s="21" t="str">
        <f t="shared" si="88"/>
        <v/>
      </c>
      <c r="R140" s="22" t="str">
        <f t="shared" si="89"/>
        <v/>
      </c>
      <c r="S140" s="21" t="str">
        <f t="shared" si="90"/>
        <v/>
      </c>
      <c r="T140" s="21" t="str">
        <f t="shared" si="91"/>
        <v/>
      </c>
      <c r="U140" s="19" t="str">
        <f t="shared" si="92"/>
        <v/>
      </c>
      <c r="V140" s="19" t="str">
        <f>IF($A140="","",IF(OR($U140="CONCLUÍDO",$U140="CANCELADO"),"—",IF($U140="BLOQUEADO",IF($N140="","BLOQUEADO SEM MOTIVO INFORMADO",$N140),IF($U140="SEM DATA DE ETAPA","INFORMAR A DATA DE INÍCIO DA ETAPA",IF($T140&gt;0,"SLA DA ETAPA "&amp;$I140&amp;" EXCEDIDO EM "&amp;$T140&amp;" DIA(S)",IF($AB140&gt;0,"DIVERGÊNCIA QUANTITATIVA EM "&amp;$AB140&amp;" ITEM(NS)",IF($S140&gt;SLA_Total,"PRAZO TOTAL ACIMA DE "&amp;SLA_Total&amp;" DIAS","FLUXO REGULAR")))))))</f>
        <v/>
      </c>
      <c r="W140" s="21" t="str">
        <f t="shared" si="93"/>
        <v/>
      </c>
      <c r="X140" s="21" t="str">
        <f t="shared" si="94"/>
        <v/>
      </c>
      <c r="Y140" s="21" t="str">
        <f t="shared" si="95"/>
        <v/>
      </c>
      <c r="Z140" s="21" t="str">
        <f t="shared" si="96"/>
        <v/>
      </c>
      <c r="AA140" s="21" t="str">
        <f t="shared" si="97"/>
        <v/>
      </c>
      <c r="AB140" s="21" t="str">
        <f t="shared" si="98"/>
        <v/>
      </c>
      <c r="AC140" s="21" t="str">
        <f t="shared" si="99"/>
        <v/>
      </c>
      <c r="AD140" s="21" t="str">
        <f>IF($A140="","",IF(OR($L140="CONCLUÍDO",$L140="CANCELADO"),"",IF(AND(OR(Filtro_Unid="(TODAS AS UNIDADES)",$C140=Filtro_Unid),OR(Filtro_Proj="(TODOS OS PROJETOS)",$AE140=Filtro_Proj)),MAX($AD$4:AD139)+1,"")))</f>
        <v/>
      </c>
      <c r="AE140" s="19" t="str">
        <f t="shared" si="100"/>
        <v/>
      </c>
      <c r="AF140" s="21" t="str">
        <f t="shared" si="101"/>
        <v/>
      </c>
    </row>
    <row r="141" spans="1:32" x14ac:dyDescent="0.3">
      <c r="A141" s="17"/>
      <c r="B141" s="18"/>
      <c r="C141" s="18"/>
      <c r="D141" s="18"/>
      <c r="E141" s="17"/>
      <c r="F141" s="19" t="str">
        <f t="shared" si="85"/>
        <v/>
      </c>
      <c r="G141" s="18"/>
      <c r="H141" s="20"/>
      <c r="I141" s="18"/>
      <c r="J141" s="19" t="str">
        <f t="shared" si="86"/>
        <v/>
      </c>
      <c r="K141" s="20"/>
      <c r="L141" s="18"/>
      <c r="M141" s="18"/>
      <c r="N141" s="18"/>
      <c r="O141" s="18"/>
      <c r="P141" s="21" t="str">
        <f t="shared" si="87"/>
        <v/>
      </c>
      <c r="Q141" s="21" t="str">
        <f t="shared" si="88"/>
        <v/>
      </c>
      <c r="R141" s="22" t="str">
        <f t="shared" si="89"/>
        <v/>
      </c>
      <c r="S141" s="21" t="str">
        <f t="shared" si="90"/>
        <v/>
      </c>
      <c r="T141" s="21" t="str">
        <f t="shared" si="91"/>
        <v/>
      </c>
      <c r="U141" s="19" t="str">
        <f t="shared" si="92"/>
        <v/>
      </c>
      <c r="V141" s="19" t="str">
        <f>IF($A141="","",IF(OR($U141="CONCLUÍDO",$U141="CANCELADO"),"—",IF($U141="BLOQUEADO",IF($N141="","BLOQUEADO SEM MOTIVO INFORMADO",$N141),IF($U141="SEM DATA DE ETAPA","INFORMAR A DATA DE INÍCIO DA ETAPA",IF($T141&gt;0,"SLA DA ETAPA "&amp;$I141&amp;" EXCEDIDO EM "&amp;$T141&amp;" DIA(S)",IF($AB141&gt;0,"DIVERGÊNCIA QUANTITATIVA EM "&amp;$AB141&amp;" ITEM(NS)",IF($S141&gt;SLA_Total,"PRAZO TOTAL ACIMA DE "&amp;SLA_Total&amp;" DIAS","FLUXO REGULAR")))))))</f>
        <v/>
      </c>
      <c r="W141" s="21" t="str">
        <f t="shared" si="93"/>
        <v/>
      </c>
      <c r="X141" s="21" t="str">
        <f t="shared" si="94"/>
        <v/>
      </c>
      <c r="Y141" s="21" t="str">
        <f t="shared" si="95"/>
        <v/>
      </c>
      <c r="Z141" s="21" t="str">
        <f t="shared" si="96"/>
        <v/>
      </c>
      <c r="AA141" s="21" t="str">
        <f t="shared" si="97"/>
        <v/>
      </c>
      <c r="AB141" s="21" t="str">
        <f t="shared" si="98"/>
        <v/>
      </c>
      <c r="AC141" s="21" t="str">
        <f t="shared" si="99"/>
        <v/>
      </c>
      <c r="AD141" s="21" t="str">
        <f>IF($A141="","",IF(OR($L141="CONCLUÍDO",$L141="CANCELADO"),"",IF(AND(OR(Filtro_Unid="(TODAS AS UNIDADES)",$C141=Filtro_Unid),OR(Filtro_Proj="(TODOS OS PROJETOS)",$AE141=Filtro_Proj)),MAX($AD$4:AD140)+1,"")))</f>
        <v/>
      </c>
      <c r="AE141" s="19" t="str">
        <f t="shared" si="100"/>
        <v/>
      </c>
      <c r="AF141" s="21" t="str">
        <f t="shared" si="101"/>
        <v/>
      </c>
    </row>
    <row r="142" spans="1:32" x14ac:dyDescent="0.3">
      <c r="A142" s="17"/>
      <c r="B142" s="18"/>
      <c r="C142" s="18"/>
      <c r="D142" s="18"/>
      <c r="E142" s="17"/>
      <c r="F142" s="19" t="str">
        <f t="shared" si="85"/>
        <v/>
      </c>
      <c r="G142" s="18"/>
      <c r="H142" s="20"/>
      <c r="I142" s="18"/>
      <c r="J142" s="19" t="str">
        <f t="shared" si="86"/>
        <v/>
      </c>
      <c r="K142" s="20"/>
      <c r="L142" s="18"/>
      <c r="M142" s="18"/>
      <c r="N142" s="18"/>
      <c r="O142" s="18"/>
      <c r="P142" s="21" t="str">
        <f t="shared" si="87"/>
        <v/>
      </c>
      <c r="Q142" s="21" t="str">
        <f t="shared" si="88"/>
        <v/>
      </c>
      <c r="R142" s="22" t="str">
        <f t="shared" si="89"/>
        <v/>
      </c>
      <c r="S142" s="21" t="str">
        <f t="shared" si="90"/>
        <v/>
      </c>
      <c r="T142" s="21" t="str">
        <f t="shared" si="91"/>
        <v/>
      </c>
      <c r="U142" s="19" t="str">
        <f t="shared" si="92"/>
        <v/>
      </c>
      <c r="V142" s="19" t="str">
        <f>IF($A142="","",IF(OR($U142="CONCLUÍDO",$U142="CANCELADO"),"—",IF($U142="BLOQUEADO",IF($N142="","BLOQUEADO SEM MOTIVO INFORMADO",$N142),IF($U142="SEM DATA DE ETAPA","INFORMAR A DATA DE INÍCIO DA ETAPA",IF($T142&gt;0,"SLA DA ETAPA "&amp;$I142&amp;" EXCEDIDO EM "&amp;$T142&amp;" DIA(S)",IF($AB142&gt;0,"DIVERGÊNCIA QUANTITATIVA EM "&amp;$AB142&amp;" ITEM(NS)",IF($S142&gt;SLA_Total,"PRAZO TOTAL ACIMA DE "&amp;SLA_Total&amp;" DIAS","FLUXO REGULAR")))))))</f>
        <v/>
      </c>
      <c r="W142" s="21" t="str">
        <f t="shared" si="93"/>
        <v/>
      </c>
      <c r="X142" s="21" t="str">
        <f t="shared" si="94"/>
        <v/>
      </c>
      <c r="Y142" s="21" t="str">
        <f t="shared" si="95"/>
        <v/>
      </c>
      <c r="Z142" s="21" t="str">
        <f t="shared" si="96"/>
        <v/>
      </c>
      <c r="AA142" s="21" t="str">
        <f t="shared" si="97"/>
        <v/>
      </c>
      <c r="AB142" s="21" t="str">
        <f t="shared" si="98"/>
        <v/>
      </c>
      <c r="AC142" s="21" t="str">
        <f t="shared" si="99"/>
        <v/>
      </c>
      <c r="AD142" s="21" t="str">
        <f>IF($A142="","",IF(OR($L142="CONCLUÍDO",$L142="CANCELADO"),"",IF(AND(OR(Filtro_Unid="(TODAS AS UNIDADES)",$C142=Filtro_Unid),OR(Filtro_Proj="(TODOS OS PROJETOS)",$AE142=Filtro_Proj)),MAX($AD$4:AD141)+1,"")))</f>
        <v/>
      </c>
      <c r="AE142" s="19" t="str">
        <f t="shared" si="100"/>
        <v/>
      </c>
      <c r="AF142" s="21" t="str">
        <f t="shared" si="101"/>
        <v/>
      </c>
    </row>
    <row r="143" spans="1:32" x14ac:dyDescent="0.3">
      <c r="A143" s="17"/>
      <c r="B143" s="18"/>
      <c r="C143" s="18"/>
      <c r="D143" s="18"/>
      <c r="E143" s="17"/>
      <c r="F143" s="19" t="str">
        <f t="shared" si="85"/>
        <v/>
      </c>
      <c r="G143" s="18"/>
      <c r="H143" s="20"/>
      <c r="I143" s="18"/>
      <c r="J143" s="19" t="str">
        <f t="shared" si="86"/>
        <v/>
      </c>
      <c r="K143" s="20"/>
      <c r="L143" s="18"/>
      <c r="M143" s="18"/>
      <c r="N143" s="18"/>
      <c r="O143" s="18"/>
      <c r="P143" s="21" t="str">
        <f t="shared" si="87"/>
        <v/>
      </c>
      <c r="Q143" s="21" t="str">
        <f t="shared" si="88"/>
        <v/>
      </c>
      <c r="R143" s="22" t="str">
        <f t="shared" si="89"/>
        <v/>
      </c>
      <c r="S143" s="21" t="str">
        <f t="shared" si="90"/>
        <v/>
      </c>
      <c r="T143" s="21" t="str">
        <f t="shared" si="91"/>
        <v/>
      </c>
      <c r="U143" s="19" t="str">
        <f t="shared" si="92"/>
        <v/>
      </c>
      <c r="V143" s="19" t="str">
        <f>IF($A143="","",IF(OR($U143="CONCLUÍDO",$U143="CANCELADO"),"—",IF($U143="BLOQUEADO",IF($N143="","BLOQUEADO SEM MOTIVO INFORMADO",$N143),IF($U143="SEM DATA DE ETAPA","INFORMAR A DATA DE INÍCIO DA ETAPA",IF($T143&gt;0,"SLA DA ETAPA "&amp;$I143&amp;" EXCEDIDO EM "&amp;$T143&amp;" DIA(S)",IF($AB143&gt;0,"DIVERGÊNCIA QUANTITATIVA EM "&amp;$AB143&amp;" ITEM(NS)",IF($S143&gt;SLA_Total,"PRAZO TOTAL ACIMA DE "&amp;SLA_Total&amp;" DIAS","FLUXO REGULAR")))))))</f>
        <v/>
      </c>
      <c r="W143" s="21" t="str">
        <f t="shared" si="93"/>
        <v/>
      </c>
      <c r="X143" s="21" t="str">
        <f t="shared" si="94"/>
        <v/>
      </c>
      <c r="Y143" s="21" t="str">
        <f t="shared" si="95"/>
        <v/>
      </c>
      <c r="Z143" s="21" t="str">
        <f t="shared" si="96"/>
        <v/>
      </c>
      <c r="AA143" s="21" t="str">
        <f t="shared" si="97"/>
        <v/>
      </c>
      <c r="AB143" s="21" t="str">
        <f t="shared" si="98"/>
        <v/>
      </c>
      <c r="AC143" s="21" t="str">
        <f t="shared" si="99"/>
        <v/>
      </c>
      <c r="AD143" s="21" t="str">
        <f>IF($A143="","",IF(OR($L143="CONCLUÍDO",$L143="CANCELADO"),"",IF(AND(OR(Filtro_Unid="(TODAS AS UNIDADES)",$C143=Filtro_Unid),OR(Filtro_Proj="(TODOS OS PROJETOS)",$AE143=Filtro_Proj)),MAX($AD$4:AD142)+1,"")))</f>
        <v/>
      </c>
      <c r="AE143" s="19" t="str">
        <f t="shared" si="100"/>
        <v/>
      </c>
      <c r="AF143" s="21" t="str">
        <f t="shared" si="101"/>
        <v/>
      </c>
    </row>
    <row r="144" spans="1:32" x14ac:dyDescent="0.3">
      <c r="A144" s="17"/>
      <c r="B144" s="18"/>
      <c r="C144" s="18"/>
      <c r="D144" s="18"/>
      <c r="E144" s="17"/>
      <c r="F144" s="19" t="str">
        <f t="shared" si="85"/>
        <v/>
      </c>
      <c r="G144" s="18"/>
      <c r="H144" s="20"/>
      <c r="I144" s="18"/>
      <c r="J144" s="19" t="str">
        <f t="shared" si="86"/>
        <v/>
      </c>
      <c r="K144" s="20"/>
      <c r="L144" s="18"/>
      <c r="M144" s="18"/>
      <c r="N144" s="18"/>
      <c r="O144" s="18"/>
      <c r="P144" s="21" t="str">
        <f t="shared" si="87"/>
        <v/>
      </c>
      <c r="Q144" s="21" t="str">
        <f t="shared" si="88"/>
        <v/>
      </c>
      <c r="R144" s="22" t="str">
        <f t="shared" si="89"/>
        <v/>
      </c>
      <c r="S144" s="21" t="str">
        <f t="shared" si="90"/>
        <v/>
      </c>
      <c r="T144" s="21" t="str">
        <f t="shared" si="91"/>
        <v/>
      </c>
      <c r="U144" s="19" t="str">
        <f t="shared" si="92"/>
        <v/>
      </c>
      <c r="V144" s="19" t="str">
        <f>IF($A144="","",IF(OR($U144="CONCLUÍDO",$U144="CANCELADO"),"—",IF($U144="BLOQUEADO",IF($N144="","BLOQUEADO SEM MOTIVO INFORMADO",$N144),IF($U144="SEM DATA DE ETAPA","INFORMAR A DATA DE INÍCIO DA ETAPA",IF($T144&gt;0,"SLA DA ETAPA "&amp;$I144&amp;" EXCEDIDO EM "&amp;$T144&amp;" DIA(S)",IF($AB144&gt;0,"DIVERGÊNCIA QUANTITATIVA EM "&amp;$AB144&amp;" ITEM(NS)",IF($S144&gt;SLA_Total,"PRAZO TOTAL ACIMA DE "&amp;SLA_Total&amp;" DIAS","FLUXO REGULAR")))))))</f>
        <v/>
      </c>
      <c r="W144" s="21" t="str">
        <f t="shared" si="93"/>
        <v/>
      </c>
      <c r="X144" s="21" t="str">
        <f t="shared" si="94"/>
        <v/>
      </c>
      <c r="Y144" s="21" t="str">
        <f t="shared" si="95"/>
        <v/>
      </c>
      <c r="Z144" s="21" t="str">
        <f t="shared" si="96"/>
        <v/>
      </c>
      <c r="AA144" s="21" t="str">
        <f t="shared" si="97"/>
        <v/>
      </c>
      <c r="AB144" s="21" t="str">
        <f t="shared" si="98"/>
        <v/>
      </c>
      <c r="AC144" s="21" t="str">
        <f t="shared" si="99"/>
        <v/>
      </c>
      <c r="AD144" s="21" t="str">
        <f>IF($A144="","",IF(OR($L144="CONCLUÍDO",$L144="CANCELADO"),"",IF(AND(OR(Filtro_Unid="(TODAS AS UNIDADES)",$C144=Filtro_Unid),OR(Filtro_Proj="(TODOS OS PROJETOS)",$AE144=Filtro_Proj)),MAX($AD$4:AD143)+1,"")))</f>
        <v/>
      </c>
      <c r="AE144" s="19" t="str">
        <f t="shared" si="100"/>
        <v/>
      </c>
      <c r="AF144" s="21" t="str">
        <f t="shared" si="101"/>
        <v/>
      </c>
    </row>
    <row r="145" spans="1:32" x14ac:dyDescent="0.3">
      <c r="A145" s="17"/>
      <c r="B145" s="18"/>
      <c r="C145" s="18"/>
      <c r="D145" s="18"/>
      <c r="E145" s="17"/>
      <c r="F145" s="19" t="str">
        <f t="shared" si="85"/>
        <v/>
      </c>
      <c r="G145" s="18"/>
      <c r="H145" s="20"/>
      <c r="I145" s="18"/>
      <c r="J145" s="19" t="str">
        <f t="shared" si="86"/>
        <v/>
      </c>
      <c r="K145" s="20"/>
      <c r="L145" s="18"/>
      <c r="M145" s="18"/>
      <c r="N145" s="18"/>
      <c r="O145" s="18"/>
      <c r="P145" s="21" t="str">
        <f t="shared" si="87"/>
        <v/>
      </c>
      <c r="Q145" s="21" t="str">
        <f t="shared" si="88"/>
        <v/>
      </c>
      <c r="R145" s="22" t="str">
        <f t="shared" si="89"/>
        <v/>
      </c>
      <c r="S145" s="21" t="str">
        <f t="shared" si="90"/>
        <v/>
      </c>
      <c r="T145" s="21" t="str">
        <f t="shared" si="91"/>
        <v/>
      </c>
      <c r="U145" s="19" t="str">
        <f t="shared" si="92"/>
        <v/>
      </c>
      <c r="V145" s="19" t="str">
        <f>IF($A145="","",IF(OR($U145="CONCLUÍDO",$U145="CANCELADO"),"—",IF($U145="BLOQUEADO",IF($N145="","BLOQUEADO SEM MOTIVO INFORMADO",$N145),IF($U145="SEM DATA DE ETAPA","INFORMAR A DATA DE INÍCIO DA ETAPA",IF($T145&gt;0,"SLA DA ETAPA "&amp;$I145&amp;" EXCEDIDO EM "&amp;$T145&amp;" DIA(S)",IF($AB145&gt;0,"DIVERGÊNCIA QUANTITATIVA EM "&amp;$AB145&amp;" ITEM(NS)",IF($S145&gt;SLA_Total,"PRAZO TOTAL ACIMA DE "&amp;SLA_Total&amp;" DIAS","FLUXO REGULAR")))))))</f>
        <v/>
      </c>
      <c r="W145" s="21" t="str">
        <f t="shared" si="93"/>
        <v/>
      </c>
      <c r="X145" s="21" t="str">
        <f t="shared" si="94"/>
        <v/>
      </c>
      <c r="Y145" s="21" t="str">
        <f t="shared" si="95"/>
        <v/>
      </c>
      <c r="Z145" s="21" t="str">
        <f t="shared" si="96"/>
        <v/>
      </c>
      <c r="AA145" s="21" t="str">
        <f t="shared" si="97"/>
        <v/>
      </c>
      <c r="AB145" s="21" t="str">
        <f t="shared" si="98"/>
        <v/>
      </c>
      <c r="AC145" s="21" t="str">
        <f t="shared" si="99"/>
        <v/>
      </c>
      <c r="AD145" s="21" t="str">
        <f>IF($A145="","",IF(OR($L145="CONCLUÍDO",$L145="CANCELADO"),"",IF(AND(OR(Filtro_Unid="(TODAS AS UNIDADES)",$C145=Filtro_Unid),OR(Filtro_Proj="(TODOS OS PROJETOS)",$AE145=Filtro_Proj)),MAX($AD$4:AD144)+1,"")))</f>
        <v/>
      </c>
      <c r="AE145" s="19" t="str">
        <f t="shared" si="100"/>
        <v/>
      </c>
      <c r="AF145" s="21" t="str">
        <f t="shared" si="101"/>
        <v/>
      </c>
    </row>
    <row r="146" spans="1:32" x14ac:dyDescent="0.3">
      <c r="A146" s="17"/>
      <c r="B146" s="18"/>
      <c r="C146" s="18"/>
      <c r="D146" s="18"/>
      <c r="E146" s="17"/>
      <c r="F146" s="19" t="str">
        <f t="shared" si="85"/>
        <v/>
      </c>
      <c r="G146" s="18"/>
      <c r="H146" s="20"/>
      <c r="I146" s="18"/>
      <c r="J146" s="19" t="str">
        <f t="shared" si="86"/>
        <v/>
      </c>
      <c r="K146" s="20"/>
      <c r="L146" s="18"/>
      <c r="M146" s="18"/>
      <c r="N146" s="18"/>
      <c r="O146" s="18"/>
      <c r="P146" s="21" t="str">
        <f t="shared" si="87"/>
        <v/>
      </c>
      <c r="Q146" s="21" t="str">
        <f t="shared" si="88"/>
        <v/>
      </c>
      <c r="R146" s="22" t="str">
        <f t="shared" si="89"/>
        <v/>
      </c>
      <c r="S146" s="21" t="str">
        <f t="shared" si="90"/>
        <v/>
      </c>
      <c r="T146" s="21" t="str">
        <f t="shared" si="91"/>
        <v/>
      </c>
      <c r="U146" s="19" t="str">
        <f t="shared" si="92"/>
        <v/>
      </c>
      <c r="V146" s="19" t="str">
        <f>IF($A146="","",IF(OR($U146="CONCLUÍDO",$U146="CANCELADO"),"—",IF($U146="BLOQUEADO",IF($N146="","BLOQUEADO SEM MOTIVO INFORMADO",$N146),IF($U146="SEM DATA DE ETAPA","INFORMAR A DATA DE INÍCIO DA ETAPA",IF($T146&gt;0,"SLA DA ETAPA "&amp;$I146&amp;" EXCEDIDO EM "&amp;$T146&amp;" DIA(S)",IF($AB146&gt;0,"DIVERGÊNCIA QUANTITATIVA EM "&amp;$AB146&amp;" ITEM(NS)",IF($S146&gt;SLA_Total,"PRAZO TOTAL ACIMA DE "&amp;SLA_Total&amp;" DIAS","FLUXO REGULAR")))))))</f>
        <v/>
      </c>
      <c r="W146" s="21" t="str">
        <f t="shared" si="93"/>
        <v/>
      </c>
      <c r="X146" s="21" t="str">
        <f t="shared" si="94"/>
        <v/>
      </c>
      <c r="Y146" s="21" t="str">
        <f t="shared" si="95"/>
        <v/>
      </c>
      <c r="Z146" s="21" t="str">
        <f t="shared" si="96"/>
        <v/>
      </c>
      <c r="AA146" s="21" t="str">
        <f t="shared" si="97"/>
        <v/>
      </c>
      <c r="AB146" s="21" t="str">
        <f t="shared" si="98"/>
        <v/>
      </c>
      <c r="AC146" s="21" t="str">
        <f t="shared" si="99"/>
        <v/>
      </c>
      <c r="AD146" s="21" t="str">
        <f>IF($A146="","",IF(OR($L146="CONCLUÍDO",$L146="CANCELADO"),"",IF(AND(OR(Filtro_Unid="(TODAS AS UNIDADES)",$C146=Filtro_Unid),OR(Filtro_Proj="(TODOS OS PROJETOS)",$AE146=Filtro_Proj)),MAX($AD$4:AD145)+1,"")))</f>
        <v/>
      </c>
      <c r="AE146" s="19" t="str">
        <f t="shared" si="100"/>
        <v/>
      </c>
      <c r="AF146" s="21" t="str">
        <f t="shared" si="101"/>
        <v/>
      </c>
    </row>
    <row r="147" spans="1:32" x14ac:dyDescent="0.3">
      <c r="A147" s="17"/>
      <c r="B147" s="18"/>
      <c r="C147" s="18"/>
      <c r="D147" s="18"/>
      <c r="E147" s="17"/>
      <c r="F147" s="19" t="str">
        <f t="shared" si="85"/>
        <v/>
      </c>
      <c r="G147" s="18"/>
      <c r="H147" s="20"/>
      <c r="I147" s="18"/>
      <c r="J147" s="19" t="str">
        <f t="shared" si="86"/>
        <v/>
      </c>
      <c r="K147" s="20"/>
      <c r="L147" s="18"/>
      <c r="M147" s="18"/>
      <c r="N147" s="18"/>
      <c r="O147" s="18"/>
      <c r="P147" s="21" t="str">
        <f t="shared" si="87"/>
        <v/>
      </c>
      <c r="Q147" s="21" t="str">
        <f t="shared" si="88"/>
        <v/>
      </c>
      <c r="R147" s="22" t="str">
        <f t="shared" si="89"/>
        <v/>
      </c>
      <c r="S147" s="21" t="str">
        <f t="shared" si="90"/>
        <v/>
      </c>
      <c r="T147" s="21" t="str">
        <f t="shared" si="91"/>
        <v/>
      </c>
      <c r="U147" s="19" t="str">
        <f t="shared" si="92"/>
        <v/>
      </c>
      <c r="V147" s="19" t="str">
        <f>IF($A147="","",IF(OR($U147="CONCLUÍDO",$U147="CANCELADO"),"—",IF($U147="BLOQUEADO",IF($N147="","BLOQUEADO SEM MOTIVO INFORMADO",$N147),IF($U147="SEM DATA DE ETAPA","INFORMAR A DATA DE INÍCIO DA ETAPA",IF($T147&gt;0,"SLA DA ETAPA "&amp;$I147&amp;" EXCEDIDO EM "&amp;$T147&amp;" DIA(S)",IF($AB147&gt;0,"DIVERGÊNCIA QUANTITATIVA EM "&amp;$AB147&amp;" ITEM(NS)",IF($S147&gt;SLA_Total,"PRAZO TOTAL ACIMA DE "&amp;SLA_Total&amp;" DIAS","FLUXO REGULAR")))))))</f>
        <v/>
      </c>
      <c r="W147" s="21" t="str">
        <f t="shared" si="93"/>
        <v/>
      </c>
      <c r="X147" s="21" t="str">
        <f t="shared" si="94"/>
        <v/>
      </c>
      <c r="Y147" s="21" t="str">
        <f t="shared" si="95"/>
        <v/>
      </c>
      <c r="Z147" s="21" t="str">
        <f t="shared" si="96"/>
        <v/>
      </c>
      <c r="AA147" s="21" t="str">
        <f t="shared" si="97"/>
        <v/>
      </c>
      <c r="AB147" s="21" t="str">
        <f t="shared" si="98"/>
        <v/>
      </c>
      <c r="AC147" s="21" t="str">
        <f t="shared" si="99"/>
        <v/>
      </c>
      <c r="AD147" s="21" t="str">
        <f>IF($A147="","",IF(OR($L147="CONCLUÍDO",$L147="CANCELADO"),"",IF(AND(OR(Filtro_Unid="(TODAS AS UNIDADES)",$C147=Filtro_Unid),OR(Filtro_Proj="(TODOS OS PROJETOS)",$AE147=Filtro_Proj)),MAX($AD$4:AD146)+1,"")))</f>
        <v/>
      </c>
      <c r="AE147" s="19" t="str">
        <f t="shared" si="100"/>
        <v/>
      </c>
      <c r="AF147" s="21" t="str">
        <f t="shared" si="101"/>
        <v/>
      </c>
    </row>
    <row r="148" spans="1:32" x14ac:dyDescent="0.3">
      <c r="A148" s="17"/>
      <c r="B148" s="18"/>
      <c r="C148" s="18"/>
      <c r="D148" s="18"/>
      <c r="E148" s="17"/>
      <c r="F148" s="19" t="str">
        <f t="shared" si="85"/>
        <v/>
      </c>
      <c r="G148" s="18"/>
      <c r="H148" s="20"/>
      <c r="I148" s="18"/>
      <c r="J148" s="19" t="str">
        <f t="shared" si="86"/>
        <v/>
      </c>
      <c r="K148" s="20"/>
      <c r="L148" s="18"/>
      <c r="M148" s="18"/>
      <c r="N148" s="18"/>
      <c r="O148" s="18"/>
      <c r="P148" s="21" t="str">
        <f t="shared" si="87"/>
        <v/>
      </c>
      <c r="Q148" s="21" t="str">
        <f t="shared" si="88"/>
        <v/>
      </c>
      <c r="R148" s="22" t="str">
        <f t="shared" si="89"/>
        <v/>
      </c>
      <c r="S148" s="21" t="str">
        <f t="shared" si="90"/>
        <v/>
      </c>
      <c r="T148" s="21" t="str">
        <f t="shared" si="91"/>
        <v/>
      </c>
      <c r="U148" s="19" t="str">
        <f t="shared" si="92"/>
        <v/>
      </c>
      <c r="V148" s="19" t="str">
        <f>IF($A148="","",IF(OR($U148="CONCLUÍDO",$U148="CANCELADO"),"—",IF($U148="BLOQUEADO",IF($N148="","BLOQUEADO SEM MOTIVO INFORMADO",$N148),IF($U148="SEM DATA DE ETAPA","INFORMAR A DATA DE INÍCIO DA ETAPA",IF($T148&gt;0,"SLA DA ETAPA "&amp;$I148&amp;" EXCEDIDO EM "&amp;$T148&amp;" DIA(S)",IF($AB148&gt;0,"DIVERGÊNCIA QUANTITATIVA EM "&amp;$AB148&amp;" ITEM(NS)",IF($S148&gt;SLA_Total,"PRAZO TOTAL ACIMA DE "&amp;SLA_Total&amp;" DIAS","FLUXO REGULAR")))))))</f>
        <v/>
      </c>
      <c r="W148" s="21" t="str">
        <f t="shared" si="93"/>
        <v/>
      </c>
      <c r="X148" s="21" t="str">
        <f t="shared" si="94"/>
        <v/>
      </c>
      <c r="Y148" s="21" t="str">
        <f t="shared" si="95"/>
        <v/>
      </c>
      <c r="Z148" s="21" t="str">
        <f t="shared" si="96"/>
        <v/>
      </c>
      <c r="AA148" s="21" t="str">
        <f t="shared" si="97"/>
        <v/>
      </c>
      <c r="AB148" s="21" t="str">
        <f t="shared" si="98"/>
        <v/>
      </c>
      <c r="AC148" s="21" t="str">
        <f t="shared" si="99"/>
        <v/>
      </c>
      <c r="AD148" s="21" t="str">
        <f>IF($A148="","",IF(OR($L148="CONCLUÍDO",$L148="CANCELADO"),"",IF(AND(OR(Filtro_Unid="(TODAS AS UNIDADES)",$C148=Filtro_Unid),OR(Filtro_Proj="(TODOS OS PROJETOS)",$AE148=Filtro_Proj)),MAX($AD$4:AD147)+1,"")))</f>
        <v/>
      </c>
      <c r="AE148" s="19" t="str">
        <f t="shared" si="100"/>
        <v/>
      </c>
      <c r="AF148" s="21" t="str">
        <f t="shared" si="101"/>
        <v/>
      </c>
    </row>
    <row r="149" spans="1:32" x14ac:dyDescent="0.3">
      <c r="A149" s="17"/>
      <c r="B149" s="18"/>
      <c r="C149" s="18"/>
      <c r="D149" s="18"/>
      <c r="E149" s="17"/>
      <c r="F149" s="19" t="str">
        <f t="shared" si="85"/>
        <v/>
      </c>
      <c r="G149" s="18"/>
      <c r="H149" s="20"/>
      <c r="I149" s="18"/>
      <c r="J149" s="19" t="str">
        <f t="shared" si="86"/>
        <v/>
      </c>
      <c r="K149" s="20"/>
      <c r="L149" s="18"/>
      <c r="M149" s="18"/>
      <c r="N149" s="18"/>
      <c r="O149" s="18"/>
      <c r="P149" s="21" t="str">
        <f t="shared" si="87"/>
        <v/>
      </c>
      <c r="Q149" s="21" t="str">
        <f t="shared" si="88"/>
        <v/>
      </c>
      <c r="R149" s="22" t="str">
        <f t="shared" si="89"/>
        <v/>
      </c>
      <c r="S149" s="21" t="str">
        <f t="shared" si="90"/>
        <v/>
      </c>
      <c r="T149" s="21" t="str">
        <f t="shared" si="91"/>
        <v/>
      </c>
      <c r="U149" s="19" t="str">
        <f t="shared" si="92"/>
        <v/>
      </c>
      <c r="V149" s="19" t="str">
        <f>IF($A149="","",IF(OR($U149="CONCLUÍDO",$U149="CANCELADO"),"—",IF($U149="BLOQUEADO",IF($N149="","BLOQUEADO SEM MOTIVO INFORMADO",$N149),IF($U149="SEM DATA DE ETAPA","INFORMAR A DATA DE INÍCIO DA ETAPA",IF($T149&gt;0,"SLA DA ETAPA "&amp;$I149&amp;" EXCEDIDO EM "&amp;$T149&amp;" DIA(S)",IF($AB149&gt;0,"DIVERGÊNCIA QUANTITATIVA EM "&amp;$AB149&amp;" ITEM(NS)",IF($S149&gt;SLA_Total,"PRAZO TOTAL ACIMA DE "&amp;SLA_Total&amp;" DIAS","FLUXO REGULAR")))))))</f>
        <v/>
      </c>
      <c r="W149" s="21" t="str">
        <f t="shared" si="93"/>
        <v/>
      </c>
      <c r="X149" s="21" t="str">
        <f t="shared" si="94"/>
        <v/>
      </c>
      <c r="Y149" s="21" t="str">
        <f t="shared" si="95"/>
        <v/>
      </c>
      <c r="Z149" s="21" t="str">
        <f t="shared" si="96"/>
        <v/>
      </c>
      <c r="AA149" s="21" t="str">
        <f t="shared" si="97"/>
        <v/>
      </c>
      <c r="AB149" s="21" t="str">
        <f t="shared" si="98"/>
        <v/>
      </c>
      <c r="AC149" s="21" t="str">
        <f t="shared" si="99"/>
        <v/>
      </c>
      <c r="AD149" s="21" t="str">
        <f>IF($A149="","",IF(OR($L149="CONCLUÍDO",$L149="CANCELADO"),"",IF(AND(OR(Filtro_Unid="(TODAS AS UNIDADES)",$C149=Filtro_Unid),OR(Filtro_Proj="(TODOS OS PROJETOS)",$AE149=Filtro_Proj)),MAX($AD$4:AD148)+1,"")))</f>
        <v/>
      </c>
      <c r="AE149" s="19" t="str">
        <f t="shared" si="100"/>
        <v/>
      </c>
      <c r="AF149" s="21" t="str">
        <f t="shared" si="101"/>
        <v/>
      </c>
    </row>
    <row r="150" spans="1:32" x14ac:dyDescent="0.3">
      <c r="A150" s="17"/>
      <c r="B150" s="18"/>
      <c r="C150" s="18"/>
      <c r="D150" s="18"/>
      <c r="E150" s="17"/>
      <c r="F150" s="19" t="str">
        <f t="shared" si="85"/>
        <v/>
      </c>
      <c r="G150" s="18"/>
      <c r="H150" s="20"/>
      <c r="I150" s="18"/>
      <c r="J150" s="19" t="str">
        <f t="shared" si="86"/>
        <v/>
      </c>
      <c r="K150" s="20"/>
      <c r="L150" s="18"/>
      <c r="M150" s="18"/>
      <c r="N150" s="18"/>
      <c r="O150" s="18"/>
      <c r="P150" s="21" t="str">
        <f t="shared" si="87"/>
        <v/>
      </c>
      <c r="Q150" s="21" t="str">
        <f t="shared" si="88"/>
        <v/>
      </c>
      <c r="R150" s="22" t="str">
        <f t="shared" si="89"/>
        <v/>
      </c>
      <c r="S150" s="21" t="str">
        <f t="shared" si="90"/>
        <v/>
      </c>
      <c r="T150" s="21" t="str">
        <f t="shared" si="91"/>
        <v/>
      </c>
      <c r="U150" s="19" t="str">
        <f t="shared" si="92"/>
        <v/>
      </c>
      <c r="V150" s="19" t="str">
        <f>IF($A150="","",IF(OR($U150="CONCLUÍDO",$U150="CANCELADO"),"—",IF($U150="BLOQUEADO",IF($N150="","BLOQUEADO SEM MOTIVO INFORMADO",$N150),IF($U150="SEM DATA DE ETAPA","INFORMAR A DATA DE INÍCIO DA ETAPA",IF($T150&gt;0,"SLA DA ETAPA "&amp;$I150&amp;" EXCEDIDO EM "&amp;$T150&amp;" DIA(S)",IF($AB150&gt;0,"DIVERGÊNCIA QUANTITATIVA EM "&amp;$AB150&amp;" ITEM(NS)",IF($S150&gt;SLA_Total,"PRAZO TOTAL ACIMA DE "&amp;SLA_Total&amp;" DIAS","FLUXO REGULAR")))))))</f>
        <v/>
      </c>
      <c r="W150" s="21" t="str">
        <f t="shared" si="93"/>
        <v/>
      </c>
      <c r="X150" s="21" t="str">
        <f t="shared" si="94"/>
        <v/>
      </c>
      <c r="Y150" s="21" t="str">
        <f t="shared" si="95"/>
        <v/>
      </c>
      <c r="Z150" s="21" t="str">
        <f t="shared" si="96"/>
        <v/>
      </c>
      <c r="AA150" s="21" t="str">
        <f t="shared" si="97"/>
        <v/>
      </c>
      <c r="AB150" s="21" t="str">
        <f t="shared" si="98"/>
        <v/>
      </c>
      <c r="AC150" s="21" t="str">
        <f t="shared" si="99"/>
        <v/>
      </c>
      <c r="AD150" s="21" t="str">
        <f>IF($A150="","",IF(OR($L150="CONCLUÍDO",$L150="CANCELADO"),"",IF(AND(OR(Filtro_Unid="(TODAS AS UNIDADES)",$C150=Filtro_Unid),OR(Filtro_Proj="(TODOS OS PROJETOS)",$AE150=Filtro_Proj)),MAX($AD$4:AD149)+1,"")))</f>
        <v/>
      </c>
      <c r="AE150" s="19" t="str">
        <f t="shared" si="100"/>
        <v/>
      </c>
      <c r="AF150" s="21" t="str">
        <f t="shared" si="101"/>
        <v/>
      </c>
    </row>
    <row r="151" spans="1:32" x14ac:dyDescent="0.3">
      <c r="A151" s="17"/>
      <c r="B151" s="18"/>
      <c r="C151" s="18"/>
      <c r="D151" s="18"/>
      <c r="E151" s="17"/>
      <c r="F151" s="19" t="str">
        <f t="shared" si="85"/>
        <v/>
      </c>
      <c r="G151" s="18"/>
      <c r="H151" s="20"/>
      <c r="I151" s="18"/>
      <c r="J151" s="19" t="str">
        <f t="shared" si="86"/>
        <v/>
      </c>
      <c r="K151" s="20"/>
      <c r="L151" s="18"/>
      <c r="M151" s="18"/>
      <c r="N151" s="18"/>
      <c r="O151" s="18"/>
      <c r="P151" s="21" t="str">
        <f t="shared" si="87"/>
        <v/>
      </c>
      <c r="Q151" s="21" t="str">
        <f t="shared" si="88"/>
        <v/>
      </c>
      <c r="R151" s="22" t="str">
        <f t="shared" si="89"/>
        <v/>
      </c>
      <c r="S151" s="21" t="str">
        <f t="shared" si="90"/>
        <v/>
      </c>
      <c r="T151" s="21" t="str">
        <f t="shared" si="91"/>
        <v/>
      </c>
      <c r="U151" s="19" t="str">
        <f t="shared" si="92"/>
        <v/>
      </c>
      <c r="V151" s="19" t="str">
        <f>IF($A151="","",IF(OR($U151="CONCLUÍDO",$U151="CANCELADO"),"—",IF($U151="BLOQUEADO",IF($N151="","BLOQUEADO SEM MOTIVO INFORMADO",$N151),IF($U151="SEM DATA DE ETAPA","INFORMAR A DATA DE INÍCIO DA ETAPA",IF($T151&gt;0,"SLA DA ETAPA "&amp;$I151&amp;" EXCEDIDO EM "&amp;$T151&amp;" DIA(S)",IF($AB151&gt;0,"DIVERGÊNCIA QUANTITATIVA EM "&amp;$AB151&amp;" ITEM(NS)",IF($S151&gt;SLA_Total,"PRAZO TOTAL ACIMA DE "&amp;SLA_Total&amp;" DIAS","FLUXO REGULAR")))))))</f>
        <v/>
      </c>
      <c r="W151" s="21" t="str">
        <f t="shared" si="93"/>
        <v/>
      </c>
      <c r="X151" s="21" t="str">
        <f t="shared" si="94"/>
        <v/>
      </c>
      <c r="Y151" s="21" t="str">
        <f t="shared" si="95"/>
        <v/>
      </c>
      <c r="Z151" s="21" t="str">
        <f t="shared" si="96"/>
        <v/>
      </c>
      <c r="AA151" s="21" t="str">
        <f t="shared" si="97"/>
        <v/>
      </c>
      <c r="AB151" s="21" t="str">
        <f t="shared" si="98"/>
        <v/>
      </c>
      <c r="AC151" s="21" t="str">
        <f t="shared" si="99"/>
        <v/>
      </c>
      <c r="AD151" s="21" t="str">
        <f>IF($A151="","",IF(OR($L151="CONCLUÍDO",$L151="CANCELADO"),"",IF(AND(OR(Filtro_Unid="(TODAS AS UNIDADES)",$C151=Filtro_Unid),OR(Filtro_Proj="(TODOS OS PROJETOS)",$AE151=Filtro_Proj)),MAX($AD$4:AD150)+1,"")))</f>
        <v/>
      </c>
      <c r="AE151" s="19" t="str">
        <f t="shared" si="100"/>
        <v/>
      </c>
      <c r="AF151" s="21" t="str">
        <f t="shared" si="101"/>
        <v/>
      </c>
    </row>
    <row r="152" spans="1:32" x14ac:dyDescent="0.3">
      <c r="A152" s="17"/>
      <c r="B152" s="18"/>
      <c r="C152" s="18"/>
      <c r="D152" s="18"/>
      <c r="E152" s="17"/>
      <c r="F152" s="19" t="str">
        <f t="shared" si="85"/>
        <v/>
      </c>
      <c r="G152" s="18"/>
      <c r="H152" s="20"/>
      <c r="I152" s="18"/>
      <c r="J152" s="19" t="str">
        <f t="shared" si="86"/>
        <v/>
      </c>
      <c r="K152" s="20"/>
      <c r="L152" s="18"/>
      <c r="M152" s="18"/>
      <c r="N152" s="18"/>
      <c r="O152" s="18"/>
      <c r="P152" s="21" t="str">
        <f t="shared" si="87"/>
        <v/>
      </c>
      <c r="Q152" s="21" t="str">
        <f t="shared" si="88"/>
        <v/>
      </c>
      <c r="R152" s="22" t="str">
        <f t="shared" si="89"/>
        <v/>
      </c>
      <c r="S152" s="21" t="str">
        <f t="shared" si="90"/>
        <v/>
      </c>
      <c r="T152" s="21" t="str">
        <f t="shared" si="91"/>
        <v/>
      </c>
      <c r="U152" s="19" t="str">
        <f t="shared" si="92"/>
        <v/>
      </c>
      <c r="V152" s="19" t="str">
        <f t="shared" ref="V152" si="102">IF($A152="","",IF(OR($U152="CONCLUÍDO",$U152="CANCELADO"),"—",IF($U152="BLOQUEADO",IF($N152="","BLOQUEADO SEM MOTIVO INFORMADO",$N152),IF($U152="SEM DATA DE ETAPA","INFORMAR A DATA DE INÍCIO DA ETAPA",IF($T152&gt;0,"SLA DA ETAPA "&amp;$I152&amp;" EXCEDIDO EM "&amp;$T152&amp;" DIA(S)",IF($AB152&gt;0,"DIVERGÊNCIA QUANTITATIVA EM "&amp;$AB152&amp;" ITEM(NS)",IF($S152&gt;SLA_Total,"PRAZO TOTAL ACIMA DE "&amp;SLA_Total&amp;" DIAS","FLUXO REGULAR")))))))</f>
        <v/>
      </c>
      <c r="W152" s="21" t="str">
        <f t="shared" si="93"/>
        <v/>
      </c>
      <c r="X152" s="21" t="str">
        <f t="shared" si="94"/>
        <v/>
      </c>
      <c r="Y152" s="21" t="str">
        <f t="shared" si="95"/>
        <v/>
      </c>
      <c r="Z152" s="21" t="str">
        <f t="shared" si="96"/>
        <v/>
      </c>
      <c r="AA152" s="21" t="str">
        <f t="shared" si="97"/>
        <v/>
      </c>
      <c r="AB152" s="21" t="str">
        <f t="shared" si="98"/>
        <v/>
      </c>
      <c r="AC152" s="21" t="str">
        <f t="shared" si="99"/>
        <v/>
      </c>
      <c r="AD152" s="21" t="str">
        <f>IF($A152="","",IF(OR($L152="CONCLUÍDO",$L152="CANCELADO"),"",IF(AND(OR(Filtro_Unid="(TODAS AS UNIDADES)",$C152=Filtro_Unid),OR(Filtro_Proj="(TODOS OS PROJETOS)",$AE152=Filtro_Proj)),MAX($AD$4:AD151)+1,"")))</f>
        <v/>
      </c>
      <c r="AE152" s="19" t="str">
        <f t="shared" si="100"/>
        <v/>
      </c>
      <c r="AF152" s="21" t="str">
        <f t="shared" si="101"/>
        <v/>
      </c>
    </row>
  </sheetData>
  <conditionalFormatting sqref="L5:L82">
    <cfRule type="containsText" dxfId="21" priority="1" operator="containsText" text="CONCLUÍDO">
      <formula>NOT(ISERROR(SEARCH("CONCLUÍDO",L5)))</formula>
    </cfRule>
  </conditionalFormatting>
  <conditionalFormatting sqref="R5:R152">
    <cfRule type="cellIs" dxfId="20" priority="10" operator="greaterThanOrEqual">
      <formula>1</formula>
    </cfRule>
  </conditionalFormatting>
  <conditionalFormatting sqref="U5:U152">
    <cfRule type="expression" dxfId="19" priority="4">
      <formula>$U5="NO PRAZO"</formula>
    </cfRule>
    <cfRule type="expression" dxfId="18" priority="5">
      <formula>$U5="ATENÇÃO"</formula>
    </cfRule>
    <cfRule type="expression" dxfId="17" priority="6">
      <formula>$U5="EM RISCO"</formula>
    </cfRule>
    <cfRule type="expression" dxfId="16" priority="7">
      <formula>$U5="ATRASADO"</formula>
    </cfRule>
    <cfRule type="expression" dxfId="15" priority="8">
      <formula>$U5="BLOQUEADO"</formula>
    </cfRule>
    <cfRule type="expression" dxfId="14" priority="9">
      <formula>$U5="SEM DATA DE ETAPA"</formula>
    </cfRule>
  </conditionalFormatting>
  <dataValidations count="7">
    <dataValidation type="list" allowBlank="1" showErrorMessage="1" errorTitle="Valor inválido" error="Selecione um valor da lista (aba 09_Cadastros)." sqref="C5:C152" xr:uid="{00000000-0002-0000-0100-000000000000}">
      <formula1>Lista_Unidades</formula1>
      <formula2>0</formula2>
    </dataValidation>
    <dataValidation type="list" allowBlank="1" showErrorMessage="1" errorTitle="Valor inválido" error="Selecione um valor da lista (aba 09_Cadastros)." sqref="D5:D152" xr:uid="{00000000-0002-0000-0100-000001000000}">
      <formula1>Lista_Areas</formula1>
      <formula2>0</formula2>
    </dataValidation>
    <dataValidation type="list" allowBlank="1" showErrorMessage="1" errorTitle="Valor inválido" error="Selecione um valor da lista (aba 09_Cadastros)." sqref="I5:I152" xr:uid="{00000000-0002-0000-0100-000002000000}">
      <formula1>Lista_Etapas</formula1>
      <formula2>0</formula2>
    </dataValidation>
    <dataValidation type="list" allowBlank="1" showErrorMessage="1" errorTitle="Valor inválido" error="Selecione um valor da lista (aba 09_Cadastros)." sqref="L5:L152" xr:uid="{00000000-0002-0000-0100-000003000000}">
      <formula1>Lista_Status</formula1>
      <formula2>0</formula2>
    </dataValidation>
    <dataValidation type="list" allowBlank="1" showErrorMessage="1" errorTitle="Valor inválido" error="Selecione um valor da lista (aba 09_Cadastros)." sqref="M5:M152" xr:uid="{00000000-0002-0000-0100-000004000000}">
      <formula1>"SIM,NÃO"</formula1>
      <formula2>0</formula2>
    </dataValidation>
    <dataValidation type="list" allowBlank="1" showErrorMessage="1" errorTitle="Valor inválido" error="Selecione um valor da lista (aba 09_Cadastros)." sqref="E5:E152" xr:uid="{00000000-0002-0000-0100-000005000000}">
      <formula1>Obj_Cod</formula1>
      <formula2>0</formula2>
    </dataValidation>
    <dataValidation type="list" allowBlank="1" showErrorMessage="1" errorTitle="Valor inválido" error="Selecione um valor da lista (aba 09_Cadastros)." sqref="N5:N82" xr:uid="{0514DAE0-2B82-43D3-9992-4D334A6DEC1A}">
      <formula1>Lista_Motivos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  <ignoredErrors>
    <ignoredError sqref="D45:D75 D89:D125 D76:D87" listDataValidation="1"/>
  </ignoredErrors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3A7CA5"/>
  </sheetPr>
  <dimension ref="A1:X154"/>
  <sheetViews>
    <sheetView showGridLines="0" zoomScaleNormal="100" workbookViewId="0">
      <pane xSplit="2" ySplit="4" topLeftCell="O11" activePane="bottomRight" state="frozen"/>
      <selection pane="topRight" activeCell="C1" sqref="C1"/>
      <selection pane="bottomLeft" activeCell="A5" sqref="A5"/>
      <selection pane="bottomRight" activeCell="S25" sqref="S25"/>
    </sheetView>
  </sheetViews>
  <sheetFormatPr defaultColWidth="8.6640625" defaultRowHeight="14.4" x14ac:dyDescent="0.3"/>
  <cols>
    <col min="1" max="1" width="20" customWidth="1"/>
    <col min="2" max="3" width="14" customWidth="1"/>
    <col min="4" max="4" width="38" customWidth="1"/>
    <col min="5" max="5" width="13" customWidth="1"/>
    <col min="6" max="6" width="10" customWidth="1"/>
    <col min="7" max="8" width="13" customWidth="1"/>
    <col min="9" max="9" width="10" customWidth="1"/>
    <col min="10" max="11" width="12" customWidth="1"/>
    <col min="12" max="12" width="16" customWidth="1"/>
    <col min="13" max="13" width="13" customWidth="1"/>
    <col min="14" max="14" width="40" customWidth="1"/>
    <col min="15" max="16" width="12" customWidth="1"/>
    <col min="17" max="22" width="10" customWidth="1"/>
    <col min="23" max="23" width="30" customWidth="1"/>
    <col min="24" max="24" width="52" customWidth="1"/>
  </cols>
  <sheetData>
    <row r="1" spans="1:24" ht="18" x14ac:dyDescent="0.35">
      <c r="A1" s="12" t="s">
        <v>173</v>
      </c>
    </row>
    <row r="2" spans="1:24" x14ac:dyDescent="0.3">
      <c r="A2" s="15" t="s">
        <v>174</v>
      </c>
    </row>
    <row r="3" spans="1:24" ht="15" customHeight="1" x14ac:dyDescent="0.3">
      <c r="A3" s="81" t="s">
        <v>175</v>
      </c>
      <c r="B3" s="81"/>
      <c r="C3" s="81"/>
      <c r="D3" s="81"/>
      <c r="E3" s="81"/>
      <c r="F3" s="81"/>
      <c r="G3" s="82" t="s">
        <v>176</v>
      </c>
      <c r="H3" s="82"/>
      <c r="I3" s="82"/>
      <c r="J3" s="82"/>
      <c r="K3" s="82"/>
      <c r="L3" s="82"/>
      <c r="M3" s="83" t="s">
        <v>177</v>
      </c>
      <c r="N3" s="83"/>
      <c r="O3" s="83"/>
      <c r="P3" s="83"/>
      <c r="Q3" s="83"/>
      <c r="R3" s="84" t="s">
        <v>178</v>
      </c>
      <c r="S3" s="84"/>
      <c r="T3" s="84"/>
      <c r="U3" s="84"/>
      <c r="V3" s="85" t="s">
        <v>179</v>
      </c>
      <c r="W3" s="85"/>
      <c r="X3" s="85"/>
    </row>
    <row r="4" spans="1:24" ht="31.5" customHeight="1" x14ac:dyDescent="0.3">
      <c r="A4" s="16" t="s">
        <v>180</v>
      </c>
      <c r="B4" s="16" t="s">
        <v>34</v>
      </c>
      <c r="C4" s="16" t="s">
        <v>181</v>
      </c>
      <c r="D4" s="16" t="s">
        <v>182</v>
      </c>
      <c r="E4" s="16" t="s">
        <v>183</v>
      </c>
      <c r="F4" s="16" t="s">
        <v>184</v>
      </c>
      <c r="G4" s="16" t="s">
        <v>185</v>
      </c>
      <c r="H4" s="16" t="s">
        <v>186</v>
      </c>
      <c r="I4" s="16" t="s">
        <v>187</v>
      </c>
      <c r="J4" s="16" t="s">
        <v>188</v>
      </c>
      <c r="K4" s="16" t="s">
        <v>189</v>
      </c>
      <c r="L4" s="16" t="s">
        <v>190</v>
      </c>
      <c r="M4" s="16" t="s">
        <v>191</v>
      </c>
      <c r="N4" s="16" t="s">
        <v>192</v>
      </c>
      <c r="O4" s="16" t="s">
        <v>193</v>
      </c>
      <c r="P4" s="16" t="s">
        <v>194</v>
      </c>
      <c r="Q4" s="16" t="s">
        <v>195</v>
      </c>
      <c r="R4" s="16" t="s">
        <v>196</v>
      </c>
      <c r="S4" s="16" t="s">
        <v>197</v>
      </c>
      <c r="T4" s="16" t="s">
        <v>198</v>
      </c>
      <c r="U4" s="16" t="s">
        <v>199</v>
      </c>
      <c r="V4" s="16" t="s">
        <v>200</v>
      </c>
      <c r="W4" s="16" t="s">
        <v>201</v>
      </c>
      <c r="X4" s="16" t="s">
        <v>202</v>
      </c>
    </row>
    <row r="5" spans="1:24" x14ac:dyDescent="0.3">
      <c r="A5" s="19" t="str">
        <f t="shared" ref="A5:A36" si="0">IF(OR($B5="",$C5=""),"",$B5&amp;"-"&amp;$C5)</f>
        <v>440641-67977</v>
      </c>
      <c r="B5" s="17">
        <v>440641</v>
      </c>
      <c r="C5" s="17">
        <v>67977</v>
      </c>
      <c r="D5" s="19" t="str">
        <f t="shared" ref="D5:D36" si="1">IF($C5="","",IFERROR(INDEX(Prod_Desc,MATCH($C5,Prod_Cod,0)),"PRODUTO NÃO CADASTRADO"))</f>
        <v>LICENCIAMENTO MONITORAMENTO 04 CAMERAS</v>
      </c>
      <c r="E5" s="19" t="str">
        <f t="shared" ref="E5:E36" si="2">IF($C5="","",IFERROR(INDEX(Prod_Tipo,MATCH($C5,Prod_Cod,0)),"NÃO CLASSIFICADO"))</f>
        <v>LICENÇA</v>
      </c>
      <c r="F5" s="17">
        <v>5</v>
      </c>
      <c r="G5" s="18">
        <v>3136121</v>
      </c>
      <c r="H5" s="18">
        <v>2394628</v>
      </c>
      <c r="I5" s="17">
        <v>5</v>
      </c>
      <c r="J5" s="20">
        <v>46141</v>
      </c>
      <c r="K5" s="20">
        <v>46161</v>
      </c>
      <c r="L5" s="18" t="s">
        <v>203</v>
      </c>
      <c r="M5" s="18">
        <v>1803206</v>
      </c>
      <c r="N5" s="18" t="s">
        <v>204</v>
      </c>
      <c r="O5" s="20">
        <v>46191</v>
      </c>
      <c r="P5" s="20">
        <v>46198</v>
      </c>
      <c r="Q5" s="17">
        <v>4</v>
      </c>
      <c r="R5" s="17"/>
      <c r="S5" s="17"/>
      <c r="T5" s="17"/>
      <c r="U5" s="17"/>
      <c r="V5" s="21">
        <f t="shared" ref="V5:V36" si="3">IF($A5="",0,SUMIFS(Ent_Qtd,Ent_Item,$A5))</f>
        <v>0</v>
      </c>
      <c r="W5" s="19" t="str">
        <f t="shared" ref="W5:W36" si="4">IF($A5="","",IF($H5="","AGUARDANDO SOLICITAÇÃO DE COMPRA",IF($M5="","AGUARDANDO ORDEM DE COMPRA",IF($V5=0,"AGUARDANDO ENTREGA",IF($V5&lt;$Q5,"RECEBIDO PARCIALMENTE",IF(N($R5)&lt;$V5,"RECEBIDO - AGUARDANDO LIBERAÇÃO",IF(N($S5)&lt;N($R5),"LIBERADO - AGUARDANDO INSTALAÇÃO",IF(N($T5)&lt;N($S5),"INSTALADO - AGUARDANDO IP",IF(N($U5)&lt;N($T5),"COM IP - AGUARDANDO VMS",IF($U5&gt;=$F5,"CONCLUÍDO","EM ANDAMENTO"))))))))))</f>
        <v>AGUARDANDO ENTREGA</v>
      </c>
      <c r="X5" s="19" t="str">
        <f t="shared" ref="X5:X36" si="5">IF($A5="","",$B5&amp;"  ·  "&amp;$D5&amp;"  ·  OC "&amp;IF($M5="","(sem OC)",$M5))</f>
        <v>440641  ·  LICENCIAMENTO MONITORAMENTO 04 CAMERAS  ·  OC 1803206</v>
      </c>
    </row>
    <row r="6" spans="1:24" x14ac:dyDescent="0.3">
      <c r="A6" s="19" t="str">
        <f t="shared" si="0"/>
        <v>440641-63489</v>
      </c>
      <c r="B6" s="17">
        <v>440641</v>
      </c>
      <c r="C6" s="17">
        <v>63489</v>
      </c>
      <c r="D6" s="19" t="str">
        <f t="shared" si="1"/>
        <v>HFW2431S-S-S2</v>
      </c>
      <c r="E6" s="19" t="str">
        <f t="shared" si="2"/>
        <v>CÂMERA</v>
      </c>
      <c r="F6" s="17">
        <v>4</v>
      </c>
      <c r="G6" s="18">
        <v>3136121</v>
      </c>
      <c r="H6" s="18">
        <v>2394603</v>
      </c>
      <c r="I6" s="17">
        <v>4</v>
      </c>
      <c r="J6" s="20">
        <v>46141</v>
      </c>
      <c r="K6" s="20">
        <v>46142</v>
      </c>
      <c r="L6" s="18" t="s">
        <v>203</v>
      </c>
      <c r="M6" s="18">
        <v>1896421</v>
      </c>
      <c r="N6" s="18" t="s">
        <v>205</v>
      </c>
      <c r="O6" s="20">
        <v>46155</v>
      </c>
      <c r="P6" s="20">
        <v>46200</v>
      </c>
      <c r="Q6" s="17">
        <v>4</v>
      </c>
      <c r="R6" s="17"/>
      <c r="S6" s="17"/>
      <c r="T6" s="17"/>
      <c r="U6" s="17"/>
      <c r="V6" s="21">
        <f t="shared" si="3"/>
        <v>0</v>
      </c>
      <c r="W6" s="19" t="str">
        <f t="shared" si="4"/>
        <v>AGUARDANDO ENTREGA</v>
      </c>
      <c r="X6" s="19" t="str">
        <f t="shared" si="5"/>
        <v>440641  ·  HFW2431S-S-S2  ·  OC 1896421</v>
      </c>
    </row>
    <row r="7" spans="1:24" x14ac:dyDescent="0.3">
      <c r="A7" s="19" t="str">
        <f t="shared" si="0"/>
        <v>123-105356</v>
      </c>
      <c r="B7" s="17">
        <v>123</v>
      </c>
      <c r="C7" s="17">
        <v>105356</v>
      </c>
      <c r="D7" s="19" t="str">
        <f t="shared" si="1"/>
        <v>MODULO VIDEOPORTEIRO EXTERNO</v>
      </c>
      <c r="E7" s="19" t="str">
        <f t="shared" si="2"/>
        <v>EQUIPAMENTO</v>
      </c>
      <c r="F7" s="17">
        <v>2</v>
      </c>
      <c r="G7" s="18">
        <v>3221783</v>
      </c>
      <c r="H7" s="18">
        <v>2446440</v>
      </c>
      <c r="I7" s="17">
        <v>2</v>
      </c>
      <c r="J7" s="20">
        <v>46156</v>
      </c>
      <c r="K7" s="20">
        <v>46169</v>
      </c>
      <c r="L7" s="18" t="s">
        <v>203</v>
      </c>
      <c r="M7" s="18">
        <v>1849451</v>
      </c>
      <c r="N7" s="18" t="s">
        <v>206</v>
      </c>
      <c r="O7" s="20">
        <v>46205</v>
      </c>
      <c r="P7" s="20">
        <v>46219</v>
      </c>
      <c r="Q7" s="17">
        <v>2</v>
      </c>
      <c r="R7" s="17">
        <v>2</v>
      </c>
      <c r="S7" s="17"/>
      <c r="T7" s="17"/>
      <c r="U7" s="17"/>
      <c r="V7" s="21">
        <f t="shared" si="3"/>
        <v>2</v>
      </c>
      <c r="W7" s="19" t="str">
        <f t="shared" si="4"/>
        <v>LIBERADO - AGUARDANDO INSTALAÇÃO</v>
      </c>
      <c r="X7" s="19" t="str">
        <f t="shared" si="5"/>
        <v>123  ·  MODULO VIDEOPORTEIRO EXTERNO  ·  OC 1849451</v>
      </c>
    </row>
    <row r="8" spans="1:24" x14ac:dyDescent="0.3">
      <c r="A8" s="19" t="str">
        <f t="shared" si="0"/>
        <v>N/A01-86698</v>
      </c>
      <c r="B8" s="17" t="s">
        <v>74</v>
      </c>
      <c r="C8" s="17">
        <v>86698</v>
      </c>
      <c r="D8" s="19" t="str">
        <f t="shared" si="1"/>
        <v>SD6AL245GB-HNV</v>
      </c>
      <c r="E8" s="19" t="str">
        <f t="shared" si="2"/>
        <v>CÂMERA</v>
      </c>
      <c r="F8" s="17">
        <v>1</v>
      </c>
      <c r="G8" s="18">
        <v>2363577</v>
      </c>
      <c r="H8" s="18">
        <v>1813487</v>
      </c>
      <c r="I8" s="17">
        <v>1</v>
      </c>
      <c r="J8" s="20">
        <v>45861</v>
      </c>
      <c r="K8" s="20">
        <v>45891</v>
      </c>
      <c r="L8" s="18"/>
      <c r="M8" s="18">
        <v>1444808</v>
      </c>
      <c r="N8" s="18" t="s">
        <v>205</v>
      </c>
      <c r="O8" s="20">
        <v>45888</v>
      </c>
      <c r="P8" s="20"/>
      <c r="Q8" s="17">
        <v>1</v>
      </c>
      <c r="R8" s="17">
        <v>1</v>
      </c>
      <c r="S8" s="17"/>
      <c r="T8" s="17"/>
      <c r="U8" s="17"/>
      <c r="V8" s="21">
        <f t="shared" si="3"/>
        <v>1</v>
      </c>
      <c r="W8" s="19" t="str">
        <f t="shared" si="4"/>
        <v>LIBERADO - AGUARDANDO INSTALAÇÃO</v>
      </c>
      <c r="X8" s="19" t="str">
        <f t="shared" si="5"/>
        <v>N/A01  ·  SD6AL245GB-HNV  ·  OC 1444808</v>
      </c>
    </row>
    <row r="9" spans="1:24" x14ac:dyDescent="0.3">
      <c r="A9" s="19" t="str">
        <f t="shared" si="0"/>
        <v>N/A01-85197</v>
      </c>
      <c r="B9" s="17" t="s">
        <v>74</v>
      </c>
      <c r="C9" s="17">
        <v>85197</v>
      </c>
      <c r="D9" s="19" t="str">
        <f t="shared" si="1"/>
        <v>PW4D-IZ3</v>
      </c>
      <c r="E9" s="19" t="str">
        <f t="shared" si="2"/>
        <v>CÂMERA</v>
      </c>
      <c r="F9" s="17">
        <v>2</v>
      </c>
      <c r="G9" s="18">
        <v>2363577</v>
      </c>
      <c r="H9" s="18">
        <v>1813492</v>
      </c>
      <c r="I9" s="17">
        <v>2</v>
      </c>
      <c r="J9" s="20">
        <v>45861</v>
      </c>
      <c r="K9" s="20">
        <v>45891</v>
      </c>
      <c r="L9" s="18"/>
      <c r="M9" s="18">
        <v>1478354</v>
      </c>
      <c r="N9" s="18" t="s">
        <v>205</v>
      </c>
      <c r="O9" s="20">
        <v>45909</v>
      </c>
      <c r="P9" s="20"/>
      <c r="Q9" s="17">
        <v>2</v>
      </c>
      <c r="R9" s="17">
        <v>2</v>
      </c>
      <c r="S9" s="17"/>
      <c r="T9" s="17"/>
      <c r="U9" s="17"/>
      <c r="V9" s="21">
        <f t="shared" si="3"/>
        <v>2</v>
      </c>
      <c r="W9" s="19" t="str">
        <f t="shared" si="4"/>
        <v>LIBERADO - AGUARDANDO INSTALAÇÃO</v>
      </c>
      <c r="X9" s="19" t="str">
        <f t="shared" si="5"/>
        <v>N/A01  ·  PW4D-IZ3  ·  OC 1478354</v>
      </c>
    </row>
    <row r="10" spans="1:24" x14ac:dyDescent="0.3">
      <c r="A10" s="19" t="str">
        <f t="shared" si="0"/>
        <v>N/A01-63490</v>
      </c>
      <c r="B10" s="17" t="s">
        <v>74</v>
      </c>
      <c r="C10" s="17">
        <v>63490</v>
      </c>
      <c r="D10" s="19" t="str">
        <f t="shared" si="1"/>
        <v>HFW3441T-ZAS</v>
      </c>
      <c r="E10" s="19" t="str">
        <f t="shared" si="2"/>
        <v>CÂMERA</v>
      </c>
      <c r="F10" s="17">
        <v>11</v>
      </c>
      <c r="G10" s="18">
        <v>2363577</v>
      </c>
      <c r="H10" s="18">
        <v>1813489</v>
      </c>
      <c r="I10" s="17">
        <v>11</v>
      </c>
      <c r="J10" s="20">
        <v>45861</v>
      </c>
      <c r="K10" s="20">
        <v>45891</v>
      </c>
      <c r="L10" s="18"/>
      <c r="M10" s="18">
        <v>1478354</v>
      </c>
      <c r="N10" s="18" t="s">
        <v>205</v>
      </c>
      <c r="O10" s="20">
        <v>45909</v>
      </c>
      <c r="P10" s="20"/>
      <c r="Q10" s="17">
        <v>11</v>
      </c>
      <c r="R10" s="17">
        <v>11</v>
      </c>
      <c r="S10" s="17"/>
      <c r="T10" s="17"/>
      <c r="U10" s="17"/>
      <c r="V10" s="21">
        <f t="shared" si="3"/>
        <v>11</v>
      </c>
      <c r="W10" s="19" t="str">
        <f t="shared" si="4"/>
        <v>LIBERADO - AGUARDANDO INSTALAÇÃO</v>
      </c>
      <c r="X10" s="19" t="str">
        <f t="shared" si="5"/>
        <v>N/A01  ·  HFW3441T-ZAS  ·  OC 1478354</v>
      </c>
    </row>
    <row r="11" spans="1:24" x14ac:dyDescent="0.3">
      <c r="A11" s="19" t="str">
        <f t="shared" si="0"/>
        <v>N/A01-55721</v>
      </c>
      <c r="B11" s="17" t="s">
        <v>74</v>
      </c>
      <c r="C11" s="17">
        <v>55721</v>
      </c>
      <c r="D11" s="19" t="str">
        <f t="shared" si="1"/>
        <v>LICENCIAMENTO DIREITOS USO SOFTWARE 7,2 ENTERPRISE PERMANENTE P/SISTEMA MONITORAMENTO</v>
      </c>
      <c r="E11" s="19" t="str">
        <f t="shared" si="2"/>
        <v>LICENÇA</v>
      </c>
      <c r="F11" s="17">
        <v>1</v>
      </c>
      <c r="G11" s="18">
        <v>2363577</v>
      </c>
      <c r="H11" s="18">
        <v>1813493</v>
      </c>
      <c r="I11" s="17">
        <v>1</v>
      </c>
      <c r="J11" s="20">
        <v>45861</v>
      </c>
      <c r="K11" s="20">
        <v>45891</v>
      </c>
      <c r="L11" s="18"/>
      <c r="M11" s="18">
        <v>1478354</v>
      </c>
      <c r="N11" s="18" t="s">
        <v>205</v>
      </c>
      <c r="O11" s="20">
        <v>45909</v>
      </c>
      <c r="P11" s="20"/>
      <c r="Q11" s="17">
        <v>1</v>
      </c>
      <c r="R11" s="17">
        <v>1</v>
      </c>
      <c r="S11" s="17"/>
      <c r="T11" s="17"/>
      <c r="U11" s="17"/>
      <c r="V11" s="21">
        <f t="shared" si="3"/>
        <v>1</v>
      </c>
      <c r="W11" s="19" t="str">
        <f t="shared" si="4"/>
        <v>LIBERADO - AGUARDANDO INSTALAÇÃO</v>
      </c>
      <c r="X11" s="19" t="str">
        <f t="shared" si="5"/>
        <v>N/A01  ·  LICENCIAMENTO DIREITOS USO SOFTWARE 7,2 ENTERPRISE PERMANENTE P/SISTEMA MONITORAMENTO  ·  OC 1478354</v>
      </c>
    </row>
    <row r="12" spans="1:24" x14ac:dyDescent="0.3">
      <c r="A12" s="19" t="str">
        <f t="shared" si="0"/>
        <v>N/A01-65153</v>
      </c>
      <c r="B12" s="17" t="s">
        <v>74</v>
      </c>
      <c r="C12" s="17">
        <v>65153</v>
      </c>
      <c r="D12" s="19" t="str">
        <f t="shared" si="1"/>
        <v>DAHUA TECH/EPC230U</v>
      </c>
      <c r="E12" s="19" t="str">
        <f t="shared" si="2"/>
        <v>CÂMERA</v>
      </c>
      <c r="F12" s="17">
        <v>4</v>
      </c>
      <c r="G12" s="18">
        <v>2363577</v>
      </c>
      <c r="H12" s="18">
        <v>1813484</v>
      </c>
      <c r="I12" s="17">
        <v>4</v>
      </c>
      <c r="J12" s="20">
        <v>45861</v>
      </c>
      <c r="K12" s="20">
        <v>45891</v>
      </c>
      <c r="L12" s="18"/>
      <c r="M12" s="18">
        <v>1478354</v>
      </c>
      <c r="N12" s="18" t="s">
        <v>205</v>
      </c>
      <c r="O12" s="20">
        <v>45909</v>
      </c>
      <c r="P12" s="20"/>
      <c r="Q12" s="17">
        <v>4</v>
      </c>
      <c r="R12" s="17">
        <v>4</v>
      </c>
      <c r="S12" s="17"/>
      <c r="T12" s="17"/>
      <c r="U12" s="17"/>
      <c r="V12" s="21">
        <f t="shared" si="3"/>
        <v>4</v>
      </c>
      <c r="W12" s="19" t="str">
        <f t="shared" si="4"/>
        <v>LIBERADO - AGUARDANDO INSTALAÇÃO</v>
      </c>
      <c r="X12" s="19" t="str">
        <f t="shared" si="5"/>
        <v>N/A01  ·  DAHUA TECH/EPC230U  ·  OC 1478354</v>
      </c>
    </row>
    <row r="13" spans="1:24" x14ac:dyDescent="0.3">
      <c r="A13" s="19" t="str">
        <f t="shared" si="0"/>
        <v>N/A02-62900</v>
      </c>
      <c r="B13" s="17" t="s">
        <v>79</v>
      </c>
      <c r="C13" s="17">
        <v>62900</v>
      </c>
      <c r="D13" s="19" t="str">
        <f t="shared" si="1"/>
        <v>DH-IPC-HFW5241E-Z12E</v>
      </c>
      <c r="E13" s="19" t="str">
        <f t="shared" si="2"/>
        <v>CÂMERA</v>
      </c>
      <c r="F13" s="17">
        <v>6</v>
      </c>
      <c r="G13" s="18">
        <v>3588437</v>
      </c>
      <c r="H13" s="18">
        <v>2721417</v>
      </c>
      <c r="I13" s="17">
        <v>6</v>
      </c>
      <c r="J13" s="20">
        <v>46212</v>
      </c>
      <c r="K13" s="20">
        <v>46217</v>
      </c>
      <c r="L13" s="18"/>
      <c r="M13" s="18">
        <v>1894362</v>
      </c>
      <c r="N13" s="18" t="s">
        <v>205</v>
      </c>
      <c r="O13" s="20">
        <v>46217</v>
      </c>
      <c r="P13" s="20"/>
      <c r="Q13" s="17">
        <v>6</v>
      </c>
      <c r="R13" s="17">
        <v>6</v>
      </c>
      <c r="S13" s="17"/>
      <c r="T13" s="17"/>
      <c r="U13" s="17"/>
      <c r="V13" s="21">
        <f t="shared" si="3"/>
        <v>0</v>
      </c>
      <c r="W13" s="19" t="str">
        <f t="shared" si="4"/>
        <v>AGUARDANDO ENTREGA</v>
      </c>
      <c r="X13" s="19" t="str">
        <f t="shared" si="5"/>
        <v>N/A02  ·  DH-IPC-HFW5241E-Z12E  ·  OC 1894362</v>
      </c>
    </row>
    <row r="14" spans="1:24" x14ac:dyDescent="0.3">
      <c r="A14" s="19" t="str">
        <f t="shared" si="0"/>
        <v>N/A02-67979</v>
      </c>
      <c r="B14" s="17" t="s">
        <v>79</v>
      </c>
      <c r="C14" s="17">
        <v>67979</v>
      </c>
      <c r="D14" s="19" t="str">
        <f t="shared" si="1"/>
        <v>SOFTWARE GRAVACAO/MONITORAMENTO ADICAO 16 CAMERAS</v>
      </c>
      <c r="E14" s="19" t="str">
        <f t="shared" si="2"/>
        <v>SOFTWARE</v>
      </c>
      <c r="F14" s="17">
        <v>1</v>
      </c>
      <c r="G14" s="18">
        <v>3588437</v>
      </c>
      <c r="H14" s="18">
        <v>2721423</v>
      </c>
      <c r="I14" s="17">
        <v>1</v>
      </c>
      <c r="J14" s="20">
        <v>46212</v>
      </c>
      <c r="K14" s="20">
        <v>46241</v>
      </c>
      <c r="L14" s="18"/>
      <c r="M14" s="18">
        <v>1989702</v>
      </c>
      <c r="N14" s="18" t="s">
        <v>205</v>
      </c>
      <c r="O14" s="20">
        <v>46254</v>
      </c>
      <c r="P14" s="20"/>
      <c r="Q14" s="17">
        <v>1</v>
      </c>
      <c r="R14" s="17">
        <v>1</v>
      </c>
      <c r="S14" s="17"/>
      <c r="T14" s="17"/>
      <c r="U14" s="17"/>
      <c r="V14" s="21">
        <f t="shared" si="3"/>
        <v>0</v>
      </c>
      <c r="W14" s="19" t="str">
        <f t="shared" si="4"/>
        <v>AGUARDANDO ENTREGA</v>
      </c>
      <c r="X14" s="19" t="str">
        <f t="shared" si="5"/>
        <v>N/A02  ·  SOFTWARE GRAVACAO/MONITORAMENTO ADICAO 16 CAMERAS  ·  OC 1989702</v>
      </c>
    </row>
    <row r="15" spans="1:24" x14ac:dyDescent="0.3">
      <c r="A15" s="19" t="str">
        <f t="shared" si="0"/>
        <v>N/A02-54824</v>
      </c>
      <c r="B15" s="17" t="s">
        <v>79</v>
      </c>
      <c r="C15" s="17">
        <v>54824</v>
      </c>
      <c r="D15" s="19" t="str">
        <f t="shared" si="1"/>
        <v>SD6AL245U-HNI-IR</v>
      </c>
      <c r="E15" s="19" t="str">
        <f t="shared" si="2"/>
        <v>CÂMERA</v>
      </c>
      <c r="F15" s="17">
        <v>4</v>
      </c>
      <c r="G15" s="18">
        <v>3588437</v>
      </c>
      <c r="H15" s="18">
        <v>2721467</v>
      </c>
      <c r="I15" s="17">
        <v>4</v>
      </c>
      <c r="J15" s="20">
        <v>46212</v>
      </c>
      <c r="K15" s="20">
        <v>46217</v>
      </c>
      <c r="L15" s="18"/>
      <c r="M15" s="18">
        <v>1894361</v>
      </c>
      <c r="N15" s="18" t="s">
        <v>205</v>
      </c>
      <c r="O15" s="20">
        <v>46217</v>
      </c>
      <c r="P15" s="20"/>
      <c r="Q15" s="17">
        <v>4</v>
      </c>
      <c r="R15" s="17">
        <v>4</v>
      </c>
      <c r="S15" s="17"/>
      <c r="T15" s="17"/>
      <c r="U15" s="17"/>
      <c r="V15" s="21">
        <f t="shared" si="3"/>
        <v>4</v>
      </c>
      <c r="W15" s="19" t="str">
        <f t="shared" si="4"/>
        <v>LIBERADO - AGUARDANDO INSTALAÇÃO</v>
      </c>
      <c r="X15" s="19" t="str">
        <f t="shared" si="5"/>
        <v>N/A02  ·  SD6AL245U-HNI-IR  ·  OC 1894361</v>
      </c>
    </row>
    <row r="16" spans="1:24" x14ac:dyDescent="0.3">
      <c r="A16" s="19" t="str">
        <f t="shared" si="0"/>
        <v>N/A13-63489</v>
      </c>
      <c r="B16" s="17" t="s">
        <v>123</v>
      </c>
      <c r="C16" s="17">
        <v>63489</v>
      </c>
      <c r="D16" s="19" t="str">
        <f t="shared" si="1"/>
        <v>HFW2431S-S-S2</v>
      </c>
      <c r="E16" s="19" t="str">
        <f t="shared" si="2"/>
        <v>CÂMERA</v>
      </c>
      <c r="F16" s="17">
        <v>4</v>
      </c>
      <c r="G16" s="18">
        <v>3136206</v>
      </c>
      <c r="H16" s="18">
        <v>2394641</v>
      </c>
      <c r="I16" s="17">
        <v>4</v>
      </c>
      <c r="J16" s="20">
        <v>46141</v>
      </c>
      <c r="K16" s="20">
        <v>46155</v>
      </c>
      <c r="L16" s="51" t="s">
        <v>618</v>
      </c>
      <c r="M16" s="18">
        <v>1896421</v>
      </c>
      <c r="N16" s="18" t="s">
        <v>205</v>
      </c>
      <c r="O16" s="20">
        <v>46155</v>
      </c>
      <c r="P16" s="20">
        <f>CadastroItensTable[[#This Row],[DATA DA OC]]+45</f>
        <v>46200</v>
      </c>
      <c r="Q16" s="17">
        <v>4</v>
      </c>
      <c r="R16" s="17">
        <v>4</v>
      </c>
      <c r="S16" s="17"/>
      <c r="T16" s="17"/>
      <c r="U16" s="17"/>
      <c r="V16" s="21">
        <f t="shared" si="3"/>
        <v>0</v>
      </c>
      <c r="W16" s="19" t="str">
        <f t="shared" si="4"/>
        <v>AGUARDANDO ENTREGA</v>
      </c>
      <c r="X16" s="19" t="str">
        <f t="shared" si="5"/>
        <v>N/A13  ·  HFW2431S-S-S2  ·  OC 1896421</v>
      </c>
    </row>
    <row r="17" spans="1:24" x14ac:dyDescent="0.3">
      <c r="A17" s="19" t="str">
        <f t="shared" si="0"/>
        <v>N/A13-67977</v>
      </c>
      <c r="B17" s="17" t="s">
        <v>123</v>
      </c>
      <c r="C17" s="17">
        <v>67977</v>
      </c>
      <c r="D17" s="19" t="str">
        <f t="shared" si="1"/>
        <v>LICENCIAMENTO MONITORAMENTO 04 CAMERAS</v>
      </c>
      <c r="E17" s="19" t="str">
        <f t="shared" si="2"/>
        <v>LICENÇA</v>
      </c>
      <c r="F17" s="17">
        <v>1</v>
      </c>
      <c r="G17" s="18">
        <v>3136206</v>
      </c>
      <c r="H17" s="18">
        <v>2394650</v>
      </c>
      <c r="I17" s="17">
        <v>1</v>
      </c>
      <c r="J17" s="20">
        <v>46141</v>
      </c>
      <c r="K17" s="20">
        <v>46203</v>
      </c>
      <c r="L17" s="51" t="s">
        <v>618</v>
      </c>
      <c r="M17" s="18">
        <v>1849596</v>
      </c>
      <c r="N17" s="18" t="s">
        <v>205</v>
      </c>
      <c r="O17" s="20">
        <v>46205</v>
      </c>
      <c r="P17" s="20">
        <f>CadastroItensTable[[#This Row],[DATA DA OC]]+1</f>
        <v>46206</v>
      </c>
      <c r="Q17" s="17">
        <v>1</v>
      </c>
      <c r="R17" s="17"/>
      <c r="S17" s="17"/>
      <c r="T17" s="17"/>
      <c r="U17" s="17"/>
      <c r="V17" s="21">
        <f t="shared" si="3"/>
        <v>0</v>
      </c>
      <c r="W17" s="19" t="str">
        <f t="shared" si="4"/>
        <v>AGUARDANDO ENTREGA</v>
      </c>
      <c r="X17" s="19" t="str">
        <f t="shared" si="5"/>
        <v>N/A13  ·  LICENCIAMENTO MONITORAMENTO 04 CAMERAS  ·  OC 1849596</v>
      </c>
    </row>
    <row r="18" spans="1:24" x14ac:dyDescent="0.3">
      <c r="A18" s="19" t="str">
        <f t="shared" si="0"/>
        <v>123-68184</v>
      </c>
      <c r="B18" s="17">
        <v>123</v>
      </c>
      <c r="C18" s="17">
        <v>68184</v>
      </c>
      <c r="D18" s="19" t="str">
        <f t="shared" si="1"/>
        <v>12VCC 2 RS485/RJ45 2179KBPS DAHUA TECH/DHI-ITC413-PW4D-Z1</v>
      </c>
      <c r="E18" s="19" t="str">
        <f t="shared" si="2"/>
        <v>CÂMERA</v>
      </c>
      <c r="F18" s="17">
        <v>2</v>
      </c>
      <c r="G18" s="18">
        <v>2052105</v>
      </c>
      <c r="H18" s="18">
        <v>1569304</v>
      </c>
      <c r="I18" s="17">
        <v>4</v>
      </c>
      <c r="J18" s="20">
        <v>45706</v>
      </c>
      <c r="K18" s="20">
        <v>45728</v>
      </c>
      <c r="L18" s="18"/>
      <c r="M18" s="18">
        <v>1194247</v>
      </c>
      <c r="N18" s="18" t="s">
        <v>205</v>
      </c>
      <c r="O18" s="20">
        <v>45735</v>
      </c>
      <c r="P18" s="20">
        <f>CadastroItensTable[[#This Row],[DATA DA OC]]+160</f>
        <v>45895</v>
      </c>
      <c r="Q18" s="17">
        <v>4</v>
      </c>
      <c r="R18" s="17">
        <v>4</v>
      </c>
      <c r="S18" s="17">
        <v>4</v>
      </c>
      <c r="T18" s="17">
        <v>4</v>
      </c>
      <c r="U18" s="17">
        <v>4</v>
      </c>
      <c r="V18" s="21">
        <f t="shared" si="3"/>
        <v>4</v>
      </c>
      <c r="W18" s="19" t="str">
        <f t="shared" si="4"/>
        <v>CONCLUÍDO</v>
      </c>
      <c r="X18" s="19" t="str">
        <f t="shared" si="5"/>
        <v>123  ·  12VCC 2 RS485/RJ45 2179KBPS DAHUA TECH/DHI-ITC413-PW4D-Z1  ·  OC 1194247</v>
      </c>
    </row>
    <row r="19" spans="1:24" x14ac:dyDescent="0.3">
      <c r="A19" s="19" t="str">
        <f t="shared" si="0"/>
        <v>123-85197</v>
      </c>
      <c r="B19" s="17">
        <v>123</v>
      </c>
      <c r="C19" s="17">
        <v>85197</v>
      </c>
      <c r="D19" s="19" t="str">
        <f t="shared" si="1"/>
        <v>PW4D-IZ3</v>
      </c>
      <c r="E19" s="19" t="str">
        <f t="shared" si="2"/>
        <v>CÂMERA</v>
      </c>
      <c r="F19" s="17">
        <v>1</v>
      </c>
      <c r="G19" s="18">
        <v>2505152</v>
      </c>
      <c r="H19" s="18">
        <v>1924342</v>
      </c>
      <c r="I19" s="17">
        <v>1</v>
      </c>
      <c r="J19" s="20">
        <v>45908</v>
      </c>
      <c r="K19" s="20">
        <v>45925</v>
      </c>
      <c r="L19" s="18"/>
      <c r="M19" s="18">
        <v>1500841</v>
      </c>
      <c r="N19" s="18" t="s">
        <v>205</v>
      </c>
      <c r="O19" s="20">
        <v>45925</v>
      </c>
      <c r="P19" s="20">
        <f>CadastroItensTable[[#This Row],[DATA DA OC]]+45</f>
        <v>45970</v>
      </c>
      <c r="Q19" s="17">
        <v>1</v>
      </c>
      <c r="R19" s="17">
        <v>1</v>
      </c>
      <c r="S19" s="17">
        <v>1</v>
      </c>
      <c r="T19" s="17">
        <v>1</v>
      </c>
      <c r="U19" s="17">
        <v>1</v>
      </c>
      <c r="V19" s="21">
        <f t="shared" si="3"/>
        <v>1</v>
      </c>
      <c r="W19" s="19" t="str">
        <f t="shared" si="4"/>
        <v>CONCLUÍDO</v>
      </c>
      <c r="X19" s="19" t="str">
        <f t="shared" si="5"/>
        <v>123  ·  PW4D-IZ3  ·  OC 1500841</v>
      </c>
    </row>
    <row r="20" spans="1:24" x14ac:dyDescent="0.3">
      <c r="A20" s="19" t="str">
        <f t="shared" si="0"/>
        <v>123-63490</v>
      </c>
      <c r="B20" s="17">
        <v>123</v>
      </c>
      <c r="C20" s="17">
        <v>63490</v>
      </c>
      <c r="D20" s="19" t="str">
        <f t="shared" si="1"/>
        <v>HFW3441T-ZAS</v>
      </c>
      <c r="E20" s="19" t="str">
        <f t="shared" si="2"/>
        <v>CÂMERA</v>
      </c>
      <c r="F20" s="17">
        <v>9</v>
      </c>
      <c r="G20" s="18">
        <v>2505152</v>
      </c>
      <c r="H20" s="18">
        <v>1924343</v>
      </c>
      <c r="I20" s="17">
        <v>9</v>
      </c>
      <c r="J20" s="20">
        <v>45908</v>
      </c>
      <c r="K20" s="20">
        <v>45910</v>
      </c>
      <c r="L20" s="18"/>
      <c r="M20" s="18">
        <v>1486780</v>
      </c>
      <c r="N20" s="18" t="s">
        <v>205</v>
      </c>
      <c r="O20" s="20">
        <v>45915</v>
      </c>
      <c r="P20" s="20">
        <f>CadastroItensTable[[#This Row],[DATA DA OC]]+90</f>
        <v>46005</v>
      </c>
      <c r="Q20" s="17">
        <v>9</v>
      </c>
      <c r="R20" s="17">
        <v>9</v>
      </c>
      <c r="S20" s="17"/>
      <c r="T20" s="17"/>
      <c r="U20" s="17"/>
      <c r="V20" s="21">
        <f t="shared" si="3"/>
        <v>0</v>
      </c>
      <c r="W20" s="19" t="str">
        <f t="shared" si="4"/>
        <v>AGUARDANDO ENTREGA</v>
      </c>
      <c r="X20" s="19" t="str">
        <f t="shared" si="5"/>
        <v>123  ·  HFW3441T-ZAS  ·  OC 1486780</v>
      </c>
    </row>
    <row r="21" spans="1:24" x14ac:dyDescent="0.3">
      <c r="A21" s="19" t="str">
        <f t="shared" si="0"/>
        <v>123-52416</v>
      </c>
      <c r="B21" s="17">
        <v>123</v>
      </c>
      <c r="C21" s="17">
        <v>52416</v>
      </c>
      <c r="D21" s="19" t="str">
        <f t="shared" si="1"/>
        <v xml:space="preserve"> 29PORT 24RJ45/4 SFP/1 USB 100-240VCA 43,60X227X442MM HUAWEI/S5735-L24P4XE-A-V2</v>
      </c>
      <c r="E21" s="19" t="str">
        <f t="shared" si="2"/>
        <v>SWITCH</v>
      </c>
      <c r="F21" s="17">
        <v>2</v>
      </c>
      <c r="G21" s="18">
        <v>2355180</v>
      </c>
      <c r="H21" s="18">
        <v>1806813</v>
      </c>
      <c r="I21" s="17">
        <v>2</v>
      </c>
      <c r="J21" s="20">
        <v>45859</v>
      </c>
      <c r="K21" s="20">
        <v>45905</v>
      </c>
      <c r="L21" s="18"/>
      <c r="M21" s="18">
        <v>1476734</v>
      </c>
      <c r="N21" s="18" t="s">
        <v>632</v>
      </c>
      <c r="O21" s="20">
        <v>45945</v>
      </c>
      <c r="P21" s="20">
        <f>CadastroItensTable[[#This Row],[DATA DA OC]]+20</f>
        <v>45965</v>
      </c>
      <c r="Q21" s="17">
        <v>2</v>
      </c>
      <c r="R21" s="17">
        <v>2</v>
      </c>
      <c r="S21" s="17">
        <v>2</v>
      </c>
      <c r="T21" s="17">
        <v>2</v>
      </c>
      <c r="U21" s="17">
        <v>2</v>
      </c>
      <c r="V21" s="21">
        <f t="shared" si="3"/>
        <v>2</v>
      </c>
      <c r="W21" s="19" t="str">
        <f t="shared" si="4"/>
        <v>CONCLUÍDO</v>
      </c>
      <c r="X21" s="19" t="str">
        <f t="shared" si="5"/>
        <v>123  ·   29PORT 24RJ45/4 SFP/1 USB 100-240VCA 43,60X227X442MM HUAWEI/S5735-L24P4XE-A-V2  ·  OC 1476734</v>
      </c>
    </row>
    <row r="22" spans="1:24" x14ac:dyDescent="0.3">
      <c r="A22" s="19" t="str">
        <f t="shared" si="0"/>
        <v>123-92927</v>
      </c>
      <c r="B22" s="17">
        <v>123</v>
      </c>
      <c r="C22" s="17">
        <v>92927</v>
      </c>
      <c r="D22" s="19" t="str">
        <f t="shared" si="1"/>
        <v>INTERFONE PLASTICO ABS 12VCC C/ACIONAMENTO FECHADURA IP/WIFI DAHUA TECH/DHI-VTH5421E(W)-H</v>
      </c>
      <c r="E22" s="19" t="str">
        <f t="shared" si="2"/>
        <v>INTERFONE</v>
      </c>
      <c r="F22" s="17">
        <v>2</v>
      </c>
      <c r="G22" s="18">
        <v>2355180</v>
      </c>
      <c r="H22" s="18">
        <v>1806815</v>
      </c>
      <c r="I22" s="17">
        <v>2</v>
      </c>
      <c r="J22" s="20">
        <v>45859</v>
      </c>
      <c r="K22" s="20">
        <v>45876</v>
      </c>
      <c r="L22" s="18"/>
      <c r="M22" s="18">
        <v>1437133</v>
      </c>
      <c r="N22" s="18" t="s">
        <v>636</v>
      </c>
      <c r="O22" s="20">
        <v>45884</v>
      </c>
      <c r="P22" s="20">
        <f>CadastroItensTable[[#This Row],[DATA DA OC]]+21</f>
        <v>45905</v>
      </c>
      <c r="Q22" s="17">
        <v>2</v>
      </c>
      <c r="R22" s="17">
        <v>2</v>
      </c>
      <c r="S22" s="17">
        <v>2</v>
      </c>
      <c r="T22" s="17">
        <v>2</v>
      </c>
      <c r="U22" s="17">
        <v>2</v>
      </c>
      <c r="V22" s="21">
        <f t="shared" si="3"/>
        <v>2</v>
      </c>
      <c r="W22" s="19" t="str">
        <f t="shared" si="4"/>
        <v>CONCLUÍDO</v>
      </c>
      <c r="X22" s="19" t="str">
        <f t="shared" si="5"/>
        <v>123  ·  INTERFONE PLASTICO ABS 12VCC C/ACIONAMENTO FECHADURA IP/WIFI DAHUA TECH/DHI-VTH5421E(W)-H  ·  OC 1437133</v>
      </c>
    </row>
    <row r="23" spans="1:24" x14ac:dyDescent="0.3">
      <c r="A23" s="19" t="str">
        <f t="shared" si="0"/>
        <v>123-86736</v>
      </c>
      <c r="B23" s="17">
        <v>123</v>
      </c>
      <c r="C23" s="17">
        <v>86736</v>
      </c>
      <c r="D23" s="19" t="str">
        <f t="shared" si="1"/>
        <v>UNIDADE CONTROLE ACESSOS ELETR LCD 7POL FACIAL 218X118X24,20MM C/SUPORTE DAHUA TECH/DHI-ASI7213S-W</v>
      </c>
      <c r="E23" s="19" t="str">
        <f t="shared" si="2"/>
        <v>COLETOR FACIAL</v>
      </c>
      <c r="F23" s="17">
        <v>4</v>
      </c>
      <c r="G23" s="18">
        <v>2355180</v>
      </c>
      <c r="H23" s="18">
        <v>1806817</v>
      </c>
      <c r="I23" s="17">
        <v>4</v>
      </c>
      <c r="J23" s="20">
        <v>45859</v>
      </c>
      <c r="K23" s="20">
        <v>45880</v>
      </c>
      <c r="L23" s="18"/>
      <c r="M23" s="18">
        <v>1444810</v>
      </c>
      <c r="N23" s="18" t="s">
        <v>205</v>
      </c>
      <c r="O23" s="20">
        <v>45888</v>
      </c>
      <c r="P23" s="20">
        <f>CadastroItensTable[[#This Row],[DATA DA OC]]+45</f>
        <v>45933</v>
      </c>
      <c r="Q23" s="17">
        <v>4</v>
      </c>
      <c r="R23" s="17">
        <v>4</v>
      </c>
      <c r="S23" s="17"/>
      <c r="T23" s="17"/>
      <c r="U23" s="17"/>
      <c r="V23" s="21">
        <f t="shared" si="3"/>
        <v>4</v>
      </c>
      <c r="W23" s="19" t="str">
        <f t="shared" si="4"/>
        <v>LIBERADO - AGUARDANDO INSTALAÇÃO</v>
      </c>
      <c r="X23" s="19" t="str">
        <f t="shared" si="5"/>
        <v>123  ·  UNIDADE CONTROLE ACESSOS ELETR LCD 7POL FACIAL 218X118X24,20MM C/SUPORTE DAHUA TECH/DHI-ASI7213S-W  ·  OC 1444810</v>
      </c>
    </row>
    <row r="24" spans="1:24" x14ac:dyDescent="0.3">
      <c r="A24" s="19" t="str">
        <f t="shared" si="0"/>
        <v>N/A59-63489</v>
      </c>
      <c r="B24" s="17" t="s">
        <v>598</v>
      </c>
      <c r="C24" s="17">
        <v>63489</v>
      </c>
      <c r="D24" s="19" t="str">
        <f t="shared" si="1"/>
        <v>HFW2431S-S-S2</v>
      </c>
      <c r="E24" s="19" t="str">
        <f t="shared" si="2"/>
        <v>CÂMERA</v>
      </c>
      <c r="F24" s="17">
        <v>60</v>
      </c>
      <c r="G24" s="18">
        <v>3300203</v>
      </c>
      <c r="H24" s="18">
        <v>2502563</v>
      </c>
      <c r="I24" s="17">
        <v>60</v>
      </c>
      <c r="J24" s="20">
        <v>46170</v>
      </c>
      <c r="K24" s="20">
        <v>46175</v>
      </c>
      <c r="L24" s="18"/>
      <c r="M24" s="18">
        <v>1758538</v>
      </c>
      <c r="N24" s="18" t="s">
        <v>205</v>
      </c>
      <c r="O24" s="20">
        <v>46175</v>
      </c>
      <c r="P24" s="20">
        <f>CadastroItensTable[[#This Row],[DATA DA OC]]+45</f>
        <v>46220</v>
      </c>
      <c r="Q24" s="17">
        <v>60</v>
      </c>
      <c r="R24" s="17">
        <v>60</v>
      </c>
      <c r="S24" s="17"/>
      <c r="T24" s="17"/>
      <c r="U24" s="17"/>
      <c r="V24" s="21">
        <f t="shared" si="3"/>
        <v>0</v>
      </c>
      <c r="W24" s="19" t="str">
        <f t="shared" si="4"/>
        <v>AGUARDANDO ENTREGA</v>
      </c>
      <c r="X24" s="19" t="str">
        <f t="shared" si="5"/>
        <v>N/A59  ·  HFW2431S-S-S2  ·  OC 1758538</v>
      </c>
    </row>
    <row r="25" spans="1:24" x14ac:dyDescent="0.3">
      <c r="A25" s="19" t="str">
        <f t="shared" si="0"/>
        <v>N/A59-54792</v>
      </c>
      <c r="B25" s="17" t="s">
        <v>598</v>
      </c>
      <c r="C25" s="17">
        <v>54792</v>
      </c>
      <c r="D25" s="19" t="str">
        <f t="shared" si="1"/>
        <v>HDBW2230E-S-S2</v>
      </c>
      <c r="E25" s="19" t="str">
        <f t="shared" si="2"/>
        <v>CÂMERA</v>
      </c>
      <c r="F25" s="17">
        <v>130</v>
      </c>
      <c r="G25" s="18">
        <v>3300203</v>
      </c>
      <c r="H25" s="18">
        <v>2502559</v>
      </c>
      <c r="I25" s="17">
        <v>130</v>
      </c>
      <c r="J25" s="20">
        <v>46170</v>
      </c>
      <c r="K25" s="20">
        <v>46174</v>
      </c>
      <c r="L25" s="18"/>
      <c r="M25" s="18">
        <v>1756367</v>
      </c>
      <c r="N25" s="18" t="s">
        <v>205</v>
      </c>
      <c r="O25" s="20">
        <v>46174</v>
      </c>
      <c r="P25" s="20">
        <f>CadastroItensTable[[#This Row],[DATA DA OC]]+45</f>
        <v>46219</v>
      </c>
      <c r="Q25" s="17">
        <v>130</v>
      </c>
      <c r="R25" s="17">
        <v>130</v>
      </c>
      <c r="S25" s="17"/>
      <c r="T25" s="17"/>
      <c r="U25" s="17"/>
      <c r="V25" s="21">
        <f t="shared" si="3"/>
        <v>0</v>
      </c>
      <c r="W25" s="19" t="str">
        <f t="shared" si="4"/>
        <v>AGUARDANDO ENTREGA</v>
      </c>
      <c r="X25" s="19" t="str">
        <f t="shared" si="5"/>
        <v>N/A59  ·  HDBW2230E-S-S2  ·  OC 1756367</v>
      </c>
    </row>
    <row r="26" spans="1:24" x14ac:dyDescent="0.3">
      <c r="A26" s="19" t="str">
        <f t="shared" si="0"/>
        <v/>
      </c>
      <c r="B26" s="17"/>
      <c r="C26" s="17"/>
      <c r="D26" s="19" t="str">
        <f t="shared" si="1"/>
        <v/>
      </c>
      <c r="E26" s="19" t="str">
        <f t="shared" si="2"/>
        <v/>
      </c>
      <c r="F26" s="17"/>
      <c r="G26" s="18"/>
      <c r="H26" s="18"/>
      <c r="I26" s="17"/>
      <c r="J26" s="20"/>
      <c r="K26" s="20"/>
      <c r="L26" s="18"/>
      <c r="M26" s="18"/>
      <c r="N26" s="18"/>
      <c r="O26" s="20"/>
      <c r="P26" s="20"/>
      <c r="Q26" s="17"/>
      <c r="R26" s="17"/>
      <c r="S26" s="17"/>
      <c r="T26" s="17"/>
      <c r="U26" s="17"/>
      <c r="V26" s="21">
        <f t="shared" si="3"/>
        <v>0</v>
      </c>
      <c r="W26" s="19" t="str">
        <f t="shared" si="4"/>
        <v/>
      </c>
      <c r="X26" s="19" t="str">
        <f t="shared" si="5"/>
        <v/>
      </c>
    </row>
    <row r="27" spans="1:24" x14ac:dyDescent="0.3">
      <c r="A27" s="19" t="str">
        <f t="shared" si="0"/>
        <v/>
      </c>
      <c r="B27" s="17"/>
      <c r="C27" s="17"/>
      <c r="D27" s="19" t="str">
        <f t="shared" si="1"/>
        <v/>
      </c>
      <c r="E27" s="19" t="str">
        <f t="shared" si="2"/>
        <v/>
      </c>
      <c r="F27" s="17"/>
      <c r="G27" s="18"/>
      <c r="H27" s="18"/>
      <c r="I27" s="17"/>
      <c r="J27" s="20"/>
      <c r="K27" s="20"/>
      <c r="L27" s="18"/>
      <c r="M27" s="18"/>
      <c r="N27" s="18"/>
      <c r="O27" s="20"/>
      <c r="P27" s="20"/>
      <c r="Q27" s="17"/>
      <c r="R27" s="17"/>
      <c r="S27" s="17"/>
      <c r="T27" s="17"/>
      <c r="U27" s="17"/>
      <c r="V27" s="21">
        <f t="shared" si="3"/>
        <v>0</v>
      </c>
      <c r="W27" s="19" t="str">
        <f t="shared" si="4"/>
        <v/>
      </c>
      <c r="X27" s="19" t="str">
        <f t="shared" si="5"/>
        <v/>
      </c>
    </row>
    <row r="28" spans="1:24" x14ac:dyDescent="0.3">
      <c r="A28" s="19" t="str">
        <f t="shared" si="0"/>
        <v/>
      </c>
      <c r="B28" s="17"/>
      <c r="C28" s="17"/>
      <c r="D28" s="19" t="str">
        <f t="shared" si="1"/>
        <v/>
      </c>
      <c r="E28" s="19" t="str">
        <f t="shared" si="2"/>
        <v/>
      </c>
      <c r="F28" s="17"/>
      <c r="G28" s="18"/>
      <c r="H28" s="18"/>
      <c r="I28" s="17"/>
      <c r="J28" s="20"/>
      <c r="K28" s="20"/>
      <c r="L28" s="18"/>
      <c r="M28" s="18"/>
      <c r="N28" s="18"/>
      <c r="O28" s="20"/>
      <c r="P28" s="20"/>
      <c r="Q28" s="17"/>
      <c r="R28" s="17"/>
      <c r="S28" s="17"/>
      <c r="T28" s="17"/>
      <c r="U28" s="17"/>
      <c r="V28" s="21">
        <f t="shared" si="3"/>
        <v>0</v>
      </c>
      <c r="W28" s="19" t="str">
        <f t="shared" si="4"/>
        <v/>
      </c>
      <c r="X28" s="19" t="str">
        <f t="shared" si="5"/>
        <v/>
      </c>
    </row>
    <row r="29" spans="1:24" x14ac:dyDescent="0.3">
      <c r="A29" s="19" t="str">
        <f t="shared" si="0"/>
        <v/>
      </c>
      <c r="B29" s="17"/>
      <c r="C29" s="17"/>
      <c r="D29" s="19" t="str">
        <f t="shared" si="1"/>
        <v/>
      </c>
      <c r="E29" s="19" t="str">
        <f t="shared" si="2"/>
        <v/>
      </c>
      <c r="F29" s="17"/>
      <c r="G29" s="18"/>
      <c r="H29" s="18"/>
      <c r="I29" s="17"/>
      <c r="J29" s="20"/>
      <c r="K29" s="20"/>
      <c r="L29" s="18"/>
      <c r="M29" s="18"/>
      <c r="N29" s="18"/>
      <c r="O29" s="20"/>
      <c r="P29" s="20"/>
      <c r="Q29" s="17"/>
      <c r="R29" s="17"/>
      <c r="S29" s="17"/>
      <c r="T29" s="17"/>
      <c r="U29" s="17"/>
      <c r="V29" s="21">
        <f t="shared" si="3"/>
        <v>0</v>
      </c>
      <c r="W29" s="19" t="str">
        <f t="shared" si="4"/>
        <v/>
      </c>
      <c r="X29" s="19" t="str">
        <f t="shared" si="5"/>
        <v/>
      </c>
    </row>
    <row r="30" spans="1:24" x14ac:dyDescent="0.3">
      <c r="A30" s="19" t="str">
        <f t="shared" si="0"/>
        <v/>
      </c>
      <c r="B30" s="17"/>
      <c r="C30" s="17"/>
      <c r="D30" s="19" t="str">
        <f t="shared" si="1"/>
        <v/>
      </c>
      <c r="E30" s="19" t="str">
        <f t="shared" si="2"/>
        <v/>
      </c>
      <c r="F30" s="17"/>
      <c r="G30" s="18"/>
      <c r="H30" s="18"/>
      <c r="I30" s="17"/>
      <c r="J30" s="20"/>
      <c r="K30" s="20"/>
      <c r="L30" s="18"/>
      <c r="M30" s="18"/>
      <c r="N30" s="18"/>
      <c r="O30" s="20"/>
      <c r="P30" s="20"/>
      <c r="Q30" s="17"/>
      <c r="R30" s="17"/>
      <c r="S30" s="17"/>
      <c r="T30" s="17"/>
      <c r="U30" s="17"/>
      <c r="V30" s="21">
        <f t="shared" si="3"/>
        <v>0</v>
      </c>
      <c r="W30" s="19" t="str">
        <f t="shared" si="4"/>
        <v/>
      </c>
      <c r="X30" s="19" t="str">
        <f t="shared" si="5"/>
        <v/>
      </c>
    </row>
    <row r="31" spans="1:24" x14ac:dyDescent="0.3">
      <c r="A31" s="19" t="str">
        <f t="shared" si="0"/>
        <v/>
      </c>
      <c r="B31" s="17"/>
      <c r="C31" s="17"/>
      <c r="D31" s="19" t="str">
        <f t="shared" si="1"/>
        <v/>
      </c>
      <c r="E31" s="19" t="str">
        <f t="shared" si="2"/>
        <v/>
      </c>
      <c r="F31" s="17"/>
      <c r="G31" s="18"/>
      <c r="H31" s="18"/>
      <c r="I31" s="17"/>
      <c r="J31" s="20"/>
      <c r="K31" s="20"/>
      <c r="L31" s="18"/>
      <c r="M31" s="18"/>
      <c r="N31" s="18"/>
      <c r="O31" s="20"/>
      <c r="P31" s="20"/>
      <c r="Q31" s="17"/>
      <c r="R31" s="17"/>
      <c r="S31" s="17"/>
      <c r="T31" s="17"/>
      <c r="U31" s="17"/>
      <c r="V31" s="21">
        <f t="shared" si="3"/>
        <v>0</v>
      </c>
      <c r="W31" s="19" t="str">
        <f t="shared" si="4"/>
        <v/>
      </c>
      <c r="X31" s="19" t="str">
        <f t="shared" si="5"/>
        <v/>
      </c>
    </row>
    <row r="32" spans="1:24" x14ac:dyDescent="0.3">
      <c r="A32" s="19" t="str">
        <f t="shared" si="0"/>
        <v/>
      </c>
      <c r="B32" s="17"/>
      <c r="C32" s="17"/>
      <c r="D32" s="19" t="str">
        <f t="shared" si="1"/>
        <v/>
      </c>
      <c r="E32" s="19" t="str">
        <f t="shared" si="2"/>
        <v/>
      </c>
      <c r="F32" s="17"/>
      <c r="G32" s="18"/>
      <c r="H32" s="18"/>
      <c r="I32" s="17"/>
      <c r="J32" s="20"/>
      <c r="K32" s="20"/>
      <c r="L32" s="18"/>
      <c r="M32" s="18"/>
      <c r="N32" s="18"/>
      <c r="O32" s="20"/>
      <c r="P32" s="20"/>
      <c r="Q32" s="17"/>
      <c r="R32" s="17"/>
      <c r="S32" s="17"/>
      <c r="T32" s="17"/>
      <c r="U32" s="17"/>
      <c r="V32" s="21">
        <f t="shared" si="3"/>
        <v>0</v>
      </c>
      <c r="W32" s="19" t="str">
        <f t="shared" si="4"/>
        <v/>
      </c>
      <c r="X32" s="19" t="str">
        <f t="shared" si="5"/>
        <v/>
      </c>
    </row>
    <row r="33" spans="1:24" x14ac:dyDescent="0.3">
      <c r="A33" s="19" t="str">
        <f t="shared" si="0"/>
        <v/>
      </c>
      <c r="B33" s="17"/>
      <c r="C33" s="17"/>
      <c r="D33" s="19" t="str">
        <f t="shared" si="1"/>
        <v/>
      </c>
      <c r="E33" s="19" t="str">
        <f t="shared" si="2"/>
        <v/>
      </c>
      <c r="F33" s="17"/>
      <c r="G33" s="18"/>
      <c r="H33" s="18"/>
      <c r="I33" s="17"/>
      <c r="J33" s="20"/>
      <c r="K33" s="20"/>
      <c r="L33" s="18"/>
      <c r="M33" s="18"/>
      <c r="N33" s="18"/>
      <c r="O33" s="20"/>
      <c r="P33" s="20"/>
      <c r="Q33" s="17"/>
      <c r="R33" s="17"/>
      <c r="S33" s="17"/>
      <c r="T33" s="17"/>
      <c r="U33" s="17"/>
      <c r="V33" s="21">
        <f t="shared" si="3"/>
        <v>0</v>
      </c>
      <c r="W33" s="19" t="str">
        <f t="shared" si="4"/>
        <v/>
      </c>
      <c r="X33" s="19" t="str">
        <f t="shared" si="5"/>
        <v/>
      </c>
    </row>
    <row r="34" spans="1:24" x14ac:dyDescent="0.3">
      <c r="A34" s="19" t="str">
        <f t="shared" si="0"/>
        <v/>
      </c>
      <c r="B34" s="17"/>
      <c r="C34" s="17"/>
      <c r="D34" s="19" t="str">
        <f t="shared" si="1"/>
        <v/>
      </c>
      <c r="E34" s="19" t="str">
        <f t="shared" si="2"/>
        <v/>
      </c>
      <c r="F34" s="17"/>
      <c r="G34" s="18"/>
      <c r="H34" s="18"/>
      <c r="I34" s="17"/>
      <c r="J34" s="20"/>
      <c r="K34" s="20"/>
      <c r="L34" s="18"/>
      <c r="M34" s="18"/>
      <c r="N34" s="18"/>
      <c r="O34" s="20"/>
      <c r="P34" s="20"/>
      <c r="Q34" s="17"/>
      <c r="R34" s="17"/>
      <c r="S34" s="17"/>
      <c r="T34" s="17"/>
      <c r="U34" s="17"/>
      <c r="V34" s="21">
        <f t="shared" si="3"/>
        <v>0</v>
      </c>
      <c r="W34" s="19" t="str">
        <f t="shared" si="4"/>
        <v/>
      </c>
      <c r="X34" s="19" t="str">
        <f t="shared" si="5"/>
        <v/>
      </c>
    </row>
    <row r="35" spans="1:24" x14ac:dyDescent="0.3">
      <c r="A35" s="19" t="str">
        <f t="shared" si="0"/>
        <v/>
      </c>
      <c r="B35" s="17"/>
      <c r="C35" s="17"/>
      <c r="D35" s="19" t="str">
        <f t="shared" si="1"/>
        <v/>
      </c>
      <c r="E35" s="19" t="str">
        <f t="shared" si="2"/>
        <v/>
      </c>
      <c r="F35" s="17"/>
      <c r="G35" s="18"/>
      <c r="H35" s="18"/>
      <c r="I35" s="17"/>
      <c r="J35" s="20"/>
      <c r="K35" s="20"/>
      <c r="L35" s="18"/>
      <c r="M35" s="18"/>
      <c r="N35" s="18"/>
      <c r="O35" s="20"/>
      <c r="P35" s="20"/>
      <c r="Q35" s="17"/>
      <c r="R35" s="17"/>
      <c r="S35" s="17"/>
      <c r="T35" s="17"/>
      <c r="U35" s="17"/>
      <c r="V35" s="21">
        <f t="shared" si="3"/>
        <v>0</v>
      </c>
      <c r="W35" s="19" t="str">
        <f t="shared" si="4"/>
        <v/>
      </c>
      <c r="X35" s="19" t="str">
        <f t="shared" si="5"/>
        <v/>
      </c>
    </row>
    <row r="36" spans="1:24" x14ac:dyDescent="0.3">
      <c r="A36" s="19" t="str">
        <f t="shared" si="0"/>
        <v/>
      </c>
      <c r="B36" s="17"/>
      <c r="C36" s="17"/>
      <c r="D36" s="19" t="str">
        <f t="shared" si="1"/>
        <v/>
      </c>
      <c r="E36" s="19" t="str">
        <f t="shared" si="2"/>
        <v/>
      </c>
      <c r="F36" s="17"/>
      <c r="G36" s="18"/>
      <c r="H36" s="18"/>
      <c r="I36" s="17"/>
      <c r="J36" s="20"/>
      <c r="K36" s="20"/>
      <c r="L36" s="18"/>
      <c r="M36" s="18"/>
      <c r="N36" s="18"/>
      <c r="O36" s="20"/>
      <c r="P36" s="20"/>
      <c r="Q36" s="17"/>
      <c r="R36" s="17"/>
      <c r="S36" s="17"/>
      <c r="T36" s="17"/>
      <c r="U36" s="17"/>
      <c r="V36" s="21">
        <f t="shared" si="3"/>
        <v>0</v>
      </c>
      <c r="W36" s="19" t="str">
        <f t="shared" si="4"/>
        <v/>
      </c>
      <c r="X36" s="19" t="str">
        <f t="shared" si="5"/>
        <v/>
      </c>
    </row>
    <row r="37" spans="1:24" x14ac:dyDescent="0.3">
      <c r="A37" s="19" t="str">
        <f t="shared" ref="A37:A68" si="6">IF(OR($B37="",$C37=""),"",$B37&amp;"-"&amp;$C37)</f>
        <v/>
      </c>
      <c r="B37" s="17"/>
      <c r="C37" s="17"/>
      <c r="D37" s="19" t="str">
        <f t="shared" ref="D37:D68" si="7">IF($C37="","",IFERROR(INDEX(Prod_Desc,MATCH($C37,Prod_Cod,0)),"PRODUTO NÃO CADASTRADO"))</f>
        <v/>
      </c>
      <c r="E37" s="19" t="str">
        <f t="shared" ref="E37:E68" si="8">IF($C37="","",IFERROR(INDEX(Prod_Tipo,MATCH($C37,Prod_Cod,0)),"NÃO CLASSIFICADO"))</f>
        <v/>
      </c>
      <c r="F37" s="17"/>
      <c r="G37" s="18"/>
      <c r="H37" s="18"/>
      <c r="I37" s="17"/>
      <c r="J37" s="20"/>
      <c r="K37" s="20"/>
      <c r="L37" s="18"/>
      <c r="M37" s="18"/>
      <c r="N37" s="18"/>
      <c r="O37" s="20"/>
      <c r="P37" s="20"/>
      <c r="Q37" s="17"/>
      <c r="R37" s="17"/>
      <c r="S37" s="17"/>
      <c r="T37" s="17"/>
      <c r="U37" s="17"/>
      <c r="V37" s="21">
        <f t="shared" ref="V37:V68" si="9">IF($A37="",0,SUMIFS(Ent_Qtd,Ent_Item,$A37))</f>
        <v>0</v>
      </c>
      <c r="W37" s="19" t="str">
        <f t="shared" ref="W37:W68" si="10">IF($A37="","",IF($H37="","AGUARDANDO SOLICITAÇÃO DE COMPRA",IF($M37="","AGUARDANDO ORDEM DE COMPRA",IF($V37=0,"AGUARDANDO ENTREGA",IF($V37&lt;$Q37,"RECEBIDO PARCIALMENTE",IF(N($R37)&lt;$V37,"RECEBIDO - AGUARDANDO LIBERAÇÃO",IF(N($S37)&lt;N($R37),"LIBERADO - AGUARDANDO INSTALAÇÃO",IF(N($T37)&lt;N($S37),"INSTALADO - AGUARDANDO IP",IF(N($U37)&lt;N($T37),"COM IP - AGUARDANDO VMS",IF($U37&gt;=$F37,"CONCLUÍDO","EM ANDAMENTO"))))))))))</f>
        <v/>
      </c>
      <c r="X37" s="19" t="str">
        <f t="shared" ref="X37:X68" si="11">IF($A37="","",$B37&amp;"  ·  "&amp;$D37&amp;"  ·  OC "&amp;IF($M37="","(sem OC)",$M37))</f>
        <v/>
      </c>
    </row>
    <row r="38" spans="1:24" x14ac:dyDescent="0.3">
      <c r="A38" s="19" t="str">
        <f t="shared" si="6"/>
        <v/>
      </c>
      <c r="B38" s="17"/>
      <c r="C38" s="17"/>
      <c r="D38" s="19" t="str">
        <f t="shared" si="7"/>
        <v/>
      </c>
      <c r="E38" s="19" t="str">
        <f t="shared" si="8"/>
        <v/>
      </c>
      <c r="F38" s="17"/>
      <c r="G38" s="18"/>
      <c r="H38" s="18"/>
      <c r="I38" s="17"/>
      <c r="J38" s="20"/>
      <c r="K38" s="20"/>
      <c r="L38" s="18"/>
      <c r="M38" s="18"/>
      <c r="N38" s="18"/>
      <c r="O38" s="20"/>
      <c r="P38" s="20"/>
      <c r="Q38" s="17"/>
      <c r="R38" s="17"/>
      <c r="S38" s="17"/>
      <c r="T38" s="17"/>
      <c r="U38" s="17"/>
      <c r="V38" s="21">
        <f t="shared" si="9"/>
        <v>0</v>
      </c>
      <c r="W38" s="19" t="str">
        <f t="shared" si="10"/>
        <v/>
      </c>
      <c r="X38" s="19" t="str">
        <f t="shared" si="11"/>
        <v/>
      </c>
    </row>
    <row r="39" spans="1:24" x14ac:dyDescent="0.3">
      <c r="A39" s="19" t="str">
        <f t="shared" si="6"/>
        <v/>
      </c>
      <c r="B39" s="17"/>
      <c r="C39" s="17"/>
      <c r="D39" s="19" t="str">
        <f t="shared" si="7"/>
        <v/>
      </c>
      <c r="E39" s="19" t="str">
        <f t="shared" si="8"/>
        <v/>
      </c>
      <c r="F39" s="17"/>
      <c r="G39" s="18"/>
      <c r="H39" s="18"/>
      <c r="I39" s="17"/>
      <c r="J39" s="20"/>
      <c r="K39" s="20"/>
      <c r="L39" s="18"/>
      <c r="M39" s="18"/>
      <c r="N39" s="18"/>
      <c r="O39" s="20"/>
      <c r="P39" s="20"/>
      <c r="Q39" s="17"/>
      <c r="R39" s="17"/>
      <c r="S39" s="17"/>
      <c r="T39" s="17"/>
      <c r="U39" s="17"/>
      <c r="V39" s="21">
        <f t="shared" si="9"/>
        <v>0</v>
      </c>
      <c r="W39" s="19" t="str">
        <f t="shared" si="10"/>
        <v/>
      </c>
      <c r="X39" s="19" t="str">
        <f t="shared" si="11"/>
        <v/>
      </c>
    </row>
    <row r="40" spans="1:24" x14ac:dyDescent="0.3">
      <c r="A40" s="19" t="str">
        <f t="shared" si="6"/>
        <v/>
      </c>
      <c r="B40" s="17"/>
      <c r="C40" s="17"/>
      <c r="D40" s="19" t="str">
        <f t="shared" si="7"/>
        <v/>
      </c>
      <c r="E40" s="19" t="str">
        <f t="shared" si="8"/>
        <v/>
      </c>
      <c r="F40" s="17"/>
      <c r="G40" s="18"/>
      <c r="H40" s="18"/>
      <c r="I40" s="17"/>
      <c r="J40" s="20"/>
      <c r="K40" s="20"/>
      <c r="L40" s="18"/>
      <c r="M40" s="18"/>
      <c r="N40" s="18"/>
      <c r="O40" s="20"/>
      <c r="P40" s="20"/>
      <c r="Q40" s="17"/>
      <c r="R40" s="17"/>
      <c r="S40" s="17"/>
      <c r="T40" s="17"/>
      <c r="U40" s="17"/>
      <c r="V40" s="21">
        <f t="shared" si="9"/>
        <v>0</v>
      </c>
      <c r="W40" s="19" t="str">
        <f t="shared" si="10"/>
        <v/>
      </c>
      <c r="X40" s="19" t="str">
        <f t="shared" si="11"/>
        <v/>
      </c>
    </row>
    <row r="41" spans="1:24" x14ac:dyDescent="0.3">
      <c r="A41" s="19" t="str">
        <f t="shared" si="6"/>
        <v/>
      </c>
      <c r="B41" s="17"/>
      <c r="C41" s="17"/>
      <c r="D41" s="19" t="str">
        <f t="shared" si="7"/>
        <v/>
      </c>
      <c r="E41" s="19" t="str">
        <f t="shared" si="8"/>
        <v/>
      </c>
      <c r="F41" s="17"/>
      <c r="G41" s="18"/>
      <c r="H41" s="18"/>
      <c r="I41" s="17"/>
      <c r="J41" s="20"/>
      <c r="K41" s="20"/>
      <c r="L41" s="18"/>
      <c r="M41" s="18"/>
      <c r="N41" s="18"/>
      <c r="O41" s="20"/>
      <c r="P41" s="20"/>
      <c r="Q41" s="17"/>
      <c r="R41" s="17"/>
      <c r="S41" s="17"/>
      <c r="T41" s="17"/>
      <c r="U41" s="17"/>
      <c r="V41" s="21">
        <f t="shared" si="9"/>
        <v>0</v>
      </c>
      <c r="W41" s="19" t="str">
        <f t="shared" si="10"/>
        <v/>
      </c>
      <c r="X41" s="19" t="str">
        <f t="shared" si="11"/>
        <v/>
      </c>
    </row>
    <row r="42" spans="1:24" x14ac:dyDescent="0.3">
      <c r="A42" s="19" t="str">
        <f t="shared" si="6"/>
        <v/>
      </c>
      <c r="B42" s="17"/>
      <c r="C42" s="17"/>
      <c r="D42" s="19" t="str">
        <f t="shared" si="7"/>
        <v/>
      </c>
      <c r="E42" s="19" t="str">
        <f t="shared" si="8"/>
        <v/>
      </c>
      <c r="F42" s="17"/>
      <c r="G42" s="18"/>
      <c r="H42" s="18"/>
      <c r="I42" s="17"/>
      <c r="J42" s="20"/>
      <c r="K42" s="20"/>
      <c r="L42" s="18"/>
      <c r="M42" s="18"/>
      <c r="N42" s="18"/>
      <c r="O42" s="20"/>
      <c r="P42" s="20"/>
      <c r="Q42" s="17"/>
      <c r="R42" s="17"/>
      <c r="S42" s="17"/>
      <c r="T42" s="17"/>
      <c r="U42" s="17"/>
      <c r="V42" s="21">
        <f t="shared" si="9"/>
        <v>0</v>
      </c>
      <c r="W42" s="19" t="str">
        <f t="shared" si="10"/>
        <v/>
      </c>
      <c r="X42" s="19" t="str">
        <f t="shared" si="11"/>
        <v/>
      </c>
    </row>
    <row r="43" spans="1:24" x14ac:dyDescent="0.3">
      <c r="A43" s="19" t="str">
        <f t="shared" si="6"/>
        <v/>
      </c>
      <c r="B43" s="17"/>
      <c r="C43" s="17"/>
      <c r="D43" s="19" t="str">
        <f t="shared" si="7"/>
        <v/>
      </c>
      <c r="E43" s="19" t="str">
        <f t="shared" si="8"/>
        <v/>
      </c>
      <c r="F43" s="17"/>
      <c r="G43" s="18"/>
      <c r="H43" s="18"/>
      <c r="I43" s="17"/>
      <c r="J43" s="20"/>
      <c r="K43" s="20"/>
      <c r="L43" s="18"/>
      <c r="M43" s="18"/>
      <c r="N43" s="18"/>
      <c r="O43" s="20"/>
      <c r="P43" s="20"/>
      <c r="Q43" s="17"/>
      <c r="R43" s="17"/>
      <c r="S43" s="17"/>
      <c r="T43" s="17"/>
      <c r="U43" s="17"/>
      <c r="V43" s="21">
        <f t="shared" si="9"/>
        <v>0</v>
      </c>
      <c r="W43" s="19" t="str">
        <f t="shared" si="10"/>
        <v/>
      </c>
      <c r="X43" s="19" t="str">
        <f t="shared" si="11"/>
        <v/>
      </c>
    </row>
    <row r="44" spans="1:24" x14ac:dyDescent="0.3">
      <c r="A44" s="19" t="str">
        <f t="shared" si="6"/>
        <v/>
      </c>
      <c r="B44" s="17"/>
      <c r="C44" s="17"/>
      <c r="D44" s="19" t="str">
        <f t="shared" si="7"/>
        <v/>
      </c>
      <c r="E44" s="19" t="str">
        <f t="shared" si="8"/>
        <v/>
      </c>
      <c r="F44" s="17"/>
      <c r="G44" s="18"/>
      <c r="H44" s="18"/>
      <c r="I44" s="17"/>
      <c r="J44" s="20"/>
      <c r="K44" s="20"/>
      <c r="L44" s="18"/>
      <c r="M44" s="18"/>
      <c r="N44" s="18"/>
      <c r="O44" s="20"/>
      <c r="P44" s="20"/>
      <c r="Q44" s="17"/>
      <c r="R44" s="17"/>
      <c r="S44" s="17"/>
      <c r="T44" s="17"/>
      <c r="U44" s="17"/>
      <c r="V44" s="21">
        <f t="shared" si="9"/>
        <v>0</v>
      </c>
      <c r="W44" s="19" t="str">
        <f t="shared" si="10"/>
        <v/>
      </c>
      <c r="X44" s="19" t="str">
        <f t="shared" si="11"/>
        <v/>
      </c>
    </row>
    <row r="45" spans="1:24" x14ac:dyDescent="0.3">
      <c r="A45" s="19" t="str">
        <f t="shared" si="6"/>
        <v/>
      </c>
      <c r="B45" s="17"/>
      <c r="C45" s="17"/>
      <c r="D45" s="19" t="str">
        <f t="shared" si="7"/>
        <v/>
      </c>
      <c r="E45" s="19" t="str">
        <f t="shared" si="8"/>
        <v/>
      </c>
      <c r="F45" s="17"/>
      <c r="G45" s="18"/>
      <c r="H45" s="18"/>
      <c r="I45" s="17"/>
      <c r="J45" s="20"/>
      <c r="K45" s="20"/>
      <c r="L45" s="18"/>
      <c r="M45" s="18"/>
      <c r="N45" s="18"/>
      <c r="O45" s="20"/>
      <c r="P45" s="20"/>
      <c r="Q45" s="17"/>
      <c r="R45" s="17"/>
      <c r="S45" s="17"/>
      <c r="T45" s="17"/>
      <c r="U45" s="17"/>
      <c r="V45" s="21">
        <f t="shared" si="9"/>
        <v>0</v>
      </c>
      <c r="W45" s="19" t="str">
        <f t="shared" si="10"/>
        <v/>
      </c>
      <c r="X45" s="19" t="str">
        <f t="shared" si="11"/>
        <v/>
      </c>
    </row>
    <row r="46" spans="1:24" x14ac:dyDescent="0.3">
      <c r="A46" s="19" t="str">
        <f t="shared" si="6"/>
        <v/>
      </c>
      <c r="B46" s="17"/>
      <c r="C46" s="17"/>
      <c r="D46" s="19" t="str">
        <f t="shared" si="7"/>
        <v/>
      </c>
      <c r="E46" s="19" t="str">
        <f t="shared" si="8"/>
        <v/>
      </c>
      <c r="F46" s="17"/>
      <c r="G46" s="18"/>
      <c r="H46" s="18"/>
      <c r="I46" s="17"/>
      <c r="J46" s="20"/>
      <c r="K46" s="20"/>
      <c r="L46" s="18"/>
      <c r="M46" s="18"/>
      <c r="N46" s="18"/>
      <c r="O46" s="20"/>
      <c r="P46" s="20"/>
      <c r="Q46" s="17"/>
      <c r="R46" s="17"/>
      <c r="S46" s="17"/>
      <c r="T46" s="17"/>
      <c r="U46" s="17"/>
      <c r="V46" s="21">
        <f t="shared" si="9"/>
        <v>0</v>
      </c>
      <c r="W46" s="19" t="str">
        <f t="shared" si="10"/>
        <v/>
      </c>
      <c r="X46" s="19" t="str">
        <f t="shared" si="11"/>
        <v/>
      </c>
    </row>
    <row r="47" spans="1:24" x14ac:dyDescent="0.3">
      <c r="A47" s="19" t="str">
        <f t="shared" si="6"/>
        <v/>
      </c>
      <c r="B47" s="17"/>
      <c r="C47" s="17"/>
      <c r="D47" s="19" t="str">
        <f t="shared" si="7"/>
        <v/>
      </c>
      <c r="E47" s="19" t="str">
        <f t="shared" si="8"/>
        <v/>
      </c>
      <c r="F47" s="17"/>
      <c r="G47" s="18"/>
      <c r="H47" s="18"/>
      <c r="I47" s="17"/>
      <c r="J47" s="20"/>
      <c r="K47" s="20"/>
      <c r="L47" s="18"/>
      <c r="M47" s="18"/>
      <c r="N47" s="18"/>
      <c r="O47" s="20"/>
      <c r="P47" s="20"/>
      <c r="Q47" s="17"/>
      <c r="R47" s="17"/>
      <c r="S47" s="17"/>
      <c r="T47" s="17"/>
      <c r="U47" s="17"/>
      <c r="V47" s="21">
        <f t="shared" si="9"/>
        <v>0</v>
      </c>
      <c r="W47" s="19" t="str">
        <f t="shared" si="10"/>
        <v/>
      </c>
      <c r="X47" s="19" t="str">
        <f t="shared" si="11"/>
        <v/>
      </c>
    </row>
    <row r="48" spans="1:24" x14ac:dyDescent="0.3">
      <c r="A48" s="19" t="str">
        <f t="shared" si="6"/>
        <v/>
      </c>
      <c r="B48" s="17"/>
      <c r="C48" s="17"/>
      <c r="D48" s="19" t="str">
        <f t="shared" si="7"/>
        <v/>
      </c>
      <c r="E48" s="19" t="str">
        <f t="shared" si="8"/>
        <v/>
      </c>
      <c r="F48" s="17"/>
      <c r="G48" s="18"/>
      <c r="H48" s="18"/>
      <c r="I48" s="17"/>
      <c r="J48" s="20"/>
      <c r="K48" s="20"/>
      <c r="L48" s="18"/>
      <c r="M48" s="18"/>
      <c r="N48" s="18"/>
      <c r="O48" s="20"/>
      <c r="P48" s="20"/>
      <c r="Q48" s="17"/>
      <c r="R48" s="17"/>
      <c r="S48" s="17"/>
      <c r="T48" s="17"/>
      <c r="U48" s="17"/>
      <c r="V48" s="21">
        <f t="shared" si="9"/>
        <v>0</v>
      </c>
      <c r="W48" s="19" t="str">
        <f t="shared" si="10"/>
        <v/>
      </c>
      <c r="X48" s="19" t="str">
        <f t="shared" si="11"/>
        <v/>
      </c>
    </row>
    <row r="49" spans="1:24" x14ac:dyDescent="0.3">
      <c r="A49" s="19" t="str">
        <f t="shared" si="6"/>
        <v/>
      </c>
      <c r="B49" s="17"/>
      <c r="C49" s="17"/>
      <c r="D49" s="19" t="str">
        <f t="shared" si="7"/>
        <v/>
      </c>
      <c r="E49" s="19" t="str">
        <f t="shared" si="8"/>
        <v/>
      </c>
      <c r="F49" s="17"/>
      <c r="G49" s="18"/>
      <c r="H49" s="18"/>
      <c r="I49" s="17"/>
      <c r="J49" s="20"/>
      <c r="K49" s="20"/>
      <c r="L49" s="18"/>
      <c r="M49" s="18"/>
      <c r="N49" s="18"/>
      <c r="O49" s="20"/>
      <c r="P49" s="20"/>
      <c r="Q49" s="17"/>
      <c r="R49" s="17"/>
      <c r="S49" s="17"/>
      <c r="T49" s="17"/>
      <c r="U49" s="17"/>
      <c r="V49" s="21">
        <f t="shared" si="9"/>
        <v>0</v>
      </c>
      <c r="W49" s="19" t="str">
        <f t="shared" si="10"/>
        <v/>
      </c>
      <c r="X49" s="19" t="str">
        <f t="shared" si="11"/>
        <v/>
      </c>
    </row>
    <row r="50" spans="1:24" x14ac:dyDescent="0.3">
      <c r="A50" s="19" t="str">
        <f t="shared" si="6"/>
        <v/>
      </c>
      <c r="B50" s="17"/>
      <c r="C50" s="17"/>
      <c r="D50" s="19" t="str">
        <f t="shared" si="7"/>
        <v/>
      </c>
      <c r="E50" s="19" t="str">
        <f t="shared" si="8"/>
        <v/>
      </c>
      <c r="F50" s="17"/>
      <c r="G50" s="18"/>
      <c r="H50" s="18"/>
      <c r="I50" s="17"/>
      <c r="J50" s="20"/>
      <c r="K50" s="20"/>
      <c r="L50" s="18"/>
      <c r="M50" s="18"/>
      <c r="N50" s="18"/>
      <c r="O50" s="20"/>
      <c r="P50" s="20"/>
      <c r="Q50" s="17"/>
      <c r="R50" s="17"/>
      <c r="S50" s="17"/>
      <c r="T50" s="17"/>
      <c r="U50" s="17"/>
      <c r="V50" s="21">
        <f t="shared" si="9"/>
        <v>0</v>
      </c>
      <c r="W50" s="19" t="str">
        <f t="shared" si="10"/>
        <v/>
      </c>
      <c r="X50" s="19" t="str">
        <f t="shared" si="11"/>
        <v/>
      </c>
    </row>
    <row r="51" spans="1:24" x14ac:dyDescent="0.3">
      <c r="A51" s="19" t="str">
        <f t="shared" si="6"/>
        <v/>
      </c>
      <c r="B51" s="17"/>
      <c r="C51" s="17"/>
      <c r="D51" s="19" t="str">
        <f t="shared" si="7"/>
        <v/>
      </c>
      <c r="E51" s="19" t="str">
        <f t="shared" si="8"/>
        <v/>
      </c>
      <c r="F51" s="17"/>
      <c r="G51" s="18"/>
      <c r="H51" s="18"/>
      <c r="I51" s="17"/>
      <c r="J51" s="20"/>
      <c r="K51" s="20"/>
      <c r="L51" s="18"/>
      <c r="M51" s="18"/>
      <c r="N51" s="18"/>
      <c r="O51" s="20"/>
      <c r="P51" s="20"/>
      <c r="Q51" s="17"/>
      <c r="R51" s="17"/>
      <c r="S51" s="17"/>
      <c r="T51" s="17"/>
      <c r="U51" s="17"/>
      <c r="V51" s="21">
        <f t="shared" si="9"/>
        <v>0</v>
      </c>
      <c r="W51" s="19" t="str">
        <f t="shared" si="10"/>
        <v/>
      </c>
      <c r="X51" s="19" t="str">
        <f t="shared" si="11"/>
        <v/>
      </c>
    </row>
    <row r="52" spans="1:24" x14ac:dyDescent="0.3">
      <c r="A52" s="19" t="str">
        <f t="shared" si="6"/>
        <v/>
      </c>
      <c r="B52" s="17"/>
      <c r="C52" s="17"/>
      <c r="D52" s="19" t="str">
        <f t="shared" si="7"/>
        <v/>
      </c>
      <c r="E52" s="19" t="str">
        <f t="shared" si="8"/>
        <v/>
      </c>
      <c r="F52" s="17"/>
      <c r="G52" s="18"/>
      <c r="H52" s="18"/>
      <c r="I52" s="17"/>
      <c r="J52" s="20"/>
      <c r="K52" s="20"/>
      <c r="L52" s="18"/>
      <c r="M52" s="18"/>
      <c r="N52" s="18"/>
      <c r="O52" s="20"/>
      <c r="P52" s="20"/>
      <c r="Q52" s="17"/>
      <c r="R52" s="17"/>
      <c r="S52" s="17"/>
      <c r="T52" s="17"/>
      <c r="U52" s="17"/>
      <c r="V52" s="21">
        <f t="shared" si="9"/>
        <v>0</v>
      </c>
      <c r="W52" s="19" t="str">
        <f t="shared" si="10"/>
        <v/>
      </c>
      <c r="X52" s="19" t="str">
        <f t="shared" si="11"/>
        <v/>
      </c>
    </row>
    <row r="53" spans="1:24" x14ac:dyDescent="0.3">
      <c r="A53" s="19" t="str">
        <f t="shared" si="6"/>
        <v/>
      </c>
      <c r="B53" s="17"/>
      <c r="C53" s="17"/>
      <c r="D53" s="19" t="str">
        <f t="shared" si="7"/>
        <v/>
      </c>
      <c r="E53" s="19" t="str">
        <f t="shared" si="8"/>
        <v/>
      </c>
      <c r="F53" s="17"/>
      <c r="G53" s="18"/>
      <c r="H53" s="18"/>
      <c r="I53" s="17"/>
      <c r="J53" s="20"/>
      <c r="K53" s="20"/>
      <c r="L53" s="18"/>
      <c r="M53" s="18"/>
      <c r="N53" s="18"/>
      <c r="O53" s="20"/>
      <c r="P53" s="20"/>
      <c r="Q53" s="17"/>
      <c r="R53" s="17"/>
      <c r="S53" s="17"/>
      <c r="T53" s="17"/>
      <c r="U53" s="17"/>
      <c r="V53" s="21">
        <f t="shared" si="9"/>
        <v>0</v>
      </c>
      <c r="W53" s="19" t="str">
        <f t="shared" si="10"/>
        <v/>
      </c>
      <c r="X53" s="19" t="str">
        <f t="shared" si="11"/>
        <v/>
      </c>
    </row>
    <row r="54" spans="1:24" x14ac:dyDescent="0.3">
      <c r="A54" s="19" t="str">
        <f t="shared" si="6"/>
        <v/>
      </c>
      <c r="B54" s="17"/>
      <c r="C54" s="17"/>
      <c r="D54" s="19" t="str">
        <f t="shared" si="7"/>
        <v/>
      </c>
      <c r="E54" s="19" t="str">
        <f t="shared" si="8"/>
        <v/>
      </c>
      <c r="F54" s="17"/>
      <c r="G54" s="18"/>
      <c r="H54" s="18"/>
      <c r="I54" s="17"/>
      <c r="J54" s="20"/>
      <c r="K54" s="20"/>
      <c r="L54" s="18"/>
      <c r="M54" s="18"/>
      <c r="N54" s="18"/>
      <c r="O54" s="20"/>
      <c r="P54" s="20"/>
      <c r="Q54" s="17"/>
      <c r="R54" s="17"/>
      <c r="S54" s="17"/>
      <c r="T54" s="17"/>
      <c r="U54" s="17"/>
      <c r="V54" s="21">
        <f t="shared" si="9"/>
        <v>0</v>
      </c>
      <c r="W54" s="19" t="str">
        <f t="shared" si="10"/>
        <v/>
      </c>
      <c r="X54" s="19" t="str">
        <f t="shared" si="11"/>
        <v/>
      </c>
    </row>
    <row r="55" spans="1:24" x14ac:dyDescent="0.3">
      <c r="A55" s="19" t="str">
        <f t="shared" si="6"/>
        <v/>
      </c>
      <c r="B55" s="17"/>
      <c r="C55" s="17"/>
      <c r="D55" s="19" t="str">
        <f t="shared" si="7"/>
        <v/>
      </c>
      <c r="E55" s="19" t="str">
        <f t="shared" si="8"/>
        <v/>
      </c>
      <c r="F55" s="17"/>
      <c r="G55" s="18"/>
      <c r="H55" s="18"/>
      <c r="I55" s="17"/>
      <c r="J55" s="20"/>
      <c r="K55" s="20"/>
      <c r="L55" s="18"/>
      <c r="M55" s="18"/>
      <c r="N55" s="18"/>
      <c r="O55" s="20"/>
      <c r="P55" s="20"/>
      <c r="Q55" s="17"/>
      <c r="R55" s="17"/>
      <c r="S55" s="17"/>
      <c r="T55" s="17"/>
      <c r="U55" s="17"/>
      <c r="V55" s="21">
        <f t="shared" si="9"/>
        <v>0</v>
      </c>
      <c r="W55" s="19" t="str">
        <f t="shared" si="10"/>
        <v/>
      </c>
      <c r="X55" s="19" t="str">
        <f t="shared" si="11"/>
        <v/>
      </c>
    </row>
    <row r="56" spans="1:24" x14ac:dyDescent="0.3">
      <c r="A56" s="19" t="str">
        <f t="shared" si="6"/>
        <v/>
      </c>
      <c r="B56" s="17"/>
      <c r="C56" s="17"/>
      <c r="D56" s="19" t="str">
        <f t="shared" si="7"/>
        <v/>
      </c>
      <c r="E56" s="19" t="str">
        <f t="shared" si="8"/>
        <v/>
      </c>
      <c r="F56" s="17"/>
      <c r="G56" s="18"/>
      <c r="H56" s="18"/>
      <c r="I56" s="17"/>
      <c r="J56" s="20"/>
      <c r="K56" s="20"/>
      <c r="L56" s="18"/>
      <c r="M56" s="18"/>
      <c r="N56" s="18"/>
      <c r="O56" s="20"/>
      <c r="P56" s="20"/>
      <c r="Q56" s="17"/>
      <c r="R56" s="17"/>
      <c r="S56" s="17"/>
      <c r="T56" s="17"/>
      <c r="U56" s="17"/>
      <c r="V56" s="21">
        <f t="shared" si="9"/>
        <v>0</v>
      </c>
      <c r="W56" s="19" t="str">
        <f t="shared" si="10"/>
        <v/>
      </c>
      <c r="X56" s="19" t="str">
        <f t="shared" si="11"/>
        <v/>
      </c>
    </row>
    <row r="57" spans="1:24" x14ac:dyDescent="0.3">
      <c r="A57" s="19" t="str">
        <f t="shared" si="6"/>
        <v/>
      </c>
      <c r="B57" s="17"/>
      <c r="C57" s="17"/>
      <c r="D57" s="19" t="str">
        <f t="shared" si="7"/>
        <v/>
      </c>
      <c r="E57" s="19" t="str">
        <f t="shared" si="8"/>
        <v/>
      </c>
      <c r="F57" s="17"/>
      <c r="G57" s="18"/>
      <c r="H57" s="18"/>
      <c r="I57" s="17"/>
      <c r="J57" s="20"/>
      <c r="K57" s="20"/>
      <c r="L57" s="18"/>
      <c r="M57" s="18"/>
      <c r="N57" s="18"/>
      <c r="O57" s="20"/>
      <c r="P57" s="20"/>
      <c r="Q57" s="17"/>
      <c r="R57" s="17"/>
      <c r="S57" s="17"/>
      <c r="T57" s="17"/>
      <c r="U57" s="17"/>
      <c r="V57" s="21">
        <f t="shared" si="9"/>
        <v>0</v>
      </c>
      <c r="W57" s="19" t="str">
        <f t="shared" si="10"/>
        <v/>
      </c>
      <c r="X57" s="19" t="str">
        <f t="shared" si="11"/>
        <v/>
      </c>
    </row>
    <row r="58" spans="1:24" x14ac:dyDescent="0.3">
      <c r="A58" s="19" t="str">
        <f t="shared" si="6"/>
        <v/>
      </c>
      <c r="B58" s="17"/>
      <c r="C58" s="17"/>
      <c r="D58" s="19" t="str">
        <f t="shared" si="7"/>
        <v/>
      </c>
      <c r="E58" s="19" t="str">
        <f t="shared" si="8"/>
        <v/>
      </c>
      <c r="F58" s="17"/>
      <c r="G58" s="18"/>
      <c r="H58" s="18"/>
      <c r="I58" s="17"/>
      <c r="J58" s="20"/>
      <c r="K58" s="20"/>
      <c r="L58" s="18"/>
      <c r="M58" s="18"/>
      <c r="N58" s="18"/>
      <c r="O58" s="20"/>
      <c r="P58" s="20"/>
      <c r="Q58" s="17"/>
      <c r="R58" s="17"/>
      <c r="S58" s="17"/>
      <c r="T58" s="17"/>
      <c r="U58" s="17"/>
      <c r="V58" s="21">
        <f t="shared" si="9"/>
        <v>0</v>
      </c>
      <c r="W58" s="19" t="str">
        <f t="shared" si="10"/>
        <v/>
      </c>
      <c r="X58" s="19" t="str">
        <f t="shared" si="11"/>
        <v/>
      </c>
    </row>
    <row r="59" spans="1:24" x14ac:dyDescent="0.3">
      <c r="A59" s="19" t="str">
        <f t="shared" si="6"/>
        <v/>
      </c>
      <c r="B59" s="17"/>
      <c r="C59" s="17"/>
      <c r="D59" s="19" t="str">
        <f t="shared" si="7"/>
        <v/>
      </c>
      <c r="E59" s="19" t="str">
        <f t="shared" si="8"/>
        <v/>
      </c>
      <c r="F59" s="17"/>
      <c r="G59" s="18"/>
      <c r="H59" s="18"/>
      <c r="I59" s="17"/>
      <c r="J59" s="20"/>
      <c r="K59" s="20"/>
      <c r="L59" s="18"/>
      <c r="M59" s="18"/>
      <c r="N59" s="18"/>
      <c r="O59" s="20"/>
      <c r="P59" s="20"/>
      <c r="Q59" s="17"/>
      <c r="R59" s="17"/>
      <c r="S59" s="17"/>
      <c r="T59" s="17"/>
      <c r="U59" s="17"/>
      <c r="V59" s="21">
        <f t="shared" si="9"/>
        <v>0</v>
      </c>
      <c r="W59" s="19" t="str">
        <f t="shared" si="10"/>
        <v/>
      </c>
      <c r="X59" s="19" t="str">
        <f t="shared" si="11"/>
        <v/>
      </c>
    </row>
    <row r="60" spans="1:24" x14ac:dyDescent="0.3">
      <c r="A60" s="19" t="str">
        <f t="shared" si="6"/>
        <v/>
      </c>
      <c r="B60" s="17"/>
      <c r="C60" s="17"/>
      <c r="D60" s="19" t="str">
        <f t="shared" si="7"/>
        <v/>
      </c>
      <c r="E60" s="19" t="str">
        <f t="shared" si="8"/>
        <v/>
      </c>
      <c r="F60" s="17"/>
      <c r="G60" s="18"/>
      <c r="H60" s="18"/>
      <c r="I60" s="17"/>
      <c r="J60" s="20"/>
      <c r="K60" s="20"/>
      <c r="L60" s="18"/>
      <c r="M60" s="18"/>
      <c r="N60" s="18"/>
      <c r="O60" s="20"/>
      <c r="P60" s="20"/>
      <c r="Q60" s="17"/>
      <c r="R60" s="17"/>
      <c r="S60" s="17"/>
      <c r="T60" s="17"/>
      <c r="U60" s="17"/>
      <c r="V60" s="21">
        <f t="shared" si="9"/>
        <v>0</v>
      </c>
      <c r="W60" s="19" t="str">
        <f t="shared" si="10"/>
        <v/>
      </c>
      <c r="X60" s="19" t="str">
        <f t="shared" si="11"/>
        <v/>
      </c>
    </row>
    <row r="61" spans="1:24" x14ac:dyDescent="0.3">
      <c r="A61" s="19" t="str">
        <f t="shared" si="6"/>
        <v/>
      </c>
      <c r="B61" s="17"/>
      <c r="C61" s="17"/>
      <c r="D61" s="19" t="str">
        <f t="shared" si="7"/>
        <v/>
      </c>
      <c r="E61" s="19" t="str">
        <f t="shared" si="8"/>
        <v/>
      </c>
      <c r="F61" s="17"/>
      <c r="G61" s="18"/>
      <c r="H61" s="18"/>
      <c r="I61" s="17"/>
      <c r="J61" s="20"/>
      <c r="K61" s="20"/>
      <c r="L61" s="18"/>
      <c r="M61" s="18"/>
      <c r="N61" s="18"/>
      <c r="O61" s="20"/>
      <c r="P61" s="20"/>
      <c r="Q61" s="17"/>
      <c r="R61" s="17"/>
      <c r="S61" s="17"/>
      <c r="T61" s="17"/>
      <c r="U61" s="17"/>
      <c r="V61" s="21">
        <f t="shared" si="9"/>
        <v>0</v>
      </c>
      <c r="W61" s="19" t="str">
        <f t="shared" si="10"/>
        <v/>
      </c>
      <c r="X61" s="19" t="str">
        <f t="shared" si="11"/>
        <v/>
      </c>
    </row>
    <row r="62" spans="1:24" x14ac:dyDescent="0.3">
      <c r="A62" s="19" t="str">
        <f t="shared" si="6"/>
        <v/>
      </c>
      <c r="B62" s="17"/>
      <c r="C62" s="17"/>
      <c r="D62" s="19" t="str">
        <f t="shared" si="7"/>
        <v/>
      </c>
      <c r="E62" s="19" t="str">
        <f t="shared" si="8"/>
        <v/>
      </c>
      <c r="F62" s="17"/>
      <c r="G62" s="18"/>
      <c r="H62" s="18"/>
      <c r="I62" s="17"/>
      <c r="J62" s="20"/>
      <c r="K62" s="20"/>
      <c r="L62" s="18"/>
      <c r="M62" s="18"/>
      <c r="N62" s="18"/>
      <c r="O62" s="20"/>
      <c r="P62" s="20"/>
      <c r="Q62" s="17"/>
      <c r="R62" s="17"/>
      <c r="S62" s="17"/>
      <c r="T62" s="17"/>
      <c r="U62" s="17"/>
      <c r="V62" s="21">
        <f t="shared" si="9"/>
        <v>0</v>
      </c>
      <c r="W62" s="19" t="str">
        <f t="shared" si="10"/>
        <v/>
      </c>
      <c r="X62" s="19" t="str">
        <f t="shared" si="11"/>
        <v/>
      </c>
    </row>
    <row r="63" spans="1:24" x14ac:dyDescent="0.3">
      <c r="A63" s="19" t="str">
        <f t="shared" si="6"/>
        <v/>
      </c>
      <c r="B63" s="17"/>
      <c r="C63" s="17"/>
      <c r="D63" s="19" t="str">
        <f t="shared" si="7"/>
        <v/>
      </c>
      <c r="E63" s="19" t="str">
        <f t="shared" si="8"/>
        <v/>
      </c>
      <c r="F63" s="17"/>
      <c r="G63" s="18"/>
      <c r="H63" s="18"/>
      <c r="I63" s="17"/>
      <c r="J63" s="20"/>
      <c r="K63" s="20"/>
      <c r="L63" s="18"/>
      <c r="M63" s="18"/>
      <c r="N63" s="18"/>
      <c r="O63" s="20"/>
      <c r="P63" s="20"/>
      <c r="Q63" s="17"/>
      <c r="R63" s="17"/>
      <c r="S63" s="17"/>
      <c r="T63" s="17"/>
      <c r="U63" s="17"/>
      <c r="V63" s="21">
        <f t="shared" si="9"/>
        <v>0</v>
      </c>
      <c r="W63" s="19" t="str">
        <f t="shared" si="10"/>
        <v/>
      </c>
      <c r="X63" s="19" t="str">
        <f t="shared" si="11"/>
        <v/>
      </c>
    </row>
    <row r="64" spans="1:24" x14ac:dyDescent="0.3">
      <c r="A64" s="19" t="str">
        <f t="shared" si="6"/>
        <v/>
      </c>
      <c r="B64" s="17"/>
      <c r="C64" s="17"/>
      <c r="D64" s="19" t="str">
        <f t="shared" si="7"/>
        <v/>
      </c>
      <c r="E64" s="19" t="str">
        <f t="shared" si="8"/>
        <v/>
      </c>
      <c r="F64" s="17"/>
      <c r="G64" s="18"/>
      <c r="H64" s="18"/>
      <c r="I64" s="17"/>
      <c r="J64" s="20"/>
      <c r="K64" s="20"/>
      <c r="L64" s="18"/>
      <c r="M64" s="18"/>
      <c r="N64" s="18"/>
      <c r="O64" s="20"/>
      <c r="P64" s="20"/>
      <c r="Q64" s="17"/>
      <c r="R64" s="17"/>
      <c r="S64" s="17"/>
      <c r="T64" s="17"/>
      <c r="U64" s="17"/>
      <c r="V64" s="21">
        <f t="shared" si="9"/>
        <v>0</v>
      </c>
      <c r="W64" s="19" t="str">
        <f t="shared" si="10"/>
        <v/>
      </c>
      <c r="X64" s="19" t="str">
        <f t="shared" si="11"/>
        <v/>
      </c>
    </row>
    <row r="65" spans="1:24" x14ac:dyDescent="0.3">
      <c r="A65" s="19" t="str">
        <f t="shared" si="6"/>
        <v/>
      </c>
      <c r="B65" s="17"/>
      <c r="C65" s="17"/>
      <c r="D65" s="19" t="str">
        <f t="shared" si="7"/>
        <v/>
      </c>
      <c r="E65" s="19" t="str">
        <f t="shared" si="8"/>
        <v/>
      </c>
      <c r="F65" s="17"/>
      <c r="G65" s="18"/>
      <c r="H65" s="18"/>
      <c r="I65" s="17"/>
      <c r="J65" s="20"/>
      <c r="K65" s="20"/>
      <c r="L65" s="18"/>
      <c r="M65" s="18"/>
      <c r="N65" s="18"/>
      <c r="O65" s="20"/>
      <c r="P65" s="20"/>
      <c r="Q65" s="17"/>
      <c r="R65" s="17"/>
      <c r="S65" s="17"/>
      <c r="T65" s="17"/>
      <c r="U65" s="17"/>
      <c r="V65" s="21">
        <f t="shared" si="9"/>
        <v>0</v>
      </c>
      <c r="W65" s="19" t="str">
        <f t="shared" si="10"/>
        <v/>
      </c>
      <c r="X65" s="19" t="str">
        <f t="shared" si="11"/>
        <v/>
      </c>
    </row>
    <row r="66" spans="1:24" x14ac:dyDescent="0.3">
      <c r="A66" s="19" t="str">
        <f t="shared" si="6"/>
        <v/>
      </c>
      <c r="B66" s="17"/>
      <c r="C66" s="17"/>
      <c r="D66" s="19" t="str">
        <f t="shared" si="7"/>
        <v/>
      </c>
      <c r="E66" s="19" t="str">
        <f t="shared" si="8"/>
        <v/>
      </c>
      <c r="F66" s="17"/>
      <c r="G66" s="18"/>
      <c r="H66" s="18"/>
      <c r="I66" s="17"/>
      <c r="J66" s="20"/>
      <c r="K66" s="20"/>
      <c r="L66" s="18"/>
      <c r="M66" s="18"/>
      <c r="N66" s="18"/>
      <c r="O66" s="20"/>
      <c r="P66" s="20"/>
      <c r="Q66" s="17"/>
      <c r="R66" s="17"/>
      <c r="S66" s="17"/>
      <c r="T66" s="17"/>
      <c r="U66" s="17"/>
      <c r="V66" s="21">
        <f t="shared" si="9"/>
        <v>0</v>
      </c>
      <c r="W66" s="19" t="str">
        <f t="shared" si="10"/>
        <v/>
      </c>
      <c r="X66" s="19" t="str">
        <f t="shared" si="11"/>
        <v/>
      </c>
    </row>
    <row r="67" spans="1:24" x14ac:dyDescent="0.3">
      <c r="A67" s="19" t="str">
        <f t="shared" si="6"/>
        <v/>
      </c>
      <c r="B67" s="17"/>
      <c r="C67" s="17"/>
      <c r="D67" s="19" t="str">
        <f t="shared" si="7"/>
        <v/>
      </c>
      <c r="E67" s="19" t="str">
        <f t="shared" si="8"/>
        <v/>
      </c>
      <c r="F67" s="17"/>
      <c r="G67" s="18"/>
      <c r="H67" s="18"/>
      <c r="I67" s="17"/>
      <c r="J67" s="20"/>
      <c r="K67" s="20"/>
      <c r="L67" s="18"/>
      <c r="M67" s="18"/>
      <c r="N67" s="18"/>
      <c r="O67" s="20"/>
      <c r="P67" s="20"/>
      <c r="Q67" s="17"/>
      <c r="R67" s="17"/>
      <c r="S67" s="17"/>
      <c r="T67" s="17"/>
      <c r="U67" s="17"/>
      <c r="V67" s="21">
        <f t="shared" si="9"/>
        <v>0</v>
      </c>
      <c r="W67" s="19" t="str">
        <f t="shared" si="10"/>
        <v/>
      </c>
      <c r="X67" s="19" t="str">
        <f t="shared" si="11"/>
        <v/>
      </c>
    </row>
    <row r="68" spans="1:24" x14ac:dyDescent="0.3">
      <c r="A68" s="19" t="str">
        <f t="shared" si="6"/>
        <v/>
      </c>
      <c r="B68" s="17"/>
      <c r="C68" s="17"/>
      <c r="D68" s="19" t="str">
        <f t="shared" si="7"/>
        <v/>
      </c>
      <c r="E68" s="19" t="str">
        <f t="shared" si="8"/>
        <v/>
      </c>
      <c r="F68" s="17"/>
      <c r="G68" s="18"/>
      <c r="H68" s="18"/>
      <c r="I68" s="17"/>
      <c r="J68" s="20"/>
      <c r="K68" s="20"/>
      <c r="L68" s="18"/>
      <c r="M68" s="18"/>
      <c r="N68" s="18"/>
      <c r="O68" s="20"/>
      <c r="P68" s="20"/>
      <c r="Q68" s="17"/>
      <c r="R68" s="17"/>
      <c r="S68" s="17"/>
      <c r="T68" s="17"/>
      <c r="U68" s="17"/>
      <c r="V68" s="21">
        <f t="shared" si="9"/>
        <v>0</v>
      </c>
      <c r="W68" s="19" t="str">
        <f t="shared" si="10"/>
        <v/>
      </c>
      <c r="X68" s="19" t="str">
        <f t="shared" si="11"/>
        <v/>
      </c>
    </row>
    <row r="69" spans="1:24" x14ac:dyDescent="0.3">
      <c r="A69" s="19" t="str">
        <f t="shared" ref="A69:A100" si="12">IF(OR($B69="",$C69=""),"",$B69&amp;"-"&amp;$C69)</f>
        <v/>
      </c>
      <c r="B69" s="17"/>
      <c r="C69" s="17"/>
      <c r="D69" s="19" t="str">
        <f t="shared" ref="D69:D100" si="13">IF($C69="","",IFERROR(INDEX(Prod_Desc,MATCH($C69,Prod_Cod,0)),"PRODUTO NÃO CADASTRADO"))</f>
        <v/>
      </c>
      <c r="E69" s="19" t="str">
        <f t="shared" ref="E69:E100" si="14">IF($C69="","",IFERROR(INDEX(Prod_Tipo,MATCH($C69,Prod_Cod,0)),"NÃO CLASSIFICADO"))</f>
        <v/>
      </c>
      <c r="F69" s="17"/>
      <c r="G69" s="18"/>
      <c r="H69" s="18"/>
      <c r="I69" s="17"/>
      <c r="J69" s="20"/>
      <c r="K69" s="20"/>
      <c r="L69" s="18"/>
      <c r="M69" s="18"/>
      <c r="N69" s="18"/>
      <c r="O69" s="20"/>
      <c r="P69" s="20"/>
      <c r="Q69" s="17"/>
      <c r="R69" s="17"/>
      <c r="S69" s="17"/>
      <c r="T69" s="17"/>
      <c r="U69" s="17"/>
      <c r="V69" s="21">
        <f t="shared" ref="V69:V100" si="15">IF($A69="",0,SUMIFS(Ent_Qtd,Ent_Item,$A69))</f>
        <v>0</v>
      </c>
      <c r="W69" s="19" t="str">
        <f t="shared" ref="W69:W100" si="16">IF($A69="","",IF($H69="","AGUARDANDO SOLICITAÇÃO DE COMPRA",IF($M69="","AGUARDANDO ORDEM DE COMPRA",IF($V69=0,"AGUARDANDO ENTREGA",IF($V69&lt;$Q69,"RECEBIDO PARCIALMENTE",IF(N($R69)&lt;$V69,"RECEBIDO - AGUARDANDO LIBERAÇÃO",IF(N($S69)&lt;N($R69),"LIBERADO - AGUARDANDO INSTALAÇÃO",IF(N($T69)&lt;N($S69),"INSTALADO - AGUARDANDO IP",IF(N($U69)&lt;N($T69),"COM IP - AGUARDANDO VMS",IF($U69&gt;=$F69,"CONCLUÍDO","EM ANDAMENTO"))))))))))</f>
        <v/>
      </c>
      <c r="X69" s="19" t="str">
        <f t="shared" ref="X69:X100" si="17">IF($A69="","",$B69&amp;"  ·  "&amp;$D69&amp;"  ·  OC "&amp;IF($M69="","(sem OC)",$M69))</f>
        <v/>
      </c>
    </row>
    <row r="70" spans="1:24" x14ac:dyDescent="0.3">
      <c r="A70" s="19" t="str">
        <f t="shared" si="12"/>
        <v/>
      </c>
      <c r="B70" s="17"/>
      <c r="C70" s="17"/>
      <c r="D70" s="19" t="str">
        <f t="shared" si="13"/>
        <v/>
      </c>
      <c r="E70" s="19" t="str">
        <f t="shared" si="14"/>
        <v/>
      </c>
      <c r="F70" s="17"/>
      <c r="G70" s="18"/>
      <c r="H70" s="18"/>
      <c r="I70" s="17"/>
      <c r="J70" s="20"/>
      <c r="K70" s="20"/>
      <c r="L70" s="18"/>
      <c r="M70" s="18"/>
      <c r="N70" s="18"/>
      <c r="O70" s="20"/>
      <c r="P70" s="20"/>
      <c r="Q70" s="17"/>
      <c r="R70" s="17"/>
      <c r="S70" s="17"/>
      <c r="T70" s="17"/>
      <c r="U70" s="17"/>
      <c r="V70" s="21">
        <f t="shared" si="15"/>
        <v>0</v>
      </c>
      <c r="W70" s="19" t="str">
        <f t="shared" si="16"/>
        <v/>
      </c>
      <c r="X70" s="19" t="str">
        <f t="shared" si="17"/>
        <v/>
      </c>
    </row>
    <row r="71" spans="1:24" x14ac:dyDescent="0.3">
      <c r="A71" s="19" t="str">
        <f t="shared" si="12"/>
        <v/>
      </c>
      <c r="B71" s="17"/>
      <c r="C71" s="17"/>
      <c r="D71" s="19" t="str">
        <f t="shared" si="13"/>
        <v/>
      </c>
      <c r="E71" s="19" t="str">
        <f t="shared" si="14"/>
        <v/>
      </c>
      <c r="F71" s="17"/>
      <c r="G71" s="18"/>
      <c r="H71" s="18"/>
      <c r="I71" s="17"/>
      <c r="J71" s="20"/>
      <c r="K71" s="20"/>
      <c r="L71" s="18"/>
      <c r="M71" s="18"/>
      <c r="N71" s="18"/>
      <c r="O71" s="20"/>
      <c r="P71" s="20"/>
      <c r="Q71" s="17"/>
      <c r="R71" s="17"/>
      <c r="S71" s="17"/>
      <c r="T71" s="17"/>
      <c r="U71" s="17"/>
      <c r="V71" s="21">
        <f t="shared" si="15"/>
        <v>0</v>
      </c>
      <c r="W71" s="19" t="str">
        <f t="shared" si="16"/>
        <v/>
      </c>
      <c r="X71" s="19" t="str">
        <f t="shared" si="17"/>
        <v/>
      </c>
    </row>
    <row r="72" spans="1:24" x14ac:dyDescent="0.3">
      <c r="A72" s="19" t="str">
        <f t="shared" si="12"/>
        <v/>
      </c>
      <c r="B72" s="17"/>
      <c r="C72" s="17"/>
      <c r="D72" s="19" t="str">
        <f t="shared" si="13"/>
        <v/>
      </c>
      <c r="E72" s="19" t="str">
        <f t="shared" si="14"/>
        <v/>
      </c>
      <c r="F72" s="17"/>
      <c r="G72" s="18"/>
      <c r="H72" s="18"/>
      <c r="I72" s="17"/>
      <c r="J72" s="20"/>
      <c r="K72" s="20"/>
      <c r="L72" s="18"/>
      <c r="M72" s="18"/>
      <c r="N72" s="18"/>
      <c r="O72" s="20"/>
      <c r="P72" s="20"/>
      <c r="Q72" s="17"/>
      <c r="R72" s="17"/>
      <c r="S72" s="17"/>
      <c r="T72" s="17"/>
      <c r="U72" s="17"/>
      <c r="V72" s="21">
        <f t="shared" si="15"/>
        <v>0</v>
      </c>
      <c r="W72" s="19" t="str">
        <f t="shared" si="16"/>
        <v/>
      </c>
      <c r="X72" s="19" t="str">
        <f t="shared" si="17"/>
        <v/>
      </c>
    </row>
    <row r="73" spans="1:24" x14ac:dyDescent="0.3">
      <c r="A73" s="19" t="str">
        <f t="shared" si="12"/>
        <v/>
      </c>
      <c r="B73" s="17"/>
      <c r="C73" s="17"/>
      <c r="D73" s="19" t="str">
        <f t="shared" si="13"/>
        <v/>
      </c>
      <c r="E73" s="19" t="str">
        <f t="shared" si="14"/>
        <v/>
      </c>
      <c r="F73" s="17"/>
      <c r="G73" s="18"/>
      <c r="H73" s="18"/>
      <c r="I73" s="17"/>
      <c r="J73" s="20"/>
      <c r="K73" s="20"/>
      <c r="L73" s="18"/>
      <c r="M73" s="18"/>
      <c r="N73" s="18"/>
      <c r="O73" s="20"/>
      <c r="P73" s="20"/>
      <c r="Q73" s="17"/>
      <c r="R73" s="17"/>
      <c r="S73" s="17"/>
      <c r="T73" s="17"/>
      <c r="U73" s="17"/>
      <c r="V73" s="21">
        <f t="shared" si="15"/>
        <v>0</v>
      </c>
      <c r="W73" s="19" t="str">
        <f t="shared" si="16"/>
        <v/>
      </c>
      <c r="X73" s="19" t="str">
        <f t="shared" si="17"/>
        <v/>
      </c>
    </row>
    <row r="74" spans="1:24" x14ac:dyDescent="0.3">
      <c r="A74" s="19" t="str">
        <f t="shared" si="12"/>
        <v/>
      </c>
      <c r="B74" s="17"/>
      <c r="C74" s="17"/>
      <c r="D74" s="19" t="str">
        <f t="shared" si="13"/>
        <v/>
      </c>
      <c r="E74" s="19" t="str">
        <f t="shared" si="14"/>
        <v/>
      </c>
      <c r="F74" s="17"/>
      <c r="G74" s="18"/>
      <c r="H74" s="18"/>
      <c r="I74" s="17"/>
      <c r="J74" s="20"/>
      <c r="K74" s="20"/>
      <c r="L74" s="18"/>
      <c r="M74" s="18"/>
      <c r="N74" s="18"/>
      <c r="O74" s="20"/>
      <c r="P74" s="20"/>
      <c r="Q74" s="17"/>
      <c r="R74" s="17"/>
      <c r="S74" s="17"/>
      <c r="T74" s="17"/>
      <c r="U74" s="17"/>
      <c r="V74" s="21">
        <f t="shared" si="15"/>
        <v>0</v>
      </c>
      <c r="W74" s="19" t="str">
        <f t="shared" si="16"/>
        <v/>
      </c>
      <c r="X74" s="19" t="str">
        <f t="shared" si="17"/>
        <v/>
      </c>
    </row>
    <row r="75" spans="1:24" x14ac:dyDescent="0.3">
      <c r="A75" s="19" t="str">
        <f t="shared" si="12"/>
        <v/>
      </c>
      <c r="B75" s="17"/>
      <c r="C75" s="17"/>
      <c r="D75" s="19" t="str">
        <f t="shared" si="13"/>
        <v/>
      </c>
      <c r="E75" s="19" t="str">
        <f t="shared" si="14"/>
        <v/>
      </c>
      <c r="F75" s="17"/>
      <c r="G75" s="18"/>
      <c r="H75" s="18"/>
      <c r="I75" s="17"/>
      <c r="J75" s="20"/>
      <c r="K75" s="20"/>
      <c r="L75" s="18"/>
      <c r="M75" s="18"/>
      <c r="N75" s="18"/>
      <c r="O75" s="20"/>
      <c r="P75" s="20"/>
      <c r="Q75" s="17"/>
      <c r="R75" s="17"/>
      <c r="S75" s="17"/>
      <c r="T75" s="17"/>
      <c r="U75" s="17"/>
      <c r="V75" s="21">
        <f t="shared" si="15"/>
        <v>0</v>
      </c>
      <c r="W75" s="19" t="str">
        <f t="shared" si="16"/>
        <v/>
      </c>
      <c r="X75" s="19" t="str">
        <f t="shared" si="17"/>
        <v/>
      </c>
    </row>
    <row r="76" spans="1:24" x14ac:dyDescent="0.3">
      <c r="A76" s="19" t="str">
        <f t="shared" si="12"/>
        <v/>
      </c>
      <c r="B76" s="17"/>
      <c r="C76" s="17"/>
      <c r="D76" s="19" t="str">
        <f t="shared" si="13"/>
        <v/>
      </c>
      <c r="E76" s="19" t="str">
        <f t="shared" si="14"/>
        <v/>
      </c>
      <c r="F76" s="17"/>
      <c r="G76" s="18"/>
      <c r="H76" s="18"/>
      <c r="I76" s="17"/>
      <c r="J76" s="20"/>
      <c r="K76" s="20"/>
      <c r="L76" s="18"/>
      <c r="M76" s="18"/>
      <c r="N76" s="18"/>
      <c r="O76" s="20"/>
      <c r="P76" s="20"/>
      <c r="Q76" s="17"/>
      <c r="R76" s="17"/>
      <c r="S76" s="17"/>
      <c r="T76" s="17"/>
      <c r="U76" s="17"/>
      <c r="V76" s="21">
        <f t="shared" si="15"/>
        <v>0</v>
      </c>
      <c r="W76" s="19" t="str">
        <f t="shared" si="16"/>
        <v/>
      </c>
      <c r="X76" s="19" t="str">
        <f t="shared" si="17"/>
        <v/>
      </c>
    </row>
    <row r="77" spans="1:24" x14ac:dyDescent="0.3">
      <c r="A77" s="19" t="str">
        <f t="shared" si="12"/>
        <v/>
      </c>
      <c r="B77" s="17"/>
      <c r="C77" s="17"/>
      <c r="D77" s="19" t="str">
        <f t="shared" si="13"/>
        <v/>
      </c>
      <c r="E77" s="19" t="str">
        <f t="shared" si="14"/>
        <v/>
      </c>
      <c r="F77" s="17"/>
      <c r="G77" s="18"/>
      <c r="H77" s="18"/>
      <c r="I77" s="17"/>
      <c r="J77" s="20"/>
      <c r="K77" s="20"/>
      <c r="L77" s="18"/>
      <c r="M77" s="18"/>
      <c r="N77" s="18"/>
      <c r="O77" s="20"/>
      <c r="P77" s="20"/>
      <c r="Q77" s="17"/>
      <c r="R77" s="17"/>
      <c r="S77" s="17"/>
      <c r="T77" s="17"/>
      <c r="U77" s="17"/>
      <c r="V77" s="21">
        <f t="shared" si="15"/>
        <v>0</v>
      </c>
      <c r="W77" s="19" t="str">
        <f t="shared" si="16"/>
        <v/>
      </c>
      <c r="X77" s="19" t="str">
        <f t="shared" si="17"/>
        <v/>
      </c>
    </row>
    <row r="78" spans="1:24" x14ac:dyDescent="0.3">
      <c r="A78" s="19" t="str">
        <f t="shared" si="12"/>
        <v/>
      </c>
      <c r="B78" s="17"/>
      <c r="C78" s="17"/>
      <c r="D78" s="19" t="str">
        <f t="shared" si="13"/>
        <v/>
      </c>
      <c r="E78" s="19" t="str">
        <f t="shared" si="14"/>
        <v/>
      </c>
      <c r="F78" s="17"/>
      <c r="G78" s="18"/>
      <c r="H78" s="18"/>
      <c r="I78" s="17"/>
      <c r="J78" s="20"/>
      <c r="K78" s="20"/>
      <c r="L78" s="18"/>
      <c r="M78" s="18"/>
      <c r="N78" s="18"/>
      <c r="O78" s="20"/>
      <c r="P78" s="20"/>
      <c r="Q78" s="17"/>
      <c r="R78" s="17"/>
      <c r="S78" s="17"/>
      <c r="T78" s="17"/>
      <c r="U78" s="17"/>
      <c r="V78" s="21">
        <f t="shared" si="15"/>
        <v>0</v>
      </c>
      <c r="W78" s="19" t="str">
        <f t="shared" si="16"/>
        <v/>
      </c>
      <c r="X78" s="19" t="str">
        <f t="shared" si="17"/>
        <v/>
      </c>
    </row>
    <row r="79" spans="1:24" x14ac:dyDescent="0.3">
      <c r="A79" s="19" t="str">
        <f t="shared" si="12"/>
        <v/>
      </c>
      <c r="B79" s="17"/>
      <c r="C79" s="17"/>
      <c r="D79" s="19" t="str">
        <f t="shared" si="13"/>
        <v/>
      </c>
      <c r="E79" s="19" t="str">
        <f t="shared" si="14"/>
        <v/>
      </c>
      <c r="F79" s="17"/>
      <c r="G79" s="18"/>
      <c r="H79" s="18"/>
      <c r="I79" s="17"/>
      <c r="J79" s="20"/>
      <c r="K79" s="20"/>
      <c r="L79" s="18"/>
      <c r="M79" s="18"/>
      <c r="N79" s="18"/>
      <c r="O79" s="20"/>
      <c r="P79" s="20"/>
      <c r="Q79" s="17"/>
      <c r="R79" s="17"/>
      <c r="S79" s="17"/>
      <c r="T79" s="17"/>
      <c r="U79" s="17"/>
      <c r="V79" s="21">
        <f t="shared" si="15"/>
        <v>0</v>
      </c>
      <c r="W79" s="19" t="str">
        <f t="shared" si="16"/>
        <v/>
      </c>
      <c r="X79" s="19" t="str">
        <f t="shared" si="17"/>
        <v/>
      </c>
    </row>
    <row r="80" spans="1:24" x14ac:dyDescent="0.3">
      <c r="A80" s="19" t="str">
        <f t="shared" si="12"/>
        <v/>
      </c>
      <c r="B80" s="17"/>
      <c r="C80" s="17"/>
      <c r="D80" s="19" t="str">
        <f t="shared" si="13"/>
        <v/>
      </c>
      <c r="E80" s="19" t="str">
        <f t="shared" si="14"/>
        <v/>
      </c>
      <c r="F80" s="17"/>
      <c r="G80" s="18"/>
      <c r="H80" s="18"/>
      <c r="I80" s="17"/>
      <c r="J80" s="20"/>
      <c r="K80" s="20"/>
      <c r="L80" s="18"/>
      <c r="M80" s="18"/>
      <c r="N80" s="18"/>
      <c r="O80" s="20"/>
      <c r="P80" s="20"/>
      <c r="Q80" s="17"/>
      <c r="R80" s="17"/>
      <c r="S80" s="17"/>
      <c r="T80" s="17"/>
      <c r="U80" s="17"/>
      <c r="V80" s="21">
        <f t="shared" si="15"/>
        <v>0</v>
      </c>
      <c r="W80" s="19" t="str">
        <f t="shared" si="16"/>
        <v/>
      </c>
      <c r="X80" s="19" t="str">
        <f t="shared" si="17"/>
        <v/>
      </c>
    </row>
    <row r="81" spans="1:24" x14ac:dyDescent="0.3">
      <c r="A81" s="19" t="str">
        <f t="shared" si="12"/>
        <v/>
      </c>
      <c r="B81" s="17"/>
      <c r="C81" s="17"/>
      <c r="D81" s="19" t="str">
        <f t="shared" si="13"/>
        <v/>
      </c>
      <c r="E81" s="19" t="str">
        <f t="shared" si="14"/>
        <v/>
      </c>
      <c r="F81" s="17"/>
      <c r="G81" s="18"/>
      <c r="H81" s="18"/>
      <c r="I81" s="17"/>
      <c r="J81" s="20"/>
      <c r="K81" s="20"/>
      <c r="L81" s="18"/>
      <c r="M81" s="18"/>
      <c r="N81" s="18"/>
      <c r="O81" s="20"/>
      <c r="P81" s="20"/>
      <c r="Q81" s="17"/>
      <c r="R81" s="17"/>
      <c r="S81" s="17"/>
      <c r="T81" s="17"/>
      <c r="U81" s="17"/>
      <c r="V81" s="21">
        <f t="shared" si="15"/>
        <v>0</v>
      </c>
      <c r="W81" s="19" t="str">
        <f t="shared" si="16"/>
        <v/>
      </c>
      <c r="X81" s="19" t="str">
        <f t="shared" si="17"/>
        <v/>
      </c>
    </row>
    <row r="82" spans="1:24" x14ac:dyDescent="0.3">
      <c r="A82" s="19" t="str">
        <f t="shared" si="12"/>
        <v/>
      </c>
      <c r="B82" s="17"/>
      <c r="C82" s="17"/>
      <c r="D82" s="19" t="str">
        <f t="shared" si="13"/>
        <v/>
      </c>
      <c r="E82" s="19" t="str">
        <f t="shared" si="14"/>
        <v/>
      </c>
      <c r="F82" s="17"/>
      <c r="G82" s="18"/>
      <c r="H82" s="18"/>
      <c r="I82" s="17"/>
      <c r="J82" s="20"/>
      <c r="K82" s="20"/>
      <c r="L82" s="18"/>
      <c r="M82" s="18"/>
      <c r="N82" s="18"/>
      <c r="O82" s="20"/>
      <c r="P82" s="20"/>
      <c r="Q82" s="17"/>
      <c r="R82" s="17"/>
      <c r="S82" s="17"/>
      <c r="T82" s="17"/>
      <c r="U82" s="17"/>
      <c r="V82" s="21">
        <f t="shared" si="15"/>
        <v>0</v>
      </c>
      <c r="W82" s="19" t="str">
        <f t="shared" si="16"/>
        <v/>
      </c>
      <c r="X82" s="19" t="str">
        <f t="shared" si="17"/>
        <v/>
      </c>
    </row>
    <row r="83" spans="1:24" x14ac:dyDescent="0.3">
      <c r="A83" s="19" t="str">
        <f t="shared" si="12"/>
        <v/>
      </c>
      <c r="B83" s="17"/>
      <c r="C83" s="17"/>
      <c r="D83" s="19" t="str">
        <f t="shared" si="13"/>
        <v/>
      </c>
      <c r="E83" s="19" t="str">
        <f t="shared" si="14"/>
        <v/>
      </c>
      <c r="F83" s="17"/>
      <c r="G83" s="18"/>
      <c r="H83" s="18"/>
      <c r="I83" s="17"/>
      <c r="J83" s="20"/>
      <c r="K83" s="20"/>
      <c r="L83" s="18"/>
      <c r="M83" s="18"/>
      <c r="N83" s="18"/>
      <c r="O83" s="20"/>
      <c r="P83" s="20"/>
      <c r="Q83" s="17"/>
      <c r="R83" s="17"/>
      <c r="S83" s="17"/>
      <c r="T83" s="17"/>
      <c r="U83" s="17"/>
      <c r="V83" s="21">
        <f t="shared" si="15"/>
        <v>0</v>
      </c>
      <c r="W83" s="19" t="str">
        <f t="shared" si="16"/>
        <v/>
      </c>
      <c r="X83" s="19" t="str">
        <f t="shared" si="17"/>
        <v/>
      </c>
    </row>
    <row r="84" spans="1:24" x14ac:dyDescent="0.3">
      <c r="A84" s="19" t="str">
        <f t="shared" si="12"/>
        <v/>
      </c>
      <c r="B84" s="17"/>
      <c r="C84" s="17"/>
      <c r="D84" s="19" t="str">
        <f t="shared" si="13"/>
        <v/>
      </c>
      <c r="E84" s="19" t="str">
        <f t="shared" si="14"/>
        <v/>
      </c>
      <c r="F84" s="17"/>
      <c r="G84" s="18"/>
      <c r="H84" s="18"/>
      <c r="I84" s="17"/>
      <c r="J84" s="20"/>
      <c r="K84" s="20"/>
      <c r="L84" s="18"/>
      <c r="M84" s="18"/>
      <c r="N84" s="18"/>
      <c r="O84" s="20"/>
      <c r="P84" s="20"/>
      <c r="Q84" s="17"/>
      <c r="R84" s="17"/>
      <c r="S84" s="17"/>
      <c r="T84" s="17"/>
      <c r="U84" s="17"/>
      <c r="V84" s="21">
        <f t="shared" si="15"/>
        <v>0</v>
      </c>
      <c r="W84" s="19" t="str">
        <f t="shared" si="16"/>
        <v/>
      </c>
      <c r="X84" s="19" t="str">
        <f t="shared" si="17"/>
        <v/>
      </c>
    </row>
    <row r="85" spans="1:24" x14ac:dyDescent="0.3">
      <c r="A85" s="19" t="str">
        <f t="shared" si="12"/>
        <v/>
      </c>
      <c r="B85" s="17"/>
      <c r="C85" s="17"/>
      <c r="D85" s="19" t="str">
        <f t="shared" si="13"/>
        <v/>
      </c>
      <c r="E85" s="19" t="str">
        <f t="shared" si="14"/>
        <v/>
      </c>
      <c r="F85" s="17"/>
      <c r="G85" s="18"/>
      <c r="H85" s="18"/>
      <c r="I85" s="17"/>
      <c r="J85" s="20"/>
      <c r="K85" s="20"/>
      <c r="L85" s="18"/>
      <c r="M85" s="18"/>
      <c r="N85" s="18"/>
      <c r="O85" s="20"/>
      <c r="P85" s="20"/>
      <c r="Q85" s="17"/>
      <c r="R85" s="17"/>
      <c r="S85" s="17"/>
      <c r="T85" s="17"/>
      <c r="U85" s="17"/>
      <c r="V85" s="21">
        <f t="shared" si="15"/>
        <v>0</v>
      </c>
      <c r="W85" s="19" t="str">
        <f t="shared" si="16"/>
        <v/>
      </c>
      <c r="X85" s="19" t="str">
        <f t="shared" si="17"/>
        <v/>
      </c>
    </row>
    <row r="86" spans="1:24" x14ac:dyDescent="0.3">
      <c r="A86" s="19" t="str">
        <f t="shared" si="12"/>
        <v/>
      </c>
      <c r="B86" s="17"/>
      <c r="C86" s="17"/>
      <c r="D86" s="19" t="str">
        <f t="shared" si="13"/>
        <v/>
      </c>
      <c r="E86" s="19" t="str">
        <f t="shared" si="14"/>
        <v/>
      </c>
      <c r="F86" s="17"/>
      <c r="G86" s="18"/>
      <c r="H86" s="18"/>
      <c r="I86" s="17"/>
      <c r="J86" s="20"/>
      <c r="K86" s="20"/>
      <c r="L86" s="18"/>
      <c r="M86" s="18"/>
      <c r="N86" s="18"/>
      <c r="O86" s="20"/>
      <c r="P86" s="20"/>
      <c r="Q86" s="17"/>
      <c r="R86" s="17"/>
      <c r="S86" s="17"/>
      <c r="T86" s="17"/>
      <c r="U86" s="17"/>
      <c r="V86" s="21">
        <f t="shared" si="15"/>
        <v>0</v>
      </c>
      <c r="W86" s="19" t="str">
        <f t="shared" si="16"/>
        <v/>
      </c>
      <c r="X86" s="19" t="str">
        <f t="shared" si="17"/>
        <v/>
      </c>
    </row>
    <row r="87" spans="1:24" x14ac:dyDescent="0.3">
      <c r="A87" s="19" t="str">
        <f t="shared" si="12"/>
        <v/>
      </c>
      <c r="B87" s="17"/>
      <c r="C87" s="17"/>
      <c r="D87" s="19" t="str">
        <f t="shared" si="13"/>
        <v/>
      </c>
      <c r="E87" s="19" t="str">
        <f t="shared" si="14"/>
        <v/>
      </c>
      <c r="F87" s="17"/>
      <c r="G87" s="18"/>
      <c r="H87" s="18"/>
      <c r="I87" s="17"/>
      <c r="J87" s="20"/>
      <c r="K87" s="20"/>
      <c r="L87" s="18"/>
      <c r="M87" s="18"/>
      <c r="N87" s="18"/>
      <c r="O87" s="20"/>
      <c r="P87" s="20"/>
      <c r="Q87" s="17"/>
      <c r="R87" s="17"/>
      <c r="S87" s="17"/>
      <c r="T87" s="17"/>
      <c r="U87" s="17"/>
      <c r="V87" s="21">
        <f t="shared" si="15"/>
        <v>0</v>
      </c>
      <c r="W87" s="19" t="str">
        <f t="shared" si="16"/>
        <v/>
      </c>
      <c r="X87" s="19" t="str">
        <f t="shared" si="17"/>
        <v/>
      </c>
    </row>
    <row r="88" spans="1:24" x14ac:dyDescent="0.3">
      <c r="A88" s="19" t="str">
        <f t="shared" si="12"/>
        <v/>
      </c>
      <c r="B88" s="17"/>
      <c r="C88" s="17"/>
      <c r="D88" s="19" t="str">
        <f t="shared" si="13"/>
        <v/>
      </c>
      <c r="E88" s="19" t="str">
        <f t="shared" si="14"/>
        <v/>
      </c>
      <c r="F88" s="17"/>
      <c r="G88" s="18"/>
      <c r="H88" s="18"/>
      <c r="I88" s="17"/>
      <c r="J88" s="20"/>
      <c r="K88" s="20"/>
      <c r="L88" s="18"/>
      <c r="M88" s="18"/>
      <c r="N88" s="18"/>
      <c r="O88" s="20"/>
      <c r="P88" s="20"/>
      <c r="Q88" s="17"/>
      <c r="R88" s="17"/>
      <c r="S88" s="17"/>
      <c r="T88" s="17"/>
      <c r="U88" s="17"/>
      <c r="V88" s="21">
        <f t="shared" si="15"/>
        <v>0</v>
      </c>
      <c r="W88" s="19" t="str">
        <f t="shared" si="16"/>
        <v/>
      </c>
      <c r="X88" s="19" t="str">
        <f t="shared" si="17"/>
        <v/>
      </c>
    </row>
    <row r="89" spans="1:24" x14ac:dyDescent="0.3">
      <c r="A89" s="19" t="str">
        <f t="shared" si="12"/>
        <v/>
      </c>
      <c r="B89" s="17"/>
      <c r="C89" s="17"/>
      <c r="D89" s="19" t="str">
        <f t="shared" si="13"/>
        <v/>
      </c>
      <c r="E89" s="19" t="str">
        <f t="shared" si="14"/>
        <v/>
      </c>
      <c r="F89" s="17"/>
      <c r="G89" s="18"/>
      <c r="H89" s="18"/>
      <c r="I89" s="17"/>
      <c r="J89" s="20"/>
      <c r="K89" s="20"/>
      <c r="L89" s="18"/>
      <c r="M89" s="18"/>
      <c r="N89" s="18"/>
      <c r="O89" s="20"/>
      <c r="P89" s="20"/>
      <c r="Q89" s="17"/>
      <c r="R89" s="17"/>
      <c r="S89" s="17"/>
      <c r="T89" s="17"/>
      <c r="U89" s="17"/>
      <c r="V89" s="21">
        <f t="shared" si="15"/>
        <v>0</v>
      </c>
      <c r="W89" s="19" t="str">
        <f t="shared" si="16"/>
        <v/>
      </c>
      <c r="X89" s="19" t="str">
        <f t="shared" si="17"/>
        <v/>
      </c>
    </row>
    <row r="90" spans="1:24" x14ac:dyDescent="0.3">
      <c r="A90" s="19" t="str">
        <f t="shared" si="12"/>
        <v/>
      </c>
      <c r="B90" s="17"/>
      <c r="C90" s="17"/>
      <c r="D90" s="19" t="str">
        <f t="shared" si="13"/>
        <v/>
      </c>
      <c r="E90" s="19" t="str">
        <f t="shared" si="14"/>
        <v/>
      </c>
      <c r="F90" s="17"/>
      <c r="G90" s="18"/>
      <c r="H90" s="18"/>
      <c r="I90" s="17"/>
      <c r="J90" s="20"/>
      <c r="K90" s="20"/>
      <c r="L90" s="18"/>
      <c r="M90" s="18"/>
      <c r="N90" s="18"/>
      <c r="O90" s="20"/>
      <c r="P90" s="20"/>
      <c r="Q90" s="17"/>
      <c r="R90" s="17"/>
      <c r="S90" s="17"/>
      <c r="T90" s="17"/>
      <c r="U90" s="17"/>
      <c r="V90" s="21">
        <f t="shared" si="15"/>
        <v>0</v>
      </c>
      <c r="W90" s="19" t="str">
        <f t="shared" si="16"/>
        <v/>
      </c>
      <c r="X90" s="19" t="str">
        <f t="shared" si="17"/>
        <v/>
      </c>
    </row>
    <row r="91" spans="1:24" x14ac:dyDescent="0.3">
      <c r="A91" s="19" t="str">
        <f t="shared" si="12"/>
        <v/>
      </c>
      <c r="B91" s="17"/>
      <c r="C91" s="17"/>
      <c r="D91" s="19" t="str">
        <f t="shared" si="13"/>
        <v/>
      </c>
      <c r="E91" s="19" t="str">
        <f t="shared" si="14"/>
        <v/>
      </c>
      <c r="F91" s="17"/>
      <c r="G91" s="18"/>
      <c r="H91" s="18"/>
      <c r="I91" s="17"/>
      <c r="J91" s="20"/>
      <c r="K91" s="20"/>
      <c r="L91" s="18"/>
      <c r="M91" s="18"/>
      <c r="N91" s="18"/>
      <c r="O91" s="20"/>
      <c r="P91" s="20"/>
      <c r="Q91" s="17"/>
      <c r="R91" s="17"/>
      <c r="S91" s="17"/>
      <c r="T91" s="17"/>
      <c r="U91" s="17"/>
      <c r="V91" s="21">
        <f t="shared" si="15"/>
        <v>0</v>
      </c>
      <c r="W91" s="19" t="str">
        <f t="shared" si="16"/>
        <v/>
      </c>
      <c r="X91" s="19" t="str">
        <f t="shared" si="17"/>
        <v/>
      </c>
    </row>
    <row r="92" spans="1:24" x14ac:dyDescent="0.3">
      <c r="A92" s="19" t="str">
        <f t="shared" si="12"/>
        <v/>
      </c>
      <c r="B92" s="17"/>
      <c r="C92" s="17"/>
      <c r="D92" s="19" t="str">
        <f t="shared" si="13"/>
        <v/>
      </c>
      <c r="E92" s="19" t="str">
        <f t="shared" si="14"/>
        <v/>
      </c>
      <c r="F92" s="17"/>
      <c r="G92" s="18"/>
      <c r="H92" s="18"/>
      <c r="I92" s="17"/>
      <c r="J92" s="20"/>
      <c r="K92" s="20"/>
      <c r="L92" s="18"/>
      <c r="M92" s="18"/>
      <c r="N92" s="18"/>
      <c r="O92" s="20"/>
      <c r="P92" s="20"/>
      <c r="Q92" s="17"/>
      <c r="R92" s="17"/>
      <c r="S92" s="17"/>
      <c r="T92" s="17"/>
      <c r="U92" s="17"/>
      <c r="V92" s="21">
        <f t="shared" si="15"/>
        <v>0</v>
      </c>
      <c r="W92" s="19" t="str">
        <f t="shared" si="16"/>
        <v/>
      </c>
      <c r="X92" s="19" t="str">
        <f t="shared" si="17"/>
        <v/>
      </c>
    </row>
    <row r="93" spans="1:24" x14ac:dyDescent="0.3">
      <c r="A93" s="19" t="str">
        <f t="shared" si="12"/>
        <v/>
      </c>
      <c r="B93" s="17"/>
      <c r="C93" s="17"/>
      <c r="D93" s="19" t="str">
        <f t="shared" si="13"/>
        <v/>
      </c>
      <c r="E93" s="19" t="str">
        <f t="shared" si="14"/>
        <v/>
      </c>
      <c r="F93" s="17"/>
      <c r="G93" s="18"/>
      <c r="H93" s="18"/>
      <c r="I93" s="17"/>
      <c r="J93" s="20"/>
      <c r="K93" s="20"/>
      <c r="L93" s="18"/>
      <c r="M93" s="18"/>
      <c r="N93" s="18"/>
      <c r="O93" s="20"/>
      <c r="P93" s="20"/>
      <c r="Q93" s="17"/>
      <c r="R93" s="17"/>
      <c r="S93" s="17"/>
      <c r="T93" s="17"/>
      <c r="U93" s="17"/>
      <c r="V93" s="21">
        <f t="shared" si="15"/>
        <v>0</v>
      </c>
      <c r="W93" s="19" t="str">
        <f t="shared" si="16"/>
        <v/>
      </c>
      <c r="X93" s="19" t="str">
        <f t="shared" si="17"/>
        <v/>
      </c>
    </row>
    <row r="94" spans="1:24" x14ac:dyDescent="0.3">
      <c r="A94" s="19" t="str">
        <f t="shared" si="12"/>
        <v/>
      </c>
      <c r="B94" s="17"/>
      <c r="C94" s="17"/>
      <c r="D94" s="19" t="str">
        <f t="shared" si="13"/>
        <v/>
      </c>
      <c r="E94" s="19" t="str">
        <f t="shared" si="14"/>
        <v/>
      </c>
      <c r="F94" s="17"/>
      <c r="G94" s="18"/>
      <c r="H94" s="18"/>
      <c r="I94" s="17"/>
      <c r="J94" s="20"/>
      <c r="K94" s="20"/>
      <c r="L94" s="18"/>
      <c r="M94" s="18"/>
      <c r="N94" s="18"/>
      <c r="O94" s="20"/>
      <c r="P94" s="20"/>
      <c r="Q94" s="17"/>
      <c r="R94" s="17"/>
      <c r="S94" s="17"/>
      <c r="T94" s="17"/>
      <c r="U94" s="17"/>
      <c r="V94" s="21">
        <f t="shared" si="15"/>
        <v>0</v>
      </c>
      <c r="W94" s="19" t="str">
        <f t="shared" si="16"/>
        <v/>
      </c>
      <c r="X94" s="19" t="str">
        <f t="shared" si="17"/>
        <v/>
      </c>
    </row>
    <row r="95" spans="1:24" x14ac:dyDescent="0.3">
      <c r="A95" s="19" t="str">
        <f t="shared" si="12"/>
        <v/>
      </c>
      <c r="B95" s="17"/>
      <c r="C95" s="17"/>
      <c r="D95" s="19" t="str">
        <f t="shared" si="13"/>
        <v/>
      </c>
      <c r="E95" s="19" t="str">
        <f t="shared" si="14"/>
        <v/>
      </c>
      <c r="F95" s="17"/>
      <c r="G95" s="18"/>
      <c r="H95" s="18"/>
      <c r="I95" s="17"/>
      <c r="J95" s="20"/>
      <c r="K95" s="20"/>
      <c r="L95" s="18"/>
      <c r="M95" s="18"/>
      <c r="N95" s="18"/>
      <c r="O95" s="20"/>
      <c r="P95" s="20"/>
      <c r="Q95" s="17"/>
      <c r="R95" s="17"/>
      <c r="S95" s="17"/>
      <c r="T95" s="17"/>
      <c r="U95" s="17"/>
      <c r="V95" s="21">
        <f t="shared" si="15"/>
        <v>0</v>
      </c>
      <c r="W95" s="19" t="str">
        <f t="shared" si="16"/>
        <v/>
      </c>
      <c r="X95" s="19" t="str">
        <f t="shared" si="17"/>
        <v/>
      </c>
    </row>
    <row r="96" spans="1:24" x14ac:dyDescent="0.3">
      <c r="A96" s="19" t="str">
        <f t="shared" si="12"/>
        <v/>
      </c>
      <c r="B96" s="17"/>
      <c r="C96" s="17"/>
      <c r="D96" s="19" t="str">
        <f t="shared" si="13"/>
        <v/>
      </c>
      <c r="E96" s="19" t="str">
        <f t="shared" si="14"/>
        <v/>
      </c>
      <c r="F96" s="17"/>
      <c r="G96" s="18"/>
      <c r="H96" s="18"/>
      <c r="I96" s="17"/>
      <c r="J96" s="20"/>
      <c r="K96" s="20"/>
      <c r="L96" s="18"/>
      <c r="M96" s="18"/>
      <c r="N96" s="18"/>
      <c r="O96" s="20"/>
      <c r="P96" s="20"/>
      <c r="Q96" s="17"/>
      <c r="R96" s="17"/>
      <c r="S96" s="17"/>
      <c r="T96" s="17"/>
      <c r="U96" s="17"/>
      <c r="V96" s="21">
        <f t="shared" si="15"/>
        <v>0</v>
      </c>
      <c r="W96" s="19" t="str">
        <f t="shared" si="16"/>
        <v/>
      </c>
      <c r="X96" s="19" t="str">
        <f t="shared" si="17"/>
        <v/>
      </c>
    </row>
    <row r="97" spans="1:24" x14ac:dyDescent="0.3">
      <c r="A97" s="19" t="str">
        <f t="shared" si="12"/>
        <v/>
      </c>
      <c r="B97" s="17"/>
      <c r="C97" s="17"/>
      <c r="D97" s="19" t="str">
        <f t="shared" si="13"/>
        <v/>
      </c>
      <c r="E97" s="19" t="str">
        <f t="shared" si="14"/>
        <v/>
      </c>
      <c r="F97" s="17"/>
      <c r="G97" s="18"/>
      <c r="H97" s="18"/>
      <c r="I97" s="17"/>
      <c r="J97" s="20"/>
      <c r="K97" s="20"/>
      <c r="L97" s="18"/>
      <c r="M97" s="18"/>
      <c r="N97" s="18"/>
      <c r="O97" s="20"/>
      <c r="P97" s="20"/>
      <c r="Q97" s="17"/>
      <c r="R97" s="17"/>
      <c r="S97" s="17"/>
      <c r="T97" s="17"/>
      <c r="U97" s="17"/>
      <c r="V97" s="21">
        <f t="shared" si="15"/>
        <v>0</v>
      </c>
      <c r="W97" s="19" t="str">
        <f t="shared" si="16"/>
        <v/>
      </c>
      <c r="X97" s="19" t="str">
        <f t="shared" si="17"/>
        <v/>
      </c>
    </row>
    <row r="98" spans="1:24" x14ac:dyDescent="0.3">
      <c r="A98" s="19" t="str">
        <f t="shared" si="12"/>
        <v/>
      </c>
      <c r="B98" s="17"/>
      <c r="C98" s="17"/>
      <c r="D98" s="19" t="str">
        <f t="shared" si="13"/>
        <v/>
      </c>
      <c r="E98" s="19" t="str">
        <f t="shared" si="14"/>
        <v/>
      </c>
      <c r="F98" s="17"/>
      <c r="G98" s="18"/>
      <c r="H98" s="18"/>
      <c r="I98" s="17"/>
      <c r="J98" s="20"/>
      <c r="K98" s="20"/>
      <c r="L98" s="18"/>
      <c r="M98" s="18"/>
      <c r="N98" s="18"/>
      <c r="O98" s="20"/>
      <c r="P98" s="20"/>
      <c r="Q98" s="17"/>
      <c r="R98" s="17"/>
      <c r="S98" s="17"/>
      <c r="T98" s="17"/>
      <c r="U98" s="17"/>
      <c r="V98" s="21">
        <f t="shared" si="15"/>
        <v>0</v>
      </c>
      <c r="W98" s="19" t="str">
        <f t="shared" si="16"/>
        <v/>
      </c>
      <c r="X98" s="19" t="str">
        <f t="shared" si="17"/>
        <v/>
      </c>
    </row>
    <row r="99" spans="1:24" x14ac:dyDescent="0.3">
      <c r="A99" s="19" t="str">
        <f t="shared" si="12"/>
        <v/>
      </c>
      <c r="B99" s="17"/>
      <c r="C99" s="17"/>
      <c r="D99" s="19" t="str">
        <f t="shared" si="13"/>
        <v/>
      </c>
      <c r="E99" s="19" t="str">
        <f t="shared" si="14"/>
        <v/>
      </c>
      <c r="F99" s="17"/>
      <c r="G99" s="18"/>
      <c r="H99" s="18"/>
      <c r="I99" s="17"/>
      <c r="J99" s="20"/>
      <c r="K99" s="20"/>
      <c r="L99" s="18"/>
      <c r="M99" s="18"/>
      <c r="N99" s="18"/>
      <c r="O99" s="20"/>
      <c r="P99" s="20"/>
      <c r="Q99" s="17"/>
      <c r="R99" s="17"/>
      <c r="S99" s="17"/>
      <c r="T99" s="17"/>
      <c r="U99" s="17"/>
      <c r="V99" s="21">
        <f t="shared" si="15"/>
        <v>0</v>
      </c>
      <c r="W99" s="19" t="str">
        <f t="shared" si="16"/>
        <v/>
      </c>
      <c r="X99" s="19" t="str">
        <f t="shared" si="17"/>
        <v/>
      </c>
    </row>
    <row r="100" spans="1:24" x14ac:dyDescent="0.3">
      <c r="A100" s="19" t="str">
        <f t="shared" si="12"/>
        <v/>
      </c>
      <c r="B100" s="17"/>
      <c r="C100" s="17"/>
      <c r="D100" s="19" t="str">
        <f t="shared" si="13"/>
        <v/>
      </c>
      <c r="E100" s="19" t="str">
        <f t="shared" si="14"/>
        <v/>
      </c>
      <c r="F100" s="17"/>
      <c r="G100" s="18"/>
      <c r="H100" s="18"/>
      <c r="I100" s="17"/>
      <c r="J100" s="20"/>
      <c r="K100" s="20"/>
      <c r="L100" s="18"/>
      <c r="M100" s="18"/>
      <c r="N100" s="18"/>
      <c r="O100" s="20"/>
      <c r="P100" s="20"/>
      <c r="Q100" s="17"/>
      <c r="R100" s="17"/>
      <c r="S100" s="17"/>
      <c r="T100" s="17"/>
      <c r="U100" s="17"/>
      <c r="V100" s="21">
        <f t="shared" si="15"/>
        <v>0</v>
      </c>
      <c r="W100" s="19" t="str">
        <f t="shared" si="16"/>
        <v/>
      </c>
      <c r="X100" s="19" t="str">
        <f t="shared" si="17"/>
        <v/>
      </c>
    </row>
    <row r="101" spans="1:24" x14ac:dyDescent="0.3">
      <c r="A101" s="19" t="str">
        <f t="shared" ref="A101:A132" si="18">IF(OR($B101="",$C101=""),"",$B101&amp;"-"&amp;$C101)</f>
        <v/>
      </c>
      <c r="B101" s="17"/>
      <c r="C101" s="17"/>
      <c r="D101" s="19" t="str">
        <f t="shared" ref="D101:D132" si="19">IF($C101="","",IFERROR(INDEX(Prod_Desc,MATCH($C101,Prod_Cod,0)),"PRODUTO NÃO CADASTRADO"))</f>
        <v/>
      </c>
      <c r="E101" s="19" t="str">
        <f t="shared" ref="E101:E132" si="20">IF($C101="","",IFERROR(INDEX(Prod_Tipo,MATCH($C101,Prod_Cod,0)),"NÃO CLASSIFICADO"))</f>
        <v/>
      </c>
      <c r="F101" s="17"/>
      <c r="G101" s="18"/>
      <c r="H101" s="18"/>
      <c r="I101" s="17"/>
      <c r="J101" s="20"/>
      <c r="K101" s="20"/>
      <c r="L101" s="18"/>
      <c r="M101" s="18"/>
      <c r="N101" s="18"/>
      <c r="O101" s="20"/>
      <c r="P101" s="20"/>
      <c r="Q101" s="17"/>
      <c r="R101" s="17"/>
      <c r="S101" s="17"/>
      <c r="T101" s="17"/>
      <c r="U101" s="17"/>
      <c r="V101" s="21">
        <f t="shared" ref="V101:V132" si="21">IF($A101="",0,SUMIFS(Ent_Qtd,Ent_Item,$A101))</f>
        <v>0</v>
      </c>
      <c r="W101" s="19" t="str">
        <f t="shared" ref="W101:W132" si="22">IF($A101="","",IF($H101="","AGUARDANDO SOLICITAÇÃO DE COMPRA",IF($M101="","AGUARDANDO ORDEM DE COMPRA",IF($V101=0,"AGUARDANDO ENTREGA",IF($V101&lt;$Q101,"RECEBIDO PARCIALMENTE",IF(N($R101)&lt;$V101,"RECEBIDO - AGUARDANDO LIBERAÇÃO",IF(N($S101)&lt;N($R101),"LIBERADO - AGUARDANDO INSTALAÇÃO",IF(N($T101)&lt;N($S101),"INSTALADO - AGUARDANDO IP",IF(N($U101)&lt;N($T101),"COM IP - AGUARDANDO VMS",IF($U101&gt;=$F101,"CONCLUÍDO","EM ANDAMENTO"))))))))))</f>
        <v/>
      </c>
      <c r="X101" s="19" t="str">
        <f t="shared" ref="X101:X132" si="23">IF($A101="","",$B101&amp;"  ·  "&amp;$D101&amp;"  ·  OC "&amp;IF($M101="","(sem OC)",$M101))</f>
        <v/>
      </c>
    </row>
    <row r="102" spans="1:24" x14ac:dyDescent="0.3">
      <c r="A102" s="19" t="str">
        <f t="shared" si="18"/>
        <v/>
      </c>
      <c r="B102" s="17"/>
      <c r="C102" s="17"/>
      <c r="D102" s="19" t="str">
        <f t="shared" si="19"/>
        <v/>
      </c>
      <c r="E102" s="19" t="str">
        <f t="shared" si="20"/>
        <v/>
      </c>
      <c r="F102" s="17"/>
      <c r="G102" s="18"/>
      <c r="H102" s="18"/>
      <c r="I102" s="17"/>
      <c r="J102" s="20"/>
      <c r="K102" s="20"/>
      <c r="L102" s="18"/>
      <c r="M102" s="18"/>
      <c r="N102" s="18"/>
      <c r="O102" s="20"/>
      <c r="P102" s="20"/>
      <c r="Q102" s="17"/>
      <c r="R102" s="17"/>
      <c r="S102" s="17"/>
      <c r="T102" s="17"/>
      <c r="U102" s="17"/>
      <c r="V102" s="21">
        <f t="shared" si="21"/>
        <v>0</v>
      </c>
      <c r="W102" s="19" t="str">
        <f t="shared" si="22"/>
        <v/>
      </c>
      <c r="X102" s="19" t="str">
        <f t="shared" si="23"/>
        <v/>
      </c>
    </row>
    <row r="103" spans="1:24" x14ac:dyDescent="0.3">
      <c r="A103" s="19" t="str">
        <f t="shared" si="18"/>
        <v/>
      </c>
      <c r="B103" s="17"/>
      <c r="C103" s="17"/>
      <c r="D103" s="19" t="str">
        <f t="shared" si="19"/>
        <v/>
      </c>
      <c r="E103" s="19" t="str">
        <f t="shared" si="20"/>
        <v/>
      </c>
      <c r="F103" s="17"/>
      <c r="G103" s="18"/>
      <c r="H103" s="18"/>
      <c r="I103" s="17"/>
      <c r="J103" s="20"/>
      <c r="K103" s="20"/>
      <c r="L103" s="18"/>
      <c r="M103" s="18"/>
      <c r="N103" s="18"/>
      <c r="O103" s="20"/>
      <c r="P103" s="20"/>
      <c r="Q103" s="17"/>
      <c r="R103" s="17"/>
      <c r="S103" s="17"/>
      <c r="T103" s="17"/>
      <c r="U103" s="17"/>
      <c r="V103" s="21">
        <f t="shared" si="21"/>
        <v>0</v>
      </c>
      <c r="W103" s="19" t="str">
        <f t="shared" si="22"/>
        <v/>
      </c>
      <c r="X103" s="19" t="str">
        <f t="shared" si="23"/>
        <v/>
      </c>
    </row>
    <row r="104" spans="1:24" x14ac:dyDescent="0.3">
      <c r="A104" s="19" t="str">
        <f t="shared" si="18"/>
        <v/>
      </c>
      <c r="B104" s="17"/>
      <c r="C104" s="17"/>
      <c r="D104" s="19" t="str">
        <f t="shared" si="19"/>
        <v/>
      </c>
      <c r="E104" s="19" t="str">
        <f t="shared" si="20"/>
        <v/>
      </c>
      <c r="F104" s="17"/>
      <c r="G104" s="18"/>
      <c r="H104" s="18"/>
      <c r="I104" s="17"/>
      <c r="J104" s="20"/>
      <c r="K104" s="20"/>
      <c r="L104" s="18"/>
      <c r="M104" s="18"/>
      <c r="N104" s="18"/>
      <c r="O104" s="20"/>
      <c r="P104" s="20"/>
      <c r="Q104" s="17"/>
      <c r="R104" s="17"/>
      <c r="S104" s="17"/>
      <c r="T104" s="17"/>
      <c r="U104" s="17"/>
      <c r="V104" s="21">
        <f t="shared" si="21"/>
        <v>0</v>
      </c>
      <c r="W104" s="19" t="str">
        <f t="shared" si="22"/>
        <v/>
      </c>
      <c r="X104" s="19" t="str">
        <f t="shared" si="23"/>
        <v/>
      </c>
    </row>
    <row r="105" spans="1:24" x14ac:dyDescent="0.3">
      <c r="A105" s="19" t="str">
        <f t="shared" si="18"/>
        <v/>
      </c>
      <c r="B105" s="17"/>
      <c r="C105" s="17"/>
      <c r="D105" s="19" t="str">
        <f t="shared" si="19"/>
        <v/>
      </c>
      <c r="E105" s="19" t="str">
        <f t="shared" si="20"/>
        <v/>
      </c>
      <c r="F105" s="17"/>
      <c r="G105" s="18"/>
      <c r="H105" s="18"/>
      <c r="I105" s="17"/>
      <c r="J105" s="20"/>
      <c r="K105" s="20"/>
      <c r="L105" s="18"/>
      <c r="M105" s="18"/>
      <c r="N105" s="18"/>
      <c r="O105" s="20"/>
      <c r="P105" s="20"/>
      <c r="Q105" s="17"/>
      <c r="R105" s="17"/>
      <c r="S105" s="17"/>
      <c r="T105" s="17"/>
      <c r="U105" s="17"/>
      <c r="V105" s="21">
        <f t="shared" si="21"/>
        <v>0</v>
      </c>
      <c r="W105" s="19" t="str">
        <f t="shared" si="22"/>
        <v/>
      </c>
      <c r="X105" s="19" t="str">
        <f t="shared" si="23"/>
        <v/>
      </c>
    </row>
    <row r="106" spans="1:24" x14ac:dyDescent="0.3">
      <c r="A106" s="19" t="str">
        <f t="shared" si="18"/>
        <v/>
      </c>
      <c r="B106" s="17"/>
      <c r="C106" s="17"/>
      <c r="D106" s="19" t="str">
        <f t="shared" si="19"/>
        <v/>
      </c>
      <c r="E106" s="19" t="str">
        <f t="shared" si="20"/>
        <v/>
      </c>
      <c r="F106" s="17"/>
      <c r="G106" s="18"/>
      <c r="H106" s="18"/>
      <c r="I106" s="17"/>
      <c r="J106" s="20"/>
      <c r="K106" s="20"/>
      <c r="L106" s="18"/>
      <c r="M106" s="18"/>
      <c r="N106" s="18"/>
      <c r="O106" s="20"/>
      <c r="P106" s="20"/>
      <c r="Q106" s="17"/>
      <c r="R106" s="17"/>
      <c r="S106" s="17"/>
      <c r="T106" s="17"/>
      <c r="U106" s="17"/>
      <c r="V106" s="21">
        <f t="shared" si="21"/>
        <v>0</v>
      </c>
      <c r="W106" s="19" t="str">
        <f t="shared" si="22"/>
        <v/>
      </c>
      <c r="X106" s="19" t="str">
        <f t="shared" si="23"/>
        <v/>
      </c>
    </row>
    <row r="107" spans="1:24" x14ac:dyDescent="0.3">
      <c r="A107" s="19" t="str">
        <f t="shared" si="18"/>
        <v/>
      </c>
      <c r="B107" s="17"/>
      <c r="C107" s="17"/>
      <c r="D107" s="19" t="str">
        <f t="shared" si="19"/>
        <v/>
      </c>
      <c r="E107" s="19" t="str">
        <f t="shared" si="20"/>
        <v/>
      </c>
      <c r="F107" s="17"/>
      <c r="G107" s="18"/>
      <c r="H107" s="18"/>
      <c r="I107" s="17"/>
      <c r="J107" s="20"/>
      <c r="K107" s="20"/>
      <c r="L107" s="18"/>
      <c r="M107" s="18"/>
      <c r="N107" s="18"/>
      <c r="O107" s="20"/>
      <c r="P107" s="20"/>
      <c r="Q107" s="17"/>
      <c r="R107" s="17"/>
      <c r="S107" s="17"/>
      <c r="T107" s="17"/>
      <c r="U107" s="17"/>
      <c r="V107" s="21">
        <f t="shared" si="21"/>
        <v>0</v>
      </c>
      <c r="W107" s="19" t="str">
        <f t="shared" si="22"/>
        <v/>
      </c>
      <c r="X107" s="19" t="str">
        <f t="shared" si="23"/>
        <v/>
      </c>
    </row>
    <row r="108" spans="1:24" x14ac:dyDescent="0.3">
      <c r="A108" s="19" t="str">
        <f t="shared" si="18"/>
        <v/>
      </c>
      <c r="B108" s="17"/>
      <c r="C108" s="17"/>
      <c r="D108" s="19" t="str">
        <f t="shared" si="19"/>
        <v/>
      </c>
      <c r="E108" s="19" t="str">
        <f t="shared" si="20"/>
        <v/>
      </c>
      <c r="F108" s="17"/>
      <c r="G108" s="18"/>
      <c r="H108" s="18"/>
      <c r="I108" s="17"/>
      <c r="J108" s="20"/>
      <c r="K108" s="20"/>
      <c r="L108" s="18"/>
      <c r="M108" s="18"/>
      <c r="N108" s="18"/>
      <c r="O108" s="20"/>
      <c r="P108" s="20"/>
      <c r="Q108" s="17"/>
      <c r="R108" s="17"/>
      <c r="S108" s="17"/>
      <c r="T108" s="17"/>
      <c r="U108" s="17"/>
      <c r="V108" s="21">
        <f t="shared" si="21"/>
        <v>0</v>
      </c>
      <c r="W108" s="19" t="str">
        <f t="shared" si="22"/>
        <v/>
      </c>
      <c r="X108" s="19" t="str">
        <f t="shared" si="23"/>
        <v/>
      </c>
    </row>
    <row r="109" spans="1:24" x14ac:dyDescent="0.3">
      <c r="A109" s="19" t="str">
        <f t="shared" si="18"/>
        <v/>
      </c>
      <c r="B109" s="17"/>
      <c r="C109" s="17"/>
      <c r="D109" s="19" t="str">
        <f t="shared" si="19"/>
        <v/>
      </c>
      <c r="E109" s="19" t="str">
        <f t="shared" si="20"/>
        <v/>
      </c>
      <c r="F109" s="17"/>
      <c r="G109" s="18"/>
      <c r="H109" s="18"/>
      <c r="I109" s="17"/>
      <c r="J109" s="20"/>
      <c r="K109" s="20"/>
      <c r="L109" s="18"/>
      <c r="M109" s="18"/>
      <c r="N109" s="18"/>
      <c r="O109" s="20"/>
      <c r="P109" s="20"/>
      <c r="Q109" s="17"/>
      <c r="R109" s="17"/>
      <c r="S109" s="17"/>
      <c r="T109" s="17"/>
      <c r="U109" s="17"/>
      <c r="V109" s="21">
        <f t="shared" si="21"/>
        <v>0</v>
      </c>
      <c r="W109" s="19" t="str">
        <f t="shared" si="22"/>
        <v/>
      </c>
      <c r="X109" s="19" t="str">
        <f t="shared" si="23"/>
        <v/>
      </c>
    </row>
    <row r="110" spans="1:24" x14ac:dyDescent="0.3">
      <c r="A110" s="19" t="str">
        <f t="shared" si="18"/>
        <v/>
      </c>
      <c r="B110" s="17"/>
      <c r="C110" s="17"/>
      <c r="D110" s="19" t="str">
        <f t="shared" si="19"/>
        <v/>
      </c>
      <c r="E110" s="19" t="str">
        <f t="shared" si="20"/>
        <v/>
      </c>
      <c r="F110" s="17"/>
      <c r="G110" s="18"/>
      <c r="H110" s="18"/>
      <c r="I110" s="17"/>
      <c r="J110" s="20"/>
      <c r="K110" s="20"/>
      <c r="L110" s="18"/>
      <c r="M110" s="18"/>
      <c r="N110" s="18"/>
      <c r="O110" s="20"/>
      <c r="P110" s="20"/>
      <c r="Q110" s="17"/>
      <c r="R110" s="17"/>
      <c r="S110" s="17"/>
      <c r="T110" s="17"/>
      <c r="U110" s="17"/>
      <c r="V110" s="21">
        <f t="shared" si="21"/>
        <v>0</v>
      </c>
      <c r="W110" s="19" t="str">
        <f t="shared" si="22"/>
        <v/>
      </c>
      <c r="X110" s="19" t="str">
        <f t="shared" si="23"/>
        <v/>
      </c>
    </row>
    <row r="111" spans="1:24" x14ac:dyDescent="0.3">
      <c r="A111" s="19" t="str">
        <f t="shared" si="18"/>
        <v/>
      </c>
      <c r="B111" s="17"/>
      <c r="C111" s="17"/>
      <c r="D111" s="19" t="str">
        <f t="shared" si="19"/>
        <v/>
      </c>
      <c r="E111" s="19" t="str">
        <f t="shared" si="20"/>
        <v/>
      </c>
      <c r="F111" s="17"/>
      <c r="G111" s="18"/>
      <c r="H111" s="18"/>
      <c r="I111" s="17"/>
      <c r="J111" s="20"/>
      <c r="K111" s="20"/>
      <c r="L111" s="18"/>
      <c r="M111" s="18"/>
      <c r="N111" s="18"/>
      <c r="O111" s="20"/>
      <c r="P111" s="20"/>
      <c r="Q111" s="17"/>
      <c r="R111" s="17"/>
      <c r="S111" s="17"/>
      <c r="T111" s="17"/>
      <c r="U111" s="17"/>
      <c r="V111" s="21">
        <f t="shared" si="21"/>
        <v>0</v>
      </c>
      <c r="W111" s="19" t="str">
        <f t="shared" si="22"/>
        <v/>
      </c>
      <c r="X111" s="19" t="str">
        <f t="shared" si="23"/>
        <v/>
      </c>
    </row>
    <row r="112" spans="1:24" x14ac:dyDescent="0.3">
      <c r="A112" s="19" t="str">
        <f t="shared" si="18"/>
        <v/>
      </c>
      <c r="B112" s="17"/>
      <c r="C112" s="17"/>
      <c r="D112" s="19" t="str">
        <f t="shared" si="19"/>
        <v/>
      </c>
      <c r="E112" s="19" t="str">
        <f t="shared" si="20"/>
        <v/>
      </c>
      <c r="F112" s="17"/>
      <c r="G112" s="18"/>
      <c r="H112" s="18"/>
      <c r="I112" s="17"/>
      <c r="J112" s="20"/>
      <c r="K112" s="20"/>
      <c r="L112" s="18"/>
      <c r="M112" s="18"/>
      <c r="N112" s="18"/>
      <c r="O112" s="20"/>
      <c r="P112" s="20"/>
      <c r="Q112" s="17"/>
      <c r="R112" s="17"/>
      <c r="S112" s="17"/>
      <c r="T112" s="17"/>
      <c r="U112" s="17"/>
      <c r="V112" s="21">
        <f t="shared" si="21"/>
        <v>0</v>
      </c>
      <c r="W112" s="19" t="str">
        <f t="shared" si="22"/>
        <v/>
      </c>
      <c r="X112" s="19" t="str">
        <f t="shared" si="23"/>
        <v/>
      </c>
    </row>
    <row r="113" spans="1:24" x14ac:dyDescent="0.3">
      <c r="A113" s="19" t="str">
        <f t="shared" si="18"/>
        <v/>
      </c>
      <c r="B113" s="17"/>
      <c r="C113" s="17"/>
      <c r="D113" s="19" t="str">
        <f t="shared" si="19"/>
        <v/>
      </c>
      <c r="E113" s="19" t="str">
        <f t="shared" si="20"/>
        <v/>
      </c>
      <c r="F113" s="17"/>
      <c r="G113" s="18"/>
      <c r="H113" s="18"/>
      <c r="I113" s="17"/>
      <c r="J113" s="20"/>
      <c r="K113" s="20"/>
      <c r="L113" s="18"/>
      <c r="M113" s="18"/>
      <c r="N113" s="18"/>
      <c r="O113" s="20"/>
      <c r="P113" s="20"/>
      <c r="Q113" s="17"/>
      <c r="R113" s="17"/>
      <c r="S113" s="17"/>
      <c r="T113" s="17"/>
      <c r="U113" s="17"/>
      <c r="V113" s="21">
        <f t="shared" si="21"/>
        <v>0</v>
      </c>
      <c r="W113" s="19" t="str">
        <f t="shared" si="22"/>
        <v/>
      </c>
      <c r="X113" s="19" t="str">
        <f t="shared" si="23"/>
        <v/>
      </c>
    </row>
    <row r="114" spans="1:24" x14ac:dyDescent="0.3">
      <c r="A114" s="19" t="str">
        <f t="shared" si="18"/>
        <v/>
      </c>
      <c r="B114" s="17"/>
      <c r="C114" s="17"/>
      <c r="D114" s="19" t="str">
        <f t="shared" si="19"/>
        <v/>
      </c>
      <c r="E114" s="19" t="str">
        <f t="shared" si="20"/>
        <v/>
      </c>
      <c r="F114" s="17"/>
      <c r="G114" s="18"/>
      <c r="H114" s="18"/>
      <c r="I114" s="17"/>
      <c r="J114" s="20"/>
      <c r="K114" s="20"/>
      <c r="L114" s="18"/>
      <c r="M114" s="18"/>
      <c r="N114" s="18"/>
      <c r="O114" s="20"/>
      <c r="P114" s="20"/>
      <c r="Q114" s="17"/>
      <c r="R114" s="17"/>
      <c r="S114" s="17"/>
      <c r="T114" s="17"/>
      <c r="U114" s="17"/>
      <c r="V114" s="21">
        <f t="shared" si="21"/>
        <v>0</v>
      </c>
      <c r="W114" s="19" t="str">
        <f t="shared" si="22"/>
        <v/>
      </c>
      <c r="X114" s="19" t="str">
        <f t="shared" si="23"/>
        <v/>
      </c>
    </row>
    <row r="115" spans="1:24" x14ac:dyDescent="0.3">
      <c r="A115" s="19" t="str">
        <f t="shared" si="18"/>
        <v/>
      </c>
      <c r="B115" s="17"/>
      <c r="C115" s="17"/>
      <c r="D115" s="19" t="str">
        <f t="shared" si="19"/>
        <v/>
      </c>
      <c r="E115" s="19" t="str">
        <f t="shared" si="20"/>
        <v/>
      </c>
      <c r="F115" s="17"/>
      <c r="G115" s="18"/>
      <c r="H115" s="18"/>
      <c r="I115" s="17"/>
      <c r="J115" s="20"/>
      <c r="K115" s="20"/>
      <c r="L115" s="18"/>
      <c r="M115" s="18"/>
      <c r="N115" s="18"/>
      <c r="O115" s="20"/>
      <c r="P115" s="20"/>
      <c r="Q115" s="17"/>
      <c r="R115" s="17"/>
      <c r="S115" s="17"/>
      <c r="T115" s="17"/>
      <c r="U115" s="17"/>
      <c r="V115" s="21">
        <f t="shared" si="21"/>
        <v>0</v>
      </c>
      <c r="W115" s="19" t="str">
        <f t="shared" si="22"/>
        <v/>
      </c>
      <c r="X115" s="19" t="str">
        <f t="shared" si="23"/>
        <v/>
      </c>
    </row>
    <row r="116" spans="1:24" x14ac:dyDescent="0.3">
      <c r="A116" s="19" t="str">
        <f t="shared" si="18"/>
        <v/>
      </c>
      <c r="B116" s="17"/>
      <c r="C116" s="17"/>
      <c r="D116" s="19" t="str">
        <f t="shared" si="19"/>
        <v/>
      </c>
      <c r="E116" s="19" t="str">
        <f t="shared" si="20"/>
        <v/>
      </c>
      <c r="F116" s="17"/>
      <c r="G116" s="18"/>
      <c r="H116" s="18"/>
      <c r="I116" s="17"/>
      <c r="J116" s="20"/>
      <c r="K116" s="20"/>
      <c r="L116" s="18"/>
      <c r="M116" s="18"/>
      <c r="N116" s="18"/>
      <c r="O116" s="20"/>
      <c r="P116" s="20"/>
      <c r="Q116" s="17"/>
      <c r="R116" s="17"/>
      <c r="S116" s="17"/>
      <c r="T116" s="17"/>
      <c r="U116" s="17"/>
      <c r="V116" s="21">
        <f t="shared" si="21"/>
        <v>0</v>
      </c>
      <c r="W116" s="19" t="str">
        <f t="shared" si="22"/>
        <v/>
      </c>
      <c r="X116" s="19" t="str">
        <f t="shared" si="23"/>
        <v/>
      </c>
    </row>
    <row r="117" spans="1:24" x14ac:dyDescent="0.3">
      <c r="A117" s="19" t="str">
        <f t="shared" si="18"/>
        <v/>
      </c>
      <c r="B117" s="17"/>
      <c r="C117" s="17"/>
      <c r="D117" s="19" t="str">
        <f t="shared" si="19"/>
        <v/>
      </c>
      <c r="E117" s="19" t="str">
        <f t="shared" si="20"/>
        <v/>
      </c>
      <c r="F117" s="17"/>
      <c r="G117" s="18"/>
      <c r="H117" s="18"/>
      <c r="I117" s="17"/>
      <c r="J117" s="20"/>
      <c r="K117" s="20"/>
      <c r="L117" s="18"/>
      <c r="M117" s="18"/>
      <c r="N117" s="18"/>
      <c r="O117" s="20"/>
      <c r="P117" s="20"/>
      <c r="Q117" s="17"/>
      <c r="R117" s="17"/>
      <c r="S117" s="17"/>
      <c r="T117" s="17"/>
      <c r="U117" s="17"/>
      <c r="V117" s="21">
        <f t="shared" si="21"/>
        <v>0</v>
      </c>
      <c r="W117" s="19" t="str">
        <f t="shared" si="22"/>
        <v/>
      </c>
      <c r="X117" s="19" t="str">
        <f t="shared" si="23"/>
        <v/>
      </c>
    </row>
    <row r="118" spans="1:24" x14ac:dyDescent="0.3">
      <c r="A118" s="19" t="str">
        <f t="shared" si="18"/>
        <v/>
      </c>
      <c r="B118" s="17"/>
      <c r="C118" s="17"/>
      <c r="D118" s="19" t="str">
        <f t="shared" si="19"/>
        <v/>
      </c>
      <c r="E118" s="19" t="str">
        <f t="shared" si="20"/>
        <v/>
      </c>
      <c r="F118" s="17"/>
      <c r="G118" s="18"/>
      <c r="H118" s="18"/>
      <c r="I118" s="17"/>
      <c r="J118" s="20"/>
      <c r="K118" s="20"/>
      <c r="L118" s="18"/>
      <c r="M118" s="18"/>
      <c r="N118" s="18"/>
      <c r="O118" s="20"/>
      <c r="P118" s="20"/>
      <c r="Q118" s="17"/>
      <c r="R118" s="17"/>
      <c r="S118" s="17"/>
      <c r="T118" s="17"/>
      <c r="U118" s="17"/>
      <c r="V118" s="21">
        <f t="shared" si="21"/>
        <v>0</v>
      </c>
      <c r="W118" s="19" t="str">
        <f t="shared" si="22"/>
        <v/>
      </c>
      <c r="X118" s="19" t="str">
        <f t="shared" si="23"/>
        <v/>
      </c>
    </row>
    <row r="119" spans="1:24" x14ac:dyDescent="0.3">
      <c r="A119" s="19" t="str">
        <f t="shared" si="18"/>
        <v/>
      </c>
      <c r="B119" s="17"/>
      <c r="C119" s="17"/>
      <c r="D119" s="19" t="str">
        <f t="shared" si="19"/>
        <v/>
      </c>
      <c r="E119" s="19" t="str">
        <f t="shared" si="20"/>
        <v/>
      </c>
      <c r="F119" s="17"/>
      <c r="G119" s="18"/>
      <c r="H119" s="18"/>
      <c r="I119" s="17"/>
      <c r="J119" s="20"/>
      <c r="K119" s="20"/>
      <c r="L119" s="18"/>
      <c r="M119" s="18"/>
      <c r="N119" s="18"/>
      <c r="O119" s="20"/>
      <c r="P119" s="20"/>
      <c r="Q119" s="17"/>
      <c r="R119" s="17"/>
      <c r="S119" s="17"/>
      <c r="T119" s="17"/>
      <c r="U119" s="17"/>
      <c r="V119" s="21">
        <f t="shared" si="21"/>
        <v>0</v>
      </c>
      <c r="W119" s="19" t="str">
        <f t="shared" si="22"/>
        <v/>
      </c>
      <c r="X119" s="19" t="str">
        <f t="shared" si="23"/>
        <v/>
      </c>
    </row>
    <row r="120" spans="1:24" x14ac:dyDescent="0.3">
      <c r="A120" s="19" t="str">
        <f t="shared" si="18"/>
        <v/>
      </c>
      <c r="B120" s="17"/>
      <c r="C120" s="17"/>
      <c r="D120" s="19" t="str">
        <f t="shared" si="19"/>
        <v/>
      </c>
      <c r="E120" s="19" t="str">
        <f t="shared" si="20"/>
        <v/>
      </c>
      <c r="F120" s="17"/>
      <c r="G120" s="18"/>
      <c r="H120" s="18"/>
      <c r="I120" s="17"/>
      <c r="J120" s="20"/>
      <c r="K120" s="20"/>
      <c r="L120" s="18"/>
      <c r="M120" s="18"/>
      <c r="N120" s="18"/>
      <c r="O120" s="20"/>
      <c r="P120" s="20"/>
      <c r="Q120" s="17"/>
      <c r="R120" s="17"/>
      <c r="S120" s="17"/>
      <c r="T120" s="17"/>
      <c r="U120" s="17"/>
      <c r="V120" s="21">
        <f t="shared" si="21"/>
        <v>0</v>
      </c>
      <c r="W120" s="19" t="str">
        <f t="shared" si="22"/>
        <v/>
      </c>
      <c r="X120" s="19" t="str">
        <f t="shared" si="23"/>
        <v/>
      </c>
    </row>
    <row r="121" spans="1:24" x14ac:dyDescent="0.3">
      <c r="A121" s="19" t="str">
        <f t="shared" si="18"/>
        <v/>
      </c>
      <c r="B121" s="17"/>
      <c r="C121" s="17"/>
      <c r="D121" s="19" t="str">
        <f t="shared" si="19"/>
        <v/>
      </c>
      <c r="E121" s="19" t="str">
        <f t="shared" si="20"/>
        <v/>
      </c>
      <c r="F121" s="17"/>
      <c r="G121" s="18"/>
      <c r="H121" s="18"/>
      <c r="I121" s="17"/>
      <c r="J121" s="20"/>
      <c r="K121" s="20"/>
      <c r="L121" s="18"/>
      <c r="M121" s="18"/>
      <c r="N121" s="18"/>
      <c r="O121" s="20"/>
      <c r="P121" s="20"/>
      <c r="Q121" s="17"/>
      <c r="R121" s="17"/>
      <c r="S121" s="17"/>
      <c r="T121" s="17"/>
      <c r="U121" s="17"/>
      <c r="V121" s="21">
        <f t="shared" si="21"/>
        <v>0</v>
      </c>
      <c r="W121" s="19" t="str">
        <f t="shared" si="22"/>
        <v/>
      </c>
      <c r="X121" s="19" t="str">
        <f t="shared" si="23"/>
        <v/>
      </c>
    </row>
    <row r="122" spans="1:24" x14ac:dyDescent="0.3">
      <c r="A122" s="19" t="str">
        <f t="shared" si="18"/>
        <v/>
      </c>
      <c r="B122" s="17"/>
      <c r="C122" s="17"/>
      <c r="D122" s="19" t="str">
        <f t="shared" si="19"/>
        <v/>
      </c>
      <c r="E122" s="19" t="str">
        <f t="shared" si="20"/>
        <v/>
      </c>
      <c r="F122" s="17"/>
      <c r="G122" s="18"/>
      <c r="H122" s="18"/>
      <c r="I122" s="17"/>
      <c r="J122" s="20"/>
      <c r="K122" s="20"/>
      <c r="L122" s="18"/>
      <c r="M122" s="18"/>
      <c r="N122" s="18"/>
      <c r="O122" s="20"/>
      <c r="P122" s="20"/>
      <c r="Q122" s="17"/>
      <c r="R122" s="17"/>
      <c r="S122" s="17"/>
      <c r="T122" s="17"/>
      <c r="U122" s="17"/>
      <c r="V122" s="21">
        <f t="shared" si="21"/>
        <v>0</v>
      </c>
      <c r="W122" s="19" t="str">
        <f t="shared" si="22"/>
        <v/>
      </c>
      <c r="X122" s="19" t="str">
        <f t="shared" si="23"/>
        <v/>
      </c>
    </row>
    <row r="123" spans="1:24" x14ac:dyDescent="0.3">
      <c r="A123" s="19" t="str">
        <f t="shared" si="18"/>
        <v/>
      </c>
      <c r="B123" s="17"/>
      <c r="C123" s="17"/>
      <c r="D123" s="19" t="str">
        <f t="shared" si="19"/>
        <v/>
      </c>
      <c r="E123" s="19" t="str">
        <f t="shared" si="20"/>
        <v/>
      </c>
      <c r="F123" s="17"/>
      <c r="G123" s="18"/>
      <c r="H123" s="18"/>
      <c r="I123" s="17"/>
      <c r="J123" s="20"/>
      <c r="K123" s="20"/>
      <c r="L123" s="18"/>
      <c r="M123" s="18"/>
      <c r="N123" s="18"/>
      <c r="O123" s="20"/>
      <c r="P123" s="20"/>
      <c r="Q123" s="17"/>
      <c r="R123" s="17"/>
      <c r="S123" s="17"/>
      <c r="T123" s="17"/>
      <c r="U123" s="17"/>
      <c r="V123" s="21">
        <f t="shared" si="21"/>
        <v>0</v>
      </c>
      <c r="W123" s="19" t="str">
        <f t="shared" si="22"/>
        <v/>
      </c>
      <c r="X123" s="19" t="str">
        <f t="shared" si="23"/>
        <v/>
      </c>
    </row>
    <row r="124" spans="1:24" x14ac:dyDescent="0.3">
      <c r="A124" s="19" t="str">
        <f t="shared" si="18"/>
        <v/>
      </c>
      <c r="B124" s="17"/>
      <c r="C124" s="17"/>
      <c r="D124" s="19" t="str">
        <f t="shared" si="19"/>
        <v/>
      </c>
      <c r="E124" s="19" t="str">
        <f t="shared" si="20"/>
        <v/>
      </c>
      <c r="F124" s="17"/>
      <c r="G124" s="18"/>
      <c r="H124" s="18"/>
      <c r="I124" s="17"/>
      <c r="J124" s="20"/>
      <c r="K124" s="20"/>
      <c r="L124" s="18"/>
      <c r="M124" s="18"/>
      <c r="N124" s="18"/>
      <c r="O124" s="20"/>
      <c r="P124" s="20"/>
      <c r="Q124" s="17"/>
      <c r="R124" s="17"/>
      <c r="S124" s="17"/>
      <c r="T124" s="17"/>
      <c r="U124" s="17"/>
      <c r="V124" s="21">
        <f t="shared" si="21"/>
        <v>0</v>
      </c>
      <c r="W124" s="19" t="str">
        <f t="shared" si="22"/>
        <v/>
      </c>
      <c r="X124" s="19" t="str">
        <f t="shared" si="23"/>
        <v/>
      </c>
    </row>
    <row r="125" spans="1:24" x14ac:dyDescent="0.3">
      <c r="A125" s="19" t="str">
        <f t="shared" si="18"/>
        <v/>
      </c>
      <c r="B125" s="17"/>
      <c r="C125" s="17"/>
      <c r="D125" s="19" t="str">
        <f t="shared" si="19"/>
        <v/>
      </c>
      <c r="E125" s="19" t="str">
        <f t="shared" si="20"/>
        <v/>
      </c>
      <c r="F125" s="17"/>
      <c r="G125" s="18"/>
      <c r="H125" s="18"/>
      <c r="I125" s="17"/>
      <c r="J125" s="20"/>
      <c r="K125" s="20"/>
      <c r="L125" s="18"/>
      <c r="M125" s="18"/>
      <c r="N125" s="18"/>
      <c r="O125" s="20"/>
      <c r="P125" s="20"/>
      <c r="Q125" s="17"/>
      <c r="R125" s="17"/>
      <c r="S125" s="17"/>
      <c r="T125" s="17"/>
      <c r="U125" s="17"/>
      <c r="V125" s="21">
        <f t="shared" si="21"/>
        <v>0</v>
      </c>
      <c r="W125" s="19" t="str">
        <f t="shared" si="22"/>
        <v/>
      </c>
      <c r="X125" s="19" t="str">
        <f t="shared" si="23"/>
        <v/>
      </c>
    </row>
    <row r="126" spans="1:24" x14ac:dyDescent="0.3">
      <c r="A126" s="19" t="str">
        <f t="shared" si="18"/>
        <v/>
      </c>
      <c r="B126" s="17"/>
      <c r="C126" s="17"/>
      <c r="D126" s="19" t="str">
        <f t="shared" si="19"/>
        <v/>
      </c>
      <c r="E126" s="19" t="str">
        <f t="shared" si="20"/>
        <v/>
      </c>
      <c r="F126" s="17"/>
      <c r="G126" s="18"/>
      <c r="H126" s="18"/>
      <c r="I126" s="17"/>
      <c r="J126" s="20"/>
      <c r="K126" s="20"/>
      <c r="L126" s="18"/>
      <c r="M126" s="18"/>
      <c r="N126" s="18"/>
      <c r="O126" s="20"/>
      <c r="P126" s="20"/>
      <c r="Q126" s="17"/>
      <c r="R126" s="17"/>
      <c r="S126" s="17"/>
      <c r="T126" s="17"/>
      <c r="U126" s="17"/>
      <c r="V126" s="21">
        <f t="shared" si="21"/>
        <v>0</v>
      </c>
      <c r="W126" s="19" t="str">
        <f t="shared" si="22"/>
        <v/>
      </c>
      <c r="X126" s="19" t="str">
        <f t="shared" si="23"/>
        <v/>
      </c>
    </row>
    <row r="127" spans="1:24" x14ac:dyDescent="0.3">
      <c r="A127" s="19" t="str">
        <f t="shared" si="18"/>
        <v/>
      </c>
      <c r="B127" s="17"/>
      <c r="C127" s="17"/>
      <c r="D127" s="19" t="str">
        <f t="shared" si="19"/>
        <v/>
      </c>
      <c r="E127" s="19" t="str">
        <f t="shared" si="20"/>
        <v/>
      </c>
      <c r="F127" s="17"/>
      <c r="G127" s="18"/>
      <c r="H127" s="18"/>
      <c r="I127" s="17"/>
      <c r="J127" s="20"/>
      <c r="K127" s="20"/>
      <c r="L127" s="18"/>
      <c r="M127" s="18"/>
      <c r="N127" s="18"/>
      <c r="O127" s="20"/>
      <c r="P127" s="20"/>
      <c r="Q127" s="17"/>
      <c r="R127" s="17"/>
      <c r="S127" s="17"/>
      <c r="T127" s="17"/>
      <c r="U127" s="17"/>
      <c r="V127" s="21">
        <f t="shared" si="21"/>
        <v>0</v>
      </c>
      <c r="W127" s="19" t="str">
        <f t="shared" si="22"/>
        <v/>
      </c>
      <c r="X127" s="19" t="str">
        <f t="shared" si="23"/>
        <v/>
      </c>
    </row>
    <row r="128" spans="1:24" x14ac:dyDescent="0.3">
      <c r="A128" s="19" t="str">
        <f t="shared" si="18"/>
        <v/>
      </c>
      <c r="B128" s="17"/>
      <c r="C128" s="17"/>
      <c r="D128" s="19" t="str">
        <f t="shared" si="19"/>
        <v/>
      </c>
      <c r="E128" s="19" t="str">
        <f t="shared" si="20"/>
        <v/>
      </c>
      <c r="F128" s="17"/>
      <c r="G128" s="18"/>
      <c r="H128" s="18"/>
      <c r="I128" s="17"/>
      <c r="J128" s="20"/>
      <c r="K128" s="20"/>
      <c r="L128" s="18"/>
      <c r="M128" s="18"/>
      <c r="N128" s="18"/>
      <c r="O128" s="20"/>
      <c r="P128" s="20"/>
      <c r="Q128" s="17"/>
      <c r="R128" s="17"/>
      <c r="S128" s="17"/>
      <c r="T128" s="17"/>
      <c r="U128" s="17"/>
      <c r="V128" s="21">
        <f t="shared" si="21"/>
        <v>0</v>
      </c>
      <c r="W128" s="19" t="str">
        <f t="shared" si="22"/>
        <v/>
      </c>
      <c r="X128" s="19" t="str">
        <f t="shared" si="23"/>
        <v/>
      </c>
    </row>
    <row r="129" spans="1:24" x14ac:dyDescent="0.3">
      <c r="A129" s="19" t="str">
        <f t="shared" si="18"/>
        <v/>
      </c>
      <c r="B129" s="17"/>
      <c r="C129" s="17"/>
      <c r="D129" s="19" t="str">
        <f t="shared" si="19"/>
        <v/>
      </c>
      <c r="E129" s="19" t="str">
        <f t="shared" si="20"/>
        <v/>
      </c>
      <c r="F129" s="17"/>
      <c r="G129" s="18"/>
      <c r="H129" s="18"/>
      <c r="I129" s="17"/>
      <c r="J129" s="20"/>
      <c r="K129" s="20"/>
      <c r="L129" s="18"/>
      <c r="M129" s="18"/>
      <c r="N129" s="18"/>
      <c r="O129" s="20"/>
      <c r="P129" s="20"/>
      <c r="Q129" s="17"/>
      <c r="R129" s="17"/>
      <c r="S129" s="17"/>
      <c r="T129" s="17"/>
      <c r="U129" s="17"/>
      <c r="V129" s="21">
        <f t="shared" si="21"/>
        <v>0</v>
      </c>
      <c r="W129" s="19" t="str">
        <f t="shared" si="22"/>
        <v/>
      </c>
      <c r="X129" s="19" t="str">
        <f t="shared" si="23"/>
        <v/>
      </c>
    </row>
    <row r="130" spans="1:24" x14ac:dyDescent="0.3">
      <c r="A130" s="19" t="str">
        <f t="shared" si="18"/>
        <v/>
      </c>
      <c r="B130" s="17"/>
      <c r="C130" s="17"/>
      <c r="D130" s="19" t="str">
        <f t="shared" si="19"/>
        <v/>
      </c>
      <c r="E130" s="19" t="str">
        <f t="shared" si="20"/>
        <v/>
      </c>
      <c r="F130" s="17"/>
      <c r="G130" s="18"/>
      <c r="H130" s="18"/>
      <c r="I130" s="17"/>
      <c r="J130" s="20"/>
      <c r="K130" s="20"/>
      <c r="L130" s="18"/>
      <c r="M130" s="18"/>
      <c r="N130" s="18"/>
      <c r="O130" s="20"/>
      <c r="P130" s="20"/>
      <c r="Q130" s="17"/>
      <c r="R130" s="17"/>
      <c r="S130" s="17"/>
      <c r="T130" s="17"/>
      <c r="U130" s="17"/>
      <c r="V130" s="21">
        <f t="shared" si="21"/>
        <v>0</v>
      </c>
      <c r="W130" s="19" t="str">
        <f t="shared" si="22"/>
        <v/>
      </c>
      <c r="X130" s="19" t="str">
        <f t="shared" si="23"/>
        <v/>
      </c>
    </row>
    <row r="131" spans="1:24" x14ac:dyDescent="0.3">
      <c r="A131" s="19" t="str">
        <f t="shared" si="18"/>
        <v/>
      </c>
      <c r="B131" s="17"/>
      <c r="C131" s="17"/>
      <c r="D131" s="19" t="str">
        <f t="shared" si="19"/>
        <v/>
      </c>
      <c r="E131" s="19" t="str">
        <f t="shared" si="20"/>
        <v/>
      </c>
      <c r="F131" s="17"/>
      <c r="G131" s="18"/>
      <c r="H131" s="18"/>
      <c r="I131" s="17"/>
      <c r="J131" s="20"/>
      <c r="K131" s="20"/>
      <c r="L131" s="18"/>
      <c r="M131" s="18"/>
      <c r="N131" s="18"/>
      <c r="O131" s="20"/>
      <c r="P131" s="20"/>
      <c r="Q131" s="17"/>
      <c r="R131" s="17"/>
      <c r="S131" s="17"/>
      <c r="T131" s="17"/>
      <c r="U131" s="17"/>
      <c r="V131" s="21">
        <f t="shared" si="21"/>
        <v>0</v>
      </c>
      <c r="W131" s="19" t="str">
        <f t="shared" si="22"/>
        <v/>
      </c>
      <c r="X131" s="19" t="str">
        <f t="shared" si="23"/>
        <v/>
      </c>
    </row>
    <row r="132" spans="1:24" x14ac:dyDescent="0.3">
      <c r="A132" s="19" t="str">
        <f t="shared" si="18"/>
        <v/>
      </c>
      <c r="B132" s="17"/>
      <c r="C132" s="17"/>
      <c r="D132" s="19" t="str">
        <f t="shared" si="19"/>
        <v/>
      </c>
      <c r="E132" s="19" t="str">
        <f t="shared" si="20"/>
        <v/>
      </c>
      <c r="F132" s="17"/>
      <c r="G132" s="18"/>
      <c r="H132" s="18"/>
      <c r="I132" s="17"/>
      <c r="J132" s="20"/>
      <c r="K132" s="20"/>
      <c r="L132" s="18"/>
      <c r="M132" s="18"/>
      <c r="N132" s="18"/>
      <c r="O132" s="20"/>
      <c r="P132" s="20"/>
      <c r="Q132" s="17"/>
      <c r="R132" s="17"/>
      <c r="S132" s="17"/>
      <c r="T132" s="17"/>
      <c r="U132" s="17"/>
      <c r="V132" s="21">
        <f t="shared" si="21"/>
        <v>0</v>
      </c>
      <c r="W132" s="19" t="str">
        <f t="shared" si="22"/>
        <v/>
      </c>
      <c r="X132" s="19" t="str">
        <f t="shared" si="23"/>
        <v/>
      </c>
    </row>
    <row r="133" spans="1:24" x14ac:dyDescent="0.3">
      <c r="A133" s="19" t="str">
        <f t="shared" ref="A133:A154" si="24">IF(OR($B133="",$C133=""),"",$B133&amp;"-"&amp;$C133)</f>
        <v/>
      </c>
      <c r="B133" s="17"/>
      <c r="C133" s="17"/>
      <c r="D133" s="19" t="str">
        <f t="shared" ref="D133:D154" si="25">IF($C133="","",IFERROR(INDEX(Prod_Desc,MATCH($C133,Prod_Cod,0)),"PRODUTO NÃO CADASTRADO"))</f>
        <v/>
      </c>
      <c r="E133" s="19" t="str">
        <f t="shared" ref="E133:E154" si="26">IF($C133="","",IFERROR(INDEX(Prod_Tipo,MATCH($C133,Prod_Cod,0)),"NÃO CLASSIFICADO"))</f>
        <v/>
      </c>
      <c r="F133" s="17"/>
      <c r="G133" s="18"/>
      <c r="H133" s="18"/>
      <c r="I133" s="17"/>
      <c r="J133" s="20"/>
      <c r="K133" s="20"/>
      <c r="L133" s="18"/>
      <c r="M133" s="18"/>
      <c r="N133" s="18"/>
      <c r="O133" s="20"/>
      <c r="P133" s="20"/>
      <c r="Q133" s="17"/>
      <c r="R133" s="17"/>
      <c r="S133" s="17"/>
      <c r="T133" s="17"/>
      <c r="U133" s="17"/>
      <c r="V133" s="21">
        <f t="shared" ref="V133:V154" si="27">IF($A133="",0,SUMIFS(Ent_Qtd,Ent_Item,$A133))</f>
        <v>0</v>
      </c>
      <c r="W133" s="19" t="str">
        <f t="shared" ref="W133:W154" si="28">IF($A133="","",IF($H133="","AGUARDANDO SOLICITAÇÃO DE COMPRA",IF($M133="","AGUARDANDO ORDEM DE COMPRA",IF($V133=0,"AGUARDANDO ENTREGA",IF($V133&lt;$Q133,"RECEBIDO PARCIALMENTE",IF(N($R133)&lt;$V133,"RECEBIDO - AGUARDANDO LIBERAÇÃO",IF(N($S133)&lt;N($R133),"LIBERADO - AGUARDANDO INSTALAÇÃO",IF(N($T133)&lt;N($S133),"INSTALADO - AGUARDANDO IP",IF(N($U133)&lt;N($T133),"COM IP - AGUARDANDO VMS",IF($U133&gt;=$F133,"CONCLUÍDO","EM ANDAMENTO"))))))))))</f>
        <v/>
      </c>
      <c r="X133" s="19" t="str">
        <f t="shared" ref="X133:X154" si="29">IF($A133="","",$B133&amp;"  ·  "&amp;$D133&amp;"  ·  OC "&amp;IF($M133="","(sem OC)",$M133))</f>
        <v/>
      </c>
    </row>
    <row r="134" spans="1:24" x14ac:dyDescent="0.3">
      <c r="A134" s="19" t="str">
        <f t="shared" si="24"/>
        <v/>
      </c>
      <c r="B134" s="17"/>
      <c r="C134" s="17"/>
      <c r="D134" s="19" t="str">
        <f t="shared" si="25"/>
        <v/>
      </c>
      <c r="E134" s="19" t="str">
        <f t="shared" si="26"/>
        <v/>
      </c>
      <c r="F134" s="17"/>
      <c r="G134" s="18"/>
      <c r="H134" s="18"/>
      <c r="I134" s="17"/>
      <c r="J134" s="20"/>
      <c r="K134" s="20"/>
      <c r="L134" s="18"/>
      <c r="M134" s="18"/>
      <c r="N134" s="18"/>
      <c r="O134" s="20"/>
      <c r="P134" s="20"/>
      <c r="Q134" s="17"/>
      <c r="R134" s="17"/>
      <c r="S134" s="17"/>
      <c r="T134" s="17"/>
      <c r="U134" s="17"/>
      <c r="V134" s="21">
        <f t="shared" si="27"/>
        <v>0</v>
      </c>
      <c r="W134" s="19" t="str">
        <f t="shared" si="28"/>
        <v/>
      </c>
      <c r="X134" s="19" t="str">
        <f t="shared" si="29"/>
        <v/>
      </c>
    </row>
    <row r="135" spans="1:24" x14ac:dyDescent="0.3">
      <c r="A135" s="19" t="str">
        <f t="shared" si="24"/>
        <v/>
      </c>
      <c r="B135" s="17"/>
      <c r="C135" s="17"/>
      <c r="D135" s="19" t="str">
        <f t="shared" si="25"/>
        <v/>
      </c>
      <c r="E135" s="19" t="str">
        <f t="shared" si="26"/>
        <v/>
      </c>
      <c r="F135" s="17"/>
      <c r="G135" s="18"/>
      <c r="H135" s="18"/>
      <c r="I135" s="17"/>
      <c r="J135" s="20"/>
      <c r="K135" s="20"/>
      <c r="L135" s="18"/>
      <c r="M135" s="18"/>
      <c r="N135" s="18"/>
      <c r="O135" s="20"/>
      <c r="P135" s="20"/>
      <c r="Q135" s="17"/>
      <c r="R135" s="17"/>
      <c r="S135" s="17"/>
      <c r="T135" s="17"/>
      <c r="U135" s="17"/>
      <c r="V135" s="21">
        <f t="shared" si="27"/>
        <v>0</v>
      </c>
      <c r="W135" s="19" t="str">
        <f t="shared" si="28"/>
        <v/>
      </c>
      <c r="X135" s="19" t="str">
        <f t="shared" si="29"/>
        <v/>
      </c>
    </row>
    <row r="136" spans="1:24" x14ac:dyDescent="0.3">
      <c r="A136" s="19" t="str">
        <f t="shared" si="24"/>
        <v/>
      </c>
      <c r="B136" s="17"/>
      <c r="C136" s="17"/>
      <c r="D136" s="19" t="str">
        <f t="shared" si="25"/>
        <v/>
      </c>
      <c r="E136" s="19" t="str">
        <f t="shared" si="26"/>
        <v/>
      </c>
      <c r="F136" s="17"/>
      <c r="G136" s="18"/>
      <c r="H136" s="18"/>
      <c r="I136" s="17"/>
      <c r="J136" s="20"/>
      <c r="K136" s="20"/>
      <c r="L136" s="18"/>
      <c r="M136" s="18"/>
      <c r="N136" s="18"/>
      <c r="O136" s="20"/>
      <c r="P136" s="20"/>
      <c r="Q136" s="17"/>
      <c r="R136" s="17"/>
      <c r="S136" s="17"/>
      <c r="T136" s="17"/>
      <c r="U136" s="17"/>
      <c r="V136" s="21">
        <f t="shared" si="27"/>
        <v>0</v>
      </c>
      <c r="W136" s="19" t="str">
        <f t="shared" si="28"/>
        <v/>
      </c>
      <c r="X136" s="19" t="str">
        <f t="shared" si="29"/>
        <v/>
      </c>
    </row>
    <row r="137" spans="1:24" x14ac:dyDescent="0.3">
      <c r="A137" s="19" t="str">
        <f t="shared" si="24"/>
        <v/>
      </c>
      <c r="B137" s="17"/>
      <c r="C137" s="17"/>
      <c r="D137" s="19" t="str">
        <f t="shared" si="25"/>
        <v/>
      </c>
      <c r="E137" s="19" t="str">
        <f t="shared" si="26"/>
        <v/>
      </c>
      <c r="F137" s="17"/>
      <c r="G137" s="18"/>
      <c r="H137" s="18"/>
      <c r="I137" s="17"/>
      <c r="J137" s="20"/>
      <c r="K137" s="20"/>
      <c r="L137" s="18"/>
      <c r="M137" s="18"/>
      <c r="N137" s="18"/>
      <c r="O137" s="20"/>
      <c r="P137" s="20"/>
      <c r="Q137" s="17"/>
      <c r="R137" s="17"/>
      <c r="S137" s="17"/>
      <c r="T137" s="17"/>
      <c r="U137" s="17"/>
      <c r="V137" s="21">
        <f t="shared" si="27"/>
        <v>0</v>
      </c>
      <c r="W137" s="19" t="str">
        <f t="shared" si="28"/>
        <v/>
      </c>
      <c r="X137" s="19" t="str">
        <f t="shared" si="29"/>
        <v/>
      </c>
    </row>
    <row r="138" spans="1:24" x14ac:dyDescent="0.3">
      <c r="A138" s="19" t="str">
        <f t="shared" si="24"/>
        <v/>
      </c>
      <c r="B138" s="17"/>
      <c r="C138" s="17"/>
      <c r="D138" s="19" t="str">
        <f t="shared" si="25"/>
        <v/>
      </c>
      <c r="E138" s="19" t="str">
        <f t="shared" si="26"/>
        <v/>
      </c>
      <c r="F138" s="17"/>
      <c r="G138" s="18"/>
      <c r="H138" s="18"/>
      <c r="I138" s="17"/>
      <c r="J138" s="20"/>
      <c r="K138" s="20"/>
      <c r="L138" s="18"/>
      <c r="M138" s="18"/>
      <c r="N138" s="18"/>
      <c r="O138" s="20"/>
      <c r="P138" s="20"/>
      <c r="Q138" s="17"/>
      <c r="R138" s="17"/>
      <c r="S138" s="17"/>
      <c r="T138" s="17"/>
      <c r="U138" s="17"/>
      <c r="V138" s="21">
        <f t="shared" si="27"/>
        <v>0</v>
      </c>
      <c r="W138" s="19" t="str">
        <f t="shared" si="28"/>
        <v/>
      </c>
      <c r="X138" s="19" t="str">
        <f t="shared" si="29"/>
        <v/>
      </c>
    </row>
    <row r="139" spans="1:24" x14ac:dyDescent="0.3">
      <c r="A139" s="19" t="str">
        <f t="shared" si="24"/>
        <v/>
      </c>
      <c r="B139" s="17"/>
      <c r="C139" s="17"/>
      <c r="D139" s="19" t="str">
        <f t="shared" si="25"/>
        <v/>
      </c>
      <c r="E139" s="19" t="str">
        <f t="shared" si="26"/>
        <v/>
      </c>
      <c r="F139" s="17"/>
      <c r="G139" s="18"/>
      <c r="H139" s="18"/>
      <c r="I139" s="17"/>
      <c r="J139" s="20"/>
      <c r="K139" s="20"/>
      <c r="L139" s="18"/>
      <c r="M139" s="18"/>
      <c r="N139" s="18"/>
      <c r="O139" s="20"/>
      <c r="P139" s="20"/>
      <c r="Q139" s="17"/>
      <c r="R139" s="17"/>
      <c r="S139" s="17"/>
      <c r="T139" s="17"/>
      <c r="U139" s="17"/>
      <c r="V139" s="21">
        <f t="shared" si="27"/>
        <v>0</v>
      </c>
      <c r="W139" s="19" t="str">
        <f t="shared" si="28"/>
        <v/>
      </c>
      <c r="X139" s="19" t="str">
        <f t="shared" si="29"/>
        <v/>
      </c>
    </row>
    <row r="140" spans="1:24" x14ac:dyDescent="0.3">
      <c r="A140" s="19" t="str">
        <f t="shared" si="24"/>
        <v/>
      </c>
      <c r="B140" s="17"/>
      <c r="C140" s="17"/>
      <c r="D140" s="19" t="str">
        <f t="shared" si="25"/>
        <v/>
      </c>
      <c r="E140" s="19" t="str">
        <f t="shared" si="26"/>
        <v/>
      </c>
      <c r="F140" s="17"/>
      <c r="G140" s="18"/>
      <c r="H140" s="18"/>
      <c r="I140" s="17"/>
      <c r="J140" s="20"/>
      <c r="K140" s="20"/>
      <c r="L140" s="18"/>
      <c r="M140" s="18"/>
      <c r="N140" s="18"/>
      <c r="O140" s="20"/>
      <c r="P140" s="20"/>
      <c r="Q140" s="17"/>
      <c r="R140" s="17"/>
      <c r="S140" s="17"/>
      <c r="T140" s="17"/>
      <c r="U140" s="17"/>
      <c r="V140" s="21">
        <f t="shared" si="27"/>
        <v>0</v>
      </c>
      <c r="W140" s="19" t="str">
        <f t="shared" si="28"/>
        <v/>
      </c>
      <c r="X140" s="19" t="str">
        <f t="shared" si="29"/>
        <v/>
      </c>
    </row>
    <row r="141" spans="1:24" x14ac:dyDescent="0.3">
      <c r="A141" s="19" t="str">
        <f t="shared" si="24"/>
        <v/>
      </c>
      <c r="B141" s="17"/>
      <c r="C141" s="17"/>
      <c r="D141" s="19" t="str">
        <f t="shared" si="25"/>
        <v/>
      </c>
      <c r="E141" s="19" t="str">
        <f t="shared" si="26"/>
        <v/>
      </c>
      <c r="F141" s="17"/>
      <c r="G141" s="18"/>
      <c r="H141" s="18"/>
      <c r="I141" s="17"/>
      <c r="J141" s="20"/>
      <c r="K141" s="20"/>
      <c r="L141" s="18"/>
      <c r="M141" s="18"/>
      <c r="N141" s="18"/>
      <c r="O141" s="20"/>
      <c r="P141" s="20"/>
      <c r="Q141" s="17"/>
      <c r="R141" s="17"/>
      <c r="S141" s="17"/>
      <c r="T141" s="17"/>
      <c r="U141" s="17"/>
      <c r="V141" s="21">
        <f t="shared" si="27"/>
        <v>0</v>
      </c>
      <c r="W141" s="19" t="str">
        <f t="shared" si="28"/>
        <v/>
      </c>
      <c r="X141" s="19" t="str">
        <f t="shared" si="29"/>
        <v/>
      </c>
    </row>
    <row r="142" spans="1:24" x14ac:dyDescent="0.3">
      <c r="A142" s="19" t="str">
        <f t="shared" si="24"/>
        <v/>
      </c>
      <c r="B142" s="17"/>
      <c r="C142" s="17"/>
      <c r="D142" s="19" t="str">
        <f t="shared" si="25"/>
        <v/>
      </c>
      <c r="E142" s="19" t="str">
        <f t="shared" si="26"/>
        <v/>
      </c>
      <c r="F142" s="17"/>
      <c r="G142" s="18"/>
      <c r="H142" s="18"/>
      <c r="I142" s="17"/>
      <c r="J142" s="20"/>
      <c r="K142" s="20"/>
      <c r="L142" s="18"/>
      <c r="M142" s="18"/>
      <c r="N142" s="18"/>
      <c r="O142" s="20"/>
      <c r="P142" s="20"/>
      <c r="Q142" s="17"/>
      <c r="R142" s="17"/>
      <c r="S142" s="17"/>
      <c r="T142" s="17"/>
      <c r="U142" s="17"/>
      <c r="V142" s="21">
        <f t="shared" si="27"/>
        <v>0</v>
      </c>
      <c r="W142" s="19" t="str">
        <f t="shared" si="28"/>
        <v/>
      </c>
      <c r="X142" s="19" t="str">
        <f t="shared" si="29"/>
        <v/>
      </c>
    </row>
    <row r="143" spans="1:24" x14ac:dyDescent="0.3">
      <c r="A143" s="19" t="str">
        <f t="shared" si="24"/>
        <v/>
      </c>
      <c r="B143" s="17"/>
      <c r="C143" s="17"/>
      <c r="D143" s="19" t="str">
        <f t="shared" si="25"/>
        <v/>
      </c>
      <c r="E143" s="19" t="str">
        <f t="shared" si="26"/>
        <v/>
      </c>
      <c r="F143" s="17"/>
      <c r="G143" s="18"/>
      <c r="H143" s="18"/>
      <c r="I143" s="17"/>
      <c r="J143" s="20"/>
      <c r="K143" s="20"/>
      <c r="L143" s="18"/>
      <c r="M143" s="18"/>
      <c r="N143" s="18"/>
      <c r="O143" s="20"/>
      <c r="P143" s="20"/>
      <c r="Q143" s="17"/>
      <c r="R143" s="17"/>
      <c r="S143" s="17"/>
      <c r="T143" s="17"/>
      <c r="U143" s="17"/>
      <c r="V143" s="21">
        <f t="shared" si="27"/>
        <v>0</v>
      </c>
      <c r="W143" s="19" t="str">
        <f t="shared" si="28"/>
        <v/>
      </c>
      <c r="X143" s="19" t="str">
        <f t="shared" si="29"/>
        <v/>
      </c>
    </row>
    <row r="144" spans="1:24" x14ac:dyDescent="0.3">
      <c r="A144" s="19" t="str">
        <f t="shared" si="24"/>
        <v/>
      </c>
      <c r="B144" s="17"/>
      <c r="C144" s="17"/>
      <c r="D144" s="19" t="str">
        <f t="shared" si="25"/>
        <v/>
      </c>
      <c r="E144" s="19" t="str">
        <f t="shared" si="26"/>
        <v/>
      </c>
      <c r="F144" s="17"/>
      <c r="G144" s="18"/>
      <c r="H144" s="18"/>
      <c r="I144" s="17"/>
      <c r="J144" s="20"/>
      <c r="K144" s="20"/>
      <c r="L144" s="18"/>
      <c r="M144" s="18"/>
      <c r="N144" s="18"/>
      <c r="O144" s="20"/>
      <c r="P144" s="20"/>
      <c r="Q144" s="17"/>
      <c r="R144" s="17"/>
      <c r="S144" s="17"/>
      <c r="T144" s="17"/>
      <c r="U144" s="17"/>
      <c r="V144" s="21">
        <f t="shared" si="27"/>
        <v>0</v>
      </c>
      <c r="W144" s="19" t="str">
        <f t="shared" si="28"/>
        <v/>
      </c>
      <c r="X144" s="19" t="str">
        <f t="shared" si="29"/>
        <v/>
      </c>
    </row>
    <row r="145" spans="1:24" x14ac:dyDescent="0.3">
      <c r="A145" s="19" t="str">
        <f t="shared" si="24"/>
        <v/>
      </c>
      <c r="B145" s="17"/>
      <c r="C145" s="17"/>
      <c r="D145" s="19" t="str">
        <f t="shared" si="25"/>
        <v/>
      </c>
      <c r="E145" s="19" t="str">
        <f t="shared" si="26"/>
        <v/>
      </c>
      <c r="F145" s="17"/>
      <c r="G145" s="18"/>
      <c r="H145" s="18"/>
      <c r="I145" s="17"/>
      <c r="J145" s="20"/>
      <c r="K145" s="20"/>
      <c r="L145" s="18"/>
      <c r="M145" s="18"/>
      <c r="N145" s="18"/>
      <c r="O145" s="20"/>
      <c r="P145" s="20"/>
      <c r="Q145" s="17"/>
      <c r="R145" s="17"/>
      <c r="S145" s="17"/>
      <c r="T145" s="17"/>
      <c r="U145" s="17"/>
      <c r="V145" s="21">
        <f t="shared" si="27"/>
        <v>0</v>
      </c>
      <c r="W145" s="19" t="str">
        <f t="shared" si="28"/>
        <v/>
      </c>
      <c r="X145" s="19" t="str">
        <f t="shared" si="29"/>
        <v/>
      </c>
    </row>
    <row r="146" spans="1:24" x14ac:dyDescent="0.3">
      <c r="A146" s="19" t="str">
        <f t="shared" si="24"/>
        <v/>
      </c>
      <c r="B146" s="17"/>
      <c r="C146" s="17"/>
      <c r="D146" s="19" t="str">
        <f t="shared" si="25"/>
        <v/>
      </c>
      <c r="E146" s="19" t="str">
        <f t="shared" si="26"/>
        <v/>
      </c>
      <c r="F146" s="17"/>
      <c r="G146" s="18"/>
      <c r="H146" s="18"/>
      <c r="I146" s="17"/>
      <c r="J146" s="20"/>
      <c r="K146" s="20"/>
      <c r="L146" s="18"/>
      <c r="M146" s="18"/>
      <c r="N146" s="18"/>
      <c r="O146" s="20"/>
      <c r="P146" s="20"/>
      <c r="Q146" s="17"/>
      <c r="R146" s="17"/>
      <c r="S146" s="17"/>
      <c r="T146" s="17"/>
      <c r="U146" s="17"/>
      <c r="V146" s="21">
        <f t="shared" si="27"/>
        <v>0</v>
      </c>
      <c r="W146" s="19" t="str">
        <f t="shared" si="28"/>
        <v/>
      </c>
      <c r="X146" s="19" t="str">
        <f t="shared" si="29"/>
        <v/>
      </c>
    </row>
    <row r="147" spans="1:24" x14ac:dyDescent="0.3">
      <c r="A147" s="19" t="str">
        <f t="shared" si="24"/>
        <v/>
      </c>
      <c r="B147" s="17"/>
      <c r="C147" s="17"/>
      <c r="D147" s="19" t="str">
        <f t="shared" si="25"/>
        <v/>
      </c>
      <c r="E147" s="19" t="str">
        <f t="shared" si="26"/>
        <v/>
      </c>
      <c r="F147" s="17"/>
      <c r="G147" s="18"/>
      <c r="H147" s="18"/>
      <c r="I147" s="17"/>
      <c r="J147" s="20"/>
      <c r="K147" s="20"/>
      <c r="L147" s="18"/>
      <c r="M147" s="18"/>
      <c r="N147" s="18"/>
      <c r="O147" s="20"/>
      <c r="P147" s="20"/>
      <c r="Q147" s="17"/>
      <c r="R147" s="17"/>
      <c r="S147" s="17"/>
      <c r="T147" s="17"/>
      <c r="U147" s="17"/>
      <c r="V147" s="21">
        <f t="shared" si="27"/>
        <v>0</v>
      </c>
      <c r="W147" s="19" t="str">
        <f t="shared" si="28"/>
        <v/>
      </c>
      <c r="X147" s="19" t="str">
        <f t="shared" si="29"/>
        <v/>
      </c>
    </row>
    <row r="148" spans="1:24" x14ac:dyDescent="0.3">
      <c r="A148" s="19" t="str">
        <f t="shared" si="24"/>
        <v/>
      </c>
      <c r="B148" s="17"/>
      <c r="C148" s="17"/>
      <c r="D148" s="19" t="str">
        <f t="shared" si="25"/>
        <v/>
      </c>
      <c r="E148" s="19" t="str">
        <f t="shared" si="26"/>
        <v/>
      </c>
      <c r="F148" s="17"/>
      <c r="G148" s="18"/>
      <c r="H148" s="18"/>
      <c r="I148" s="17"/>
      <c r="J148" s="20"/>
      <c r="K148" s="20"/>
      <c r="L148" s="18"/>
      <c r="M148" s="18"/>
      <c r="N148" s="18"/>
      <c r="O148" s="20"/>
      <c r="P148" s="20"/>
      <c r="Q148" s="17"/>
      <c r="R148" s="17"/>
      <c r="S148" s="17"/>
      <c r="T148" s="17"/>
      <c r="U148" s="17"/>
      <c r="V148" s="21">
        <f t="shared" si="27"/>
        <v>0</v>
      </c>
      <c r="W148" s="19" t="str">
        <f t="shared" si="28"/>
        <v/>
      </c>
      <c r="X148" s="19" t="str">
        <f t="shared" si="29"/>
        <v/>
      </c>
    </row>
    <row r="149" spans="1:24" x14ac:dyDescent="0.3">
      <c r="A149" s="19" t="str">
        <f t="shared" si="24"/>
        <v/>
      </c>
      <c r="B149" s="17"/>
      <c r="C149" s="17"/>
      <c r="D149" s="19" t="str">
        <f t="shared" si="25"/>
        <v/>
      </c>
      <c r="E149" s="19" t="str">
        <f t="shared" si="26"/>
        <v/>
      </c>
      <c r="F149" s="17"/>
      <c r="G149" s="18"/>
      <c r="H149" s="18"/>
      <c r="I149" s="17"/>
      <c r="J149" s="20"/>
      <c r="K149" s="20"/>
      <c r="L149" s="18"/>
      <c r="M149" s="18"/>
      <c r="N149" s="18"/>
      <c r="O149" s="20"/>
      <c r="P149" s="20"/>
      <c r="Q149" s="17"/>
      <c r="R149" s="17"/>
      <c r="S149" s="17"/>
      <c r="T149" s="17"/>
      <c r="U149" s="17"/>
      <c r="V149" s="21">
        <f t="shared" si="27"/>
        <v>0</v>
      </c>
      <c r="W149" s="19" t="str">
        <f t="shared" si="28"/>
        <v/>
      </c>
      <c r="X149" s="19" t="str">
        <f t="shared" si="29"/>
        <v/>
      </c>
    </row>
    <row r="150" spans="1:24" x14ac:dyDescent="0.3">
      <c r="A150" s="19" t="str">
        <f t="shared" si="24"/>
        <v/>
      </c>
      <c r="B150" s="17"/>
      <c r="C150" s="17"/>
      <c r="D150" s="19" t="str">
        <f t="shared" si="25"/>
        <v/>
      </c>
      <c r="E150" s="19" t="str">
        <f t="shared" si="26"/>
        <v/>
      </c>
      <c r="F150" s="17"/>
      <c r="G150" s="18"/>
      <c r="H150" s="18"/>
      <c r="I150" s="17"/>
      <c r="J150" s="20"/>
      <c r="K150" s="20"/>
      <c r="L150" s="18"/>
      <c r="M150" s="18"/>
      <c r="N150" s="18"/>
      <c r="O150" s="20"/>
      <c r="P150" s="20"/>
      <c r="Q150" s="17"/>
      <c r="R150" s="17"/>
      <c r="S150" s="17"/>
      <c r="T150" s="17"/>
      <c r="U150" s="17"/>
      <c r="V150" s="21">
        <f t="shared" si="27"/>
        <v>0</v>
      </c>
      <c r="W150" s="19" t="str">
        <f t="shared" si="28"/>
        <v/>
      </c>
      <c r="X150" s="19" t="str">
        <f t="shared" si="29"/>
        <v/>
      </c>
    </row>
    <row r="151" spans="1:24" x14ac:dyDescent="0.3">
      <c r="A151" s="19" t="str">
        <f t="shared" si="24"/>
        <v/>
      </c>
      <c r="B151" s="17"/>
      <c r="C151" s="17"/>
      <c r="D151" s="19" t="str">
        <f t="shared" si="25"/>
        <v/>
      </c>
      <c r="E151" s="19" t="str">
        <f t="shared" si="26"/>
        <v/>
      </c>
      <c r="F151" s="17"/>
      <c r="G151" s="18"/>
      <c r="H151" s="18"/>
      <c r="I151" s="17"/>
      <c r="J151" s="20"/>
      <c r="K151" s="20"/>
      <c r="L151" s="18"/>
      <c r="M151" s="18"/>
      <c r="N151" s="18"/>
      <c r="O151" s="20"/>
      <c r="P151" s="20"/>
      <c r="Q151" s="17"/>
      <c r="R151" s="17"/>
      <c r="S151" s="17"/>
      <c r="T151" s="17"/>
      <c r="U151" s="17"/>
      <c r="V151" s="21">
        <f t="shared" si="27"/>
        <v>0</v>
      </c>
      <c r="W151" s="19" t="str">
        <f t="shared" si="28"/>
        <v/>
      </c>
      <c r="X151" s="19" t="str">
        <f t="shared" si="29"/>
        <v/>
      </c>
    </row>
    <row r="152" spans="1:24" x14ac:dyDescent="0.3">
      <c r="A152" s="19" t="str">
        <f t="shared" si="24"/>
        <v/>
      </c>
      <c r="B152" s="17"/>
      <c r="C152" s="17"/>
      <c r="D152" s="19" t="str">
        <f t="shared" si="25"/>
        <v/>
      </c>
      <c r="E152" s="19" t="str">
        <f t="shared" si="26"/>
        <v/>
      </c>
      <c r="F152" s="17"/>
      <c r="G152" s="18"/>
      <c r="H152" s="18"/>
      <c r="I152" s="17"/>
      <c r="J152" s="20"/>
      <c r="K152" s="20"/>
      <c r="L152" s="18"/>
      <c r="M152" s="18"/>
      <c r="N152" s="18"/>
      <c r="O152" s="20"/>
      <c r="P152" s="20"/>
      <c r="Q152" s="17"/>
      <c r="R152" s="17"/>
      <c r="S152" s="17"/>
      <c r="T152" s="17"/>
      <c r="U152" s="17"/>
      <c r="V152" s="21">
        <f t="shared" si="27"/>
        <v>0</v>
      </c>
      <c r="W152" s="19" t="str">
        <f t="shared" si="28"/>
        <v/>
      </c>
      <c r="X152" s="19" t="str">
        <f t="shared" si="29"/>
        <v/>
      </c>
    </row>
    <row r="153" spans="1:24" x14ac:dyDescent="0.3">
      <c r="A153" s="19" t="str">
        <f t="shared" si="24"/>
        <v/>
      </c>
      <c r="B153" s="17"/>
      <c r="C153" s="17"/>
      <c r="D153" s="19" t="str">
        <f t="shared" si="25"/>
        <v/>
      </c>
      <c r="E153" s="19" t="str">
        <f t="shared" si="26"/>
        <v/>
      </c>
      <c r="F153" s="17"/>
      <c r="G153" s="18"/>
      <c r="H153" s="18"/>
      <c r="I153" s="17"/>
      <c r="J153" s="20"/>
      <c r="K153" s="20"/>
      <c r="L153" s="18"/>
      <c r="M153" s="18"/>
      <c r="N153" s="18"/>
      <c r="O153" s="20"/>
      <c r="P153" s="20"/>
      <c r="Q153" s="17"/>
      <c r="R153" s="17"/>
      <c r="S153" s="17"/>
      <c r="T153" s="17"/>
      <c r="U153" s="17"/>
      <c r="V153" s="21">
        <f t="shared" si="27"/>
        <v>0</v>
      </c>
      <c r="W153" s="19" t="str">
        <f t="shared" si="28"/>
        <v/>
      </c>
      <c r="X153" s="19" t="str">
        <f t="shared" si="29"/>
        <v/>
      </c>
    </row>
    <row r="154" spans="1:24" x14ac:dyDescent="0.3">
      <c r="A154" s="19" t="str">
        <f t="shared" si="24"/>
        <v/>
      </c>
      <c r="B154" s="17"/>
      <c r="C154" s="17"/>
      <c r="D154" s="19" t="str">
        <f t="shared" si="25"/>
        <v/>
      </c>
      <c r="E154" s="19" t="str">
        <f t="shared" si="26"/>
        <v/>
      </c>
      <c r="F154" s="17"/>
      <c r="G154" s="18"/>
      <c r="H154" s="18"/>
      <c r="I154" s="17"/>
      <c r="J154" s="20"/>
      <c r="K154" s="20"/>
      <c r="L154" s="18"/>
      <c r="M154" s="18"/>
      <c r="N154" s="18"/>
      <c r="O154" s="20"/>
      <c r="P154" s="20"/>
      <c r="Q154" s="17"/>
      <c r="R154" s="17"/>
      <c r="S154" s="17"/>
      <c r="T154" s="17"/>
      <c r="U154" s="17"/>
      <c r="V154" s="21">
        <f t="shared" si="27"/>
        <v>0</v>
      </c>
      <c r="W154" s="19" t="str">
        <f t="shared" si="28"/>
        <v/>
      </c>
      <c r="X154" s="19" t="str">
        <f t="shared" si="29"/>
        <v/>
      </c>
    </row>
  </sheetData>
  <mergeCells count="5">
    <mergeCell ref="A3:F3"/>
    <mergeCell ref="G3:L3"/>
    <mergeCell ref="M3:Q3"/>
    <mergeCell ref="R3:U3"/>
    <mergeCell ref="V3:X3"/>
  </mergeCells>
  <conditionalFormatting sqref="W5:W154">
    <cfRule type="expression" dxfId="13" priority="2">
      <formula>$W5="CONCLUÍDO"</formula>
    </cfRule>
    <cfRule type="expression" dxfId="12" priority="3">
      <formula>AND($W5&lt;&gt;"",$W5&lt;&gt;"CONCLUÍDO")</formula>
    </cfRule>
  </conditionalFormatting>
  <dataValidations count="2">
    <dataValidation type="list" allowBlank="1" showErrorMessage="1" errorTitle="Valor inválido" error="Selecione um valor da lista (aba 09_Cadastros)." sqref="B5:B154" xr:uid="{00000000-0002-0000-0200-000000000000}">
      <formula1>Proj_Cham</formula1>
      <formula2>0</formula2>
    </dataValidation>
    <dataValidation type="list" allowBlank="1" showErrorMessage="1" errorTitle="Valor inválido" error="Selecione um valor da lista (aba 09_Cadastros)." sqref="C5:C154" xr:uid="{00000000-0002-0000-0200-000001000000}">
      <formula1>Prod_Cod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6E8FA3"/>
  </sheetPr>
  <dimension ref="A1:AE154"/>
  <sheetViews>
    <sheetView showGridLines="0" zoomScaleNormal="100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K21" sqref="K21"/>
    </sheetView>
  </sheetViews>
  <sheetFormatPr defaultColWidth="8.6640625" defaultRowHeight="14.4" x14ac:dyDescent="0.3"/>
  <cols>
    <col min="1" max="2" width="14" customWidth="1"/>
    <col min="3" max="3" width="40" customWidth="1"/>
    <col min="4" max="4" width="14" customWidth="1"/>
    <col min="5" max="12" width="11" customWidth="1"/>
    <col min="13" max="19" width="10" customWidth="1"/>
    <col min="20" max="20" width="30" customWidth="1"/>
    <col min="21" max="21" width="11" customWidth="1"/>
    <col min="22" max="22" width="11" hidden="1" customWidth="1"/>
    <col min="23" max="23" width="46" hidden="1" customWidth="1"/>
    <col min="24" max="25" width="10" hidden="1" customWidth="1"/>
  </cols>
  <sheetData>
    <row r="1" spans="1:31" ht="18" x14ac:dyDescent="0.35">
      <c r="A1" s="12" t="s">
        <v>207</v>
      </c>
      <c r="AC1" s="13">
        <f>SUMPRODUCT((Esc_Cham&lt;&gt;"")*((N('02_Escopo_Itens'!$J$5:$J$600)&gt;N('02_Escopo_Itens'!$I$5:$I$600))+(N('02_Escopo_Itens'!$K$5:$K$600)&gt;N('02_Escopo_Itens'!$J$5:$J$600))+(N('02_Escopo_Itens'!$L$5:$L$600)&gt;N('02_Escopo_Itens'!$K$5:$K$600))&gt;0))</f>
        <v>0</v>
      </c>
      <c r="AD1" s="13">
        <f>SUMPRODUCT((Esc_Cham&lt;&gt;"")*(N('02_Escopo_Itens'!$I$5:$I$600)&gt;N('02_Escopo_Itens'!$H$5:$H$600)))</f>
        <v>0</v>
      </c>
      <c r="AE1" s="14" t="s">
        <v>208</v>
      </c>
    </row>
    <row r="2" spans="1:31" x14ac:dyDescent="0.3">
      <c r="A2" s="15" t="s">
        <v>209</v>
      </c>
    </row>
    <row r="4" spans="1:31" ht="31.5" customHeight="1" x14ac:dyDescent="0.3">
      <c r="A4" s="16" t="s">
        <v>34</v>
      </c>
      <c r="B4" s="16" t="s">
        <v>181</v>
      </c>
      <c r="C4" s="16" t="s">
        <v>210</v>
      </c>
      <c r="D4" s="16" t="s">
        <v>183</v>
      </c>
      <c r="E4" s="16" t="s">
        <v>184</v>
      </c>
      <c r="F4" s="16" t="s">
        <v>211</v>
      </c>
      <c r="G4" s="16" t="s">
        <v>195</v>
      </c>
      <c r="H4" s="16" t="s">
        <v>200</v>
      </c>
      <c r="I4" s="16" t="s">
        <v>196</v>
      </c>
      <c r="J4" s="16" t="s">
        <v>197</v>
      </c>
      <c r="K4" s="16" t="s">
        <v>198</v>
      </c>
      <c r="L4" s="16" t="s">
        <v>199</v>
      </c>
      <c r="M4" s="16" t="s">
        <v>212</v>
      </c>
      <c r="N4" s="16" t="s">
        <v>213</v>
      </c>
      <c r="O4" s="16" t="s">
        <v>214</v>
      </c>
      <c r="P4" s="16" t="s">
        <v>215</v>
      </c>
      <c r="Q4" s="16" t="s">
        <v>216</v>
      </c>
      <c r="R4" s="16" t="s">
        <v>217</v>
      </c>
      <c r="S4" s="16" t="s">
        <v>218</v>
      </c>
      <c r="T4" s="16" t="s">
        <v>219</v>
      </c>
      <c r="U4" s="16" t="s">
        <v>220</v>
      </c>
      <c r="V4" s="16" t="s">
        <v>22</v>
      </c>
      <c r="W4" s="16" t="s">
        <v>60</v>
      </c>
      <c r="X4" s="16" t="s">
        <v>61</v>
      </c>
      <c r="Y4" s="16" t="s">
        <v>221</v>
      </c>
    </row>
    <row r="5" spans="1:31" x14ac:dyDescent="0.3">
      <c r="A5" s="21">
        <f>IF(Cadastro!$B5="","",Cadastro!$B5)</f>
        <v>440641</v>
      </c>
      <c r="B5" s="21">
        <f>IF(Cadastro!$C5="","",Cadastro!$C5)</f>
        <v>67977</v>
      </c>
      <c r="C5" s="19" t="str">
        <f t="shared" ref="C5:C36" si="0">IF($B5="","",IFERROR(INDEX(Prod_Desc,MATCH($B5,Prod_Cod,0)),"PRODUTO NÃO CADASTRADO"))</f>
        <v>LICENCIAMENTO MONITORAMENTO 04 CAMERAS</v>
      </c>
      <c r="D5" s="19" t="str">
        <f t="shared" ref="D5:D36" si="1">IF($B5="","",IFERROR(INDEX(Prod_Tipo,MATCH($B5,Prod_Cod,0)),"NÃO CLASSIFICADO"))</f>
        <v>LICENÇA</v>
      </c>
      <c r="E5" s="23">
        <f>N(Cadastro!$F5)</f>
        <v>5</v>
      </c>
      <c r="F5" s="21">
        <f t="shared" ref="F5:F36" si="2">IF($A5="","",SUMIFS(SC_Qtd,SC_Cham,$A5,SC_Prod,$B5))</f>
        <v>5</v>
      </c>
      <c r="G5" s="21">
        <f t="shared" ref="G5:G36" si="3">IF($A5="","",SUMIFS(OC_Qtd,OC_Cham,$A5,OC_Prod,$B5))</f>
        <v>4</v>
      </c>
      <c r="H5" s="21">
        <f t="shared" ref="H5:H36" si="4">IF($A5="","",SUMIFS(Ent_Qtd,Ent_Cham,$A5,Ent_Prod,$B5))</f>
        <v>0</v>
      </c>
      <c r="I5" s="23">
        <f>N(Cadastro!$R5)</f>
        <v>0</v>
      </c>
      <c r="J5" s="23">
        <f>N(Cadastro!$S5)</f>
        <v>0</v>
      </c>
      <c r="K5" s="23">
        <f>N(Cadastro!$T5)</f>
        <v>0</v>
      </c>
      <c r="L5" s="23">
        <f>N(Cadastro!$U5)</f>
        <v>0</v>
      </c>
      <c r="M5" s="21">
        <f t="shared" ref="M5:M36" si="5">IF($A5="","",N($F5)-N($E5))</f>
        <v>0</v>
      </c>
      <c r="N5" s="21">
        <f t="shared" ref="N5:N36" si="6">IF($A5="","",N($G5)-N($F5))</f>
        <v>-1</v>
      </c>
      <c r="O5" s="21">
        <f t="shared" ref="O5:O36" si="7">IF($A5="","",N($H5)-N($G5))</f>
        <v>-4</v>
      </c>
      <c r="P5" s="21">
        <f t="shared" ref="P5:P36" si="8">IF($A5="","",N($I5)-N($H5))</f>
        <v>0</v>
      </c>
      <c r="Q5" s="21">
        <f t="shared" ref="Q5:Q36" si="9">IF($A5="","",N($J5)-N($I5))</f>
        <v>0</v>
      </c>
      <c r="R5" s="21">
        <f t="shared" ref="R5:R36" si="10">IF($A5="","",N($K5)-N($J5))</f>
        <v>0</v>
      </c>
      <c r="S5" s="21">
        <f t="shared" ref="S5:S36" si="11">IF($A5="","",N($L5)-N($K5))</f>
        <v>0</v>
      </c>
      <c r="T5" s="19" t="str">
        <f t="shared" ref="T5:T36" si="12">IF($A5="","",IF(AND($X5&gt;2,$M5&lt;&gt;0),"DIVERGÊNCIA NA SOLICITAÇÃO",IF(AND($X5&gt;3,$N5&lt;&gt;0),"DIVERGÊNCIA NA COMPRA",IF(AND($X5&gt;4,$O5&lt;&gt;0),"MATERIAL NÃO RECEBIDO",IF(AND($X5&gt;5,$P5&lt;&gt;0),"MATERIAL NÃO LIBERADO",IF(AND($X5&gt;8,$Q5&lt;&gt;0),"MATERIAL NÃO INSTALADO",IF(AND($X5&gt;9,$R5&lt;&gt;0),"INSTALADO SEM IP",IF(AND($X5&gt;10,$S5&lt;&gt;0),"IP NÃO INCLUÍDO NO VMS",IF(OR($M5&lt;&gt;0,$N5&lt;&gt;0,$O5&lt;&gt;0,$P5&lt;&gt;0,$Q5&lt;&gt;0,$R5&lt;&gt;0,$S5&lt;&gt;0),"EM DIA COM A ETAPA","OK")))))))))</f>
        <v>EM DIA COM A ETAPA</v>
      </c>
      <c r="U5" s="21">
        <f t="shared" ref="U5:U36" si="13">IF($A5="","",MAX(N($E5)-N($L5),0))</f>
        <v>5</v>
      </c>
      <c r="V5" s="19" t="str">
        <f t="shared" ref="V5:V36" si="14">IF($A5="","",IFERROR(INDEX(Proj_Unid,MATCH($A5,Proj_Cham,0)),""))</f>
        <v>SNP</v>
      </c>
      <c r="W5" s="19">
        <f t="shared" ref="W5:W36" si="15">IF($A5="","",IFERROR(INDEX(Proj_Rotulo,MATCH($A5,Proj_Cham,0)),""))</f>
        <v>0</v>
      </c>
      <c r="X5" s="21">
        <f t="shared" ref="X5:X36" si="16">IF($A5="",0,IFERROR(INDEX(Proj_OrdEtapa,MATCH($A5,Proj_Cham,0)),0))</f>
        <v>0</v>
      </c>
      <c r="Y5" s="21">
        <f t="shared" ref="Y5:Y36" si="17">IF(OR($T5="",$T5="OK",$T5="EM DIA COM A ETAPA"),0,1)</f>
        <v>0</v>
      </c>
    </row>
    <row r="6" spans="1:31" x14ac:dyDescent="0.3">
      <c r="A6" s="21">
        <f>IF(Cadastro!$B6="","",Cadastro!$B6)</f>
        <v>440641</v>
      </c>
      <c r="B6" s="21">
        <f>IF(Cadastro!$C6="","",Cadastro!$C6)</f>
        <v>63489</v>
      </c>
      <c r="C6" s="19" t="str">
        <f t="shared" si="0"/>
        <v>HFW2431S-S-S2</v>
      </c>
      <c r="D6" s="19" t="str">
        <f t="shared" si="1"/>
        <v>CÂMERA</v>
      </c>
      <c r="E6" s="23">
        <f>N(Cadastro!$F6)</f>
        <v>4</v>
      </c>
      <c r="F6" s="21">
        <f t="shared" si="2"/>
        <v>4</v>
      </c>
      <c r="G6" s="21">
        <f t="shared" si="3"/>
        <v>4</v>
      </c>
      <c r="H6" s="21">
        <f t="shared" si="4"/>
        <v>0</v>
      </c>
      <c r="I6" s="23">
        <f>N(Cadastro!$R6)</f>
        <v>0</v>
      </c>
      <c r="J6" s="23">
        <f>N(Cadastro!$S6)</f>
        <v>0</v>
      </c>
      <c r="K6" s="23">
        <f>N(Cadastro!$T6)</f>
        <v>0</v>
      </c>
      <c r="L6" s="23">
        <f>N(Cadastro!$U6)</f>
        <v>0</v>
      </c>
      <c r="M6" s="21">
        <f t="shared" si="5"/>
        <v>0</v>
      </c>
      <c r="N6" s="21">
        <f t="shared" si="6"/>
        <v>0</v>
      </c>
      <c r="O6" s="21">
        <f t="shared" si="7"/>
        <v>-4</v>
      </c>
      <c r="P6" s="21">
        <f t="shared" si="8"/>
        <v>0</v>
      </c>
      <c r="Q6" s="21">
        <f t="shared" si="9"/>
        <v>0</v>
      </c>
      <c r="R6" s="21">
        <f t="shared" si="10"/>
        <v>0</v>
      </c>
      <c r="S6" s="21">
        <f t="shared" si="11"/>
        <v>0</v>
      </c>
      <c r="T6" s="19" t="str">
        <f t="shared" si="12"/>
        <v>EM DIA COM A ETAPA</v>
      </c>
      <c r="U6" s="21">
        <f t="shared" si="13"/>
        <v>4</v>
      </c>
      <c r="V6" s="19" t="str">
        <f t="shared" si="14"/>
        <v>SNP</v>
      </c>
      <c r="W6" s="19">
        <f t="shared" si="15"/>
        <v>0</v>
      </c>
      <c r="X6" s="21">
        <f t="shared" si="16"/>
        <v>0</v>
      </c>
      <c r="Y6" s="21">
        <f t="shared" si="17"/>
        <v>0</v>
      </c>
    </row>
    <row r="7" spans="1:31" x14ac:dyDescent="0.3">
      <c r="A7" s="21">
        <f>IF(Cadastro!$B7="","",Cadastro!$B7)</f>
        <v>123</v>
      </c>
      <c r="B7" s="21">
        <f>IF(Cadastro!$C7="","",Cadastro!$C7)</f>
        <v>105356</v>
      </c>
      <c r="C7" s="19" t="str">
        <f t="shared" si="0"/>
        <v>MODULO VIDEOPORTEIRO EXTERNO</v>
      </c>
      <c r="D7" s="19" t="str">
        <f t="shared" si="1"/>
        <v>EQUIPAMENTO</v>
      </c>
      <c r="E7" s="23">
        <f>N(Cadastro!$F7)</f>
        <v>2</v>
      </c>
      <c r="F7" s="21">
        <f t="shared" si="2"/>
        <v>2</v>
      </c>
      <c r="G7" s="21">
        <f t="shared" si="3"/>
        <v>2</v>
      </c>
      <c r="H7" s="21">
        <f t="shared" si="4"/>
        <v>2</v>
      </c>
      <c r="I7" s="23">
        <f>N(Cadastro!$R7)</f>
        <v>2</v>
      </c>
      <c r="J7" s="23">
        <f>N(Cadastro!$S7)</f>
        <v>0</v>
      </c>
      <c r="K7" s="23">
        <f>N(Cadastro!$T7)</f>
        <v>0</v>
      </c>
      <c r="L7" s="23">
        <f>N(Cadastro!$U7)</f>
        <v>0</v>
      </c>
      <c r="M7" s="21">
        <f t="shared" si="5"/>
        <v>0</v>
      </c>
      <c r="N7" s="21">
        <f t="shared" si="6"/>
        <v>0</v>
      </c>
      <c r="O7" s="21">
        <f t="shared" si="7"/>
        <v>0</v>
      </c>
      <c r="P7" s="21">
        <f t="shared" si="8"/>
        <v>0</v>
      </c>
      <c r="Q7" s="21">
        <f t="shared" si="9"/>
        <v>-2</v>
      </c>
      <c r="R7" s="21">
        <f t="shared" si="10"/>
        <v>0</v>
      </c>
      <c r="S7" s="21">
        <f t="shared" si="11"/>
        <v>0</v>
      </c>
      <c r="T7" s="19" t="str">
        <f t="shared" si="12"/>
        <v>MATERIAL NÃO INSTALADO</v>
      </c>
      <c r="U7" s="21">
        <f t="shared" si="13"/>
        <v>2</v>
      </c>
      <c r="V7" s="19" t="str">
        <f t="shared" si="14"/>
        <v>SNP</v>
      </c>
      <c r="W7" s="19" t="str">
        <f t="shared" si="15"/>
        <v>123  ·  CONTROLE DE ACESSO - VICE PRESIDÊNCIA  ·  SNP</v>
      </c>
      <c r="X7" s="21">
        <f t="shared" si="16"/>
        <v>11</v>
      </c>
      <c r="Y7" s="21">
        <f t="shared" si="17"/>
        <v>1</v>
      </c>
    </row>
    <row r="8" spans="1:31" x14ac:dyDescent="0.3">
      <c r="A8" s="21" t="str">
        <f>IF(Cadastro!$B8="","",Cadastro!$B8)</f>
        <v>N/A01</v>
      </c>
      <c r="B8" s="21">
        <f>IF(Cadastro!$C8="","",Cadastro!$C8)</f>
        <v>86698</v>
      </c>
      <c r="C8" s="19" t="str">
        <f t="shared" si="0"/>
        <v>SD6AL245GB-HNV</v>
      </c>
      <c r="D8" s="19" t="str">
        <f t="shared" si="1"/>
        <v>CÂMERA</v>
      </c>
      <c r="E8" s="23">
        <f>N(Cadastro!$F8)</f>
        <v>1</v>
      </c>
      <c r="F8" s="21">
        <f t="shared" si="2"/>
        <v>1</v>
      </c>
      <c r="G8" s="21">
        <f t="shared" si="3"/>
        <v>1</v>
      </c>
      <c r="H8" s="21">
        <f t="shared" si="4"/>
        <v>1</v>
      </c>
      <c r="I8" s="23">
        <f>N(Cadastro!$R8)</f>
        <v>1</v>
      </c>
      <c r="J8" s="23">
        <f>N(Cadastro!$S8)</f>
        <v>0</v>
      </c>
      <c r="K8" s="23">
        <f>N(Cadastro!$T8)</f>
        <v>0</v>
      </c>
      <c r="L8" s="23">
        <f>N(Cadastro!$U8)</f>
        <v>0</v>
      </c>
      <c r="M8" s="21">
        <f t="shared" si="5"/>
        <v>0</v>
      </c>
      <c r="N8" s="21">
        <f t="shared" si="6"/>
        <v>0</v>
      </c>
      <c r="O8" s="21">
        <f t="shared" si="7"/>
        <v>0</v>
      </c>
      <c r="P8" s="21">
        <f t="shared" si="8"/>
        <v>0</v>
      </c>
      <c r="Q8" s="21">
        <f t="shared" si="9"/>
        <v>-1</v>
      </c>
      <c r="R8" s="21">
        <f t="shared" si="10"/>
        <v>0</v>
      </c>
      <c r="S8" s="21">
        <f t="shared" si="11"/>
        <v>0</v>
      </c>
      <c r="T8" s="19" t="str">
        <f t="shared" si="12"/>
        <v>MATERIAL NÃO INSTALADO</v>
      </c>
      <c r="U8" s="21">
        <f t="shared" si="13"/>
        <v>1</v>
      </c>
      <c r="V8" s="19" t="str">
        <f t="shared" si="14"/>
        <v>BLS</v>
      </c>
      <c r="W8" s="19" t="str">
        <f t="shared" si="15"/>
        <v>N/A01  ·  ETANOL  ·  BLS</v>
      </c>
      <c r="X8" s="21">
        <f t="shared" si="16"/>
        <v>10</v>
      </c>
      <c r="Y8" s="21">
        <f t="shared" si="17"/>
        <v>1</v>
      </c>
    </row>
    <row r="9" spans="1:31" x14ac:dyDescent="0.3">
      <c r="A9" s="21" t="str">
        <f>IF(Cadastro!$B9="","",Cadastro!$B9)</f>
        <v>N/A01</v>
      </c>
      <c r="B9" s="21">
        <f>IF(Cadastro!$C9="","",Cadastro!$C9)</f>
        <v>85197</v>
      </c>
      <c r="C9" s="19" t="str">
        <f t="shared" si="0"/>
        <v>PW4D-IZ3</v>
      </c>
      <c r="D9" s="19" t="str">
        <f t="shared" si="1"/>
        <v>CÂMERA</v>
      </c>
      <c r="E9" s="23">
        <f>N(Cadastro!$F9)</f>
        <v>2</v>
      </c>
      <c r="F9" s="21">
        <f t="shared" si="2"/>
        <v>2</v>
      </c>
      <c r="G9" s="21">
        <f t="shared" si="3"/>
        <v>2</v>
      </c>
      <c r="H9" s="21">
        <f t="shared" si="4"/>
        <v>2</v>
      </c>
      <c r="I9" s="23">
        <f>N(Cadastro!$R9)</f>
        <v>2</v>
      </c>
      <c r="J9" s="23">
        <f>N(Cadastro!$S9)</f>
        <v>0</v>
      </c>
      <c r="K9" s="23">
        <f>N(Cadastro!$T9)</f>
        <v>0</v>
      </c>
      <c r="L9" s="23">
        <f>N(Cadastro!$U9)</f>
        <v>0</v>
      </c>
      <c r="M9" s="21">
        <f t="shared" si="5"/>
        <v>0</v>
      </c>
      <c r="N9" s="21">
        <f t="shared" si="6"/>
        <v>0</v>
      </c>
      <c r="O9" s="21">
        <f t="shared" si="7"/>
        <v>0</v>
      </c>
      <c r="P9" s="21">
        <f t="shared" si="8"/>
        <v>0</v>
      </c>
      <c r="Q9" s="21">
        <f t="shared" si="9"/>
        <v>-2</v>
      </c>
      <c r="R9" s="21">
        <f t="shared" si="10"/>
        <v>0</v>
      </c>
      <c r="S9" s="21">
        <f t="shared" si="11"/>
        <v>0</v>
      </c>
      <c r="T9" s="19" t="str">
        <f t="shared" si="12"/>
        <v>MATERIAL NÃO INSTALADO</v>
      </c>
      <c r="U9" s="21">
        <f t="shared" si="13"/>
        <v>2</v>
      </c>
      <c r="V9" s="19" t="str">
        <f t="shared" si="14"/>
        <v>BLS</v>
      </c>
      <c r="W9" s="19" t="str">
        <f t="shared" si="15"/>
        <v>N/A01  ·  ETANOL  ·  BLS</v>
      </c>
      <c r="X9" s="21">
        <f t="shared" si="16"/>
        <v>10</v>
      </c>
      <c r="Y9" s="21">
        <f t="shared" si="17"/>
        <v>1</v>
      </c>
    </row>
    <row r="10" spans="1:31" x14ac:dyDescent="0.3">
      <c r="A10" s="21" t="str">
        <f>IF(Cadastro!$B10="","",Cadastro!$B10)</f>
        <v>N/A01</v>
      </c>
      <c r="B10" s="21">
        <f>IF(Cadastro!$C10="","",Cadastro!$C10)</f>
        <v>63490</v>
      </c>
      <c r="C10" s="19" t="str">
        <f t="shared" si="0"/>
        <v>HFW3441T-ZAS</v>
      </c>
      <c r="D10" s="19" t="str">
        <f t="shared" si="1"/>
        <v>CÂMERA</v>
      </c>
      <c r="E10" s="23">
        <f>N(Cadastro!$F10)</f>
        <v>11</v>
      </c>
      <c r="F10" s="21">
        <f t="shared" si="2"/>
        <v>11</v>
      </c>
      <c r="G10" s="21">
        <f t="shared" si="3"/>
        <v>11</v>
      </c>
      <c r="H10" s="21">
        <f t="shared" si="4"/>
        <v>11</v>
      </c>
      <c r="I10" s="23">
        <f>N(Cadastro!$R10)</f>
        <v>11</v>
      </c>
      <c r="J10" s="23">
        <f>N(Cadastro!$S10)</f>
        <v>0</v>
      </c>
      <c r="K10" s="23">
        <f>N(Cadastro!$T10)</f>
        <v>0</v>
      </c>
      <c r="L10" s="23">
        <f>N(Cadastro!$U10)</f>
        <v>0</v>
      </c>
      <c r="M10" s="21">
        <f t="shared" si="5"/>
        <v>0</v>
      </c>
      <c r="N10" s="21">
        <f t="shared" si="6"/>
        <v>0</v>
      </c>
      <c r="O10" s="21">
        <f t="shared" si="7"/>
        <v>0</v>
      </c>
      <c r="P10" s="21">
        <f t="shared" si="8"/>
        <v>0</v>
      </c>
      <c r="Q10" s="21">
        <f t="shared" si="9"/>
        <v>-11</v>
      </c>
      <c r="R10" s="21">
        <f t="shared" si="10"/>
        <v>0</v>
      </c>
      <c r="S10" s="21">
        <f t="shared" si="11"/>
        <v>0</v>
      </c>
      <c r="T10" s="19" t="str">
        <f t="shared" si="12"/>
        <v>MATERIAL NÃO INSTALADO</v>
      </c>
      <c r="U10" s="21">
        <f t="shared" si="13"/>
        <v>11</v>
      </c>
      <c r="V10" s="19" t="str">
        <f t="shared" si="14"/>
        <v>BLS</v>
      </c>
      <c r="W10" s="19" t="str">
        <f t="shared" si="15"/>
        <v>N/A01  ·  ETANOL  ·  BLS</v>
      </c>
      <c r="X10" s="21">
        <f t="shared" si="16"/>
        <v>10</v>
      </c>
      <c r="Y10" s="21">
        <f t="shared" si="17"/>
        <v>1</v>
      </c>
    </row>
    <row r="11" spans="1:31" x14ac:dyDescent="0.3">
      <c r="A11" s="21" t="str">
        <f>IF(Cadastro!$B11="","",Cadastro!$B11)</f>
        <v>N/A01</v>
      </c>
      <c r="B11" s="21">
        <f>IF(Cadastro!$C11="","",Cadastro!$C11)</f>
        <v>55721</v>
      </c>
      <c r="C11" s="19" t="str">
        <f t="shared" si="0"/>
        <v>LICENCIAMENTO DIREITOS USO SOFTWARE 7,2 ENTERPRISE PERMANENTE P/SISTEMA MONITORAMENTO</v>
      </c>
      <c r="D11" s="19" t="str">
        <f t="shared" si="1"/>
        <v>LICENÇA</v>
      </c>
      <c r="E11" s="23">
        <f>N(Cadastro!$F11)</f>
        <v>1</v>
      </c>
      <c r="F11" s="21">
        <f t="shared" si="2"/>
        <v>1</v>
      </c>
      <c r="G11" s="21">
        <f t="shared" si="3"/>
        <v>1</v>
      </c>
      <c r="H11" s="21">
        <f t="shared" si="4"/>
        <v>1</v>
      </c>
      <c r="I11" s="23">
        <f>N(Cadastro!$R11)</f>
        <v>1</v>
      </c>
      <c r="J11" s="23">
        <f>N(Cadastro!$S11)</f>
        <v>0</v>
      </c>
      <c r="K11" s="23">
        <f>N(Cadastro!$T11)</f>
        <v>0</v>
      </c>
      <c r="L11" s="23">
        <f>N(Cadastro!$U11)</f>
        <v>0</v>
      </c>
      <c r="M11" s="21">
        <f t="shared" si="5"/>
        <v>0</v>
      </c>
      <c r="N11" s="21">
        <f t="shared" si="6"/>
        <v>0</v>
      </c>
      <c r="O11" s="21">
        <f t="shared" si="7"/>
        <v>0</v>
      </c>
      <c r="P11" s="21">
        <f t="shared" si="8"/>
        <v>0</v>
      </c>
      <c r="Q11" s="21">
        <f t="shared" si="9"/>
        <v>-1</v>
      </c>
      <c r="R11" s="21">
        <f t="shared" si="10"/>
        <v>0</v>
      </c>
      <c r="S11" s="21">
        <f t="shared" si="11"/>
        <v>0</v>
      </c>
      <c r="T11" s="19" t="str">
        <f t="shared" si="12"/>
        <v>MATERIAL NÃO INSTALADO</v>
      </c>
      <c r="U11" s="21">
        <f t="shared" si="13"/>
        <v>1</v>
      </c>
      <c r="V11" s="19" t="str">
        <f t="shared" si="14"/>
        <v>BLS</v>
      </c>
      <c r="W11" s="19" t="str">
        <f t="shared" si="15"/>
        <v>N/A01  ·  ETANOL  ·  BLS</v>
      </c>
      <c r="X11" s="21">
        <f t="shared" si="16"/>
        <v>10</v>
      </c>
      <c r="Y11" s="21">
        <f t="shared" si="17"/>
        <v>1</v>
      </c>
    </row>
    <row r="12" spans="1:31" x14ac:dyDescent="0.3">
      <c r="A12" s="21" t="str">
        <f>IF(Cadastro!$B12="","",Cadastro!$B12)</f>
        <v>N/A01</v>
      </c>
      <c r="B12" s="21">
        <f>IF(Cadastro!$C12="","",Cadastro!$C12)</f>
        <v>65153</v>
      </c>
      <c r="C12" s="19" t="str">
        <f t="shared" si="0"/>
        <v>DAHUA TECH/EPC230U</v>
      </c>
      <c r="D12" s="19" t="str">
        <f t="shared" si="1"/>
        <v>CÂMERA</v>
      </c>
      <c r="E12" s="23">
        <f>N(Cadastro!$F12)</f>
        <v>4</v>
      </c>
      <c r="F12" s="21">
        <f t="shared" si="2"/>
        <v>4</v>
      </c>
      <c r="G12" s="21">
        <f t="shared" si="3"/>
        <v>4</v>
      </c>
      <c r="H12" s="21">
        <f t="shared" si="4"/>
        <v>4</v>
      </c>
      <c r="I12" s="23">
        <f>N(Cadastro!$R12)</f>
        <v>4</v>
      </c>
      <c r="J12" s="23">
        <f>N(Cadastro!$S12)</f>
        <v>0</v>
      </c>
      <c r="K12" s="23">
        <f>N(Cadastro!$T12)</f>
        <v>0</v>
      </c>
      <c r="L12" s="23">
        <f>N(Cadastro!$U12)</f>
        <v>0</v>
      </c>
      <c r="M12" s="21">
        <f t="shared" si="5"/>
        <v>0</v>
      </c>
      <c r="N12" s="21">
        <f t="shared" si="6"/>
        <v>0</v>
      </c>
      <c r="O12" s="21">
        <f t="shared" si="7"/>
        <v>0</v>
      </c>
      <c r="P12" s="21">
        <f t="shared" si="8"/>
        <v>0</v>
      </c>
      <c r="Q12" s="21">
        <f t="shared" si="9"/>
        <v>-4</v>
      </c>
      <c r="R12" s="21">
        <f t="shared" si="10"/>
        <v>0</v>
      </c>
      <c r="S12" s="21">
        <f t="shared" si="11"/>
        <v>0</v>
      </c>
      <c r="T12" s="19" t="str">
        <f t="shared" si="12"/>
        <v>MATERIAL NÃO INSTALADO</v>
      </c>
      <c r="U12" s="21">
        <f t="shared" si="13"/>
        <v>4</v>
      </c>
      <c r="V12" s="19" t="str">
        <f t="shared" si="14"/>
        <v>BLS</v>
      </c>
      <c r="W12" s="19" t="str">
        <f t="shared" si="15"/>
        <v>N/A01  ·  ETANOL  ·  BLS</v>
      </c>
      <c r="X12" s="21">
        <f t="shared" si="16"/>
        <v>10</v>
      </c>
      <c r="Y12" s="21">
        <f t="shared" si="17"/>
        <v>1</v>
      </c>
    </row>
    <row r="13" spans="1:31" x14ac:dyDescent="0.3">
      <c r="A13" s="21" t="str">
        <f>IF(Cadastro!$B13="","",Cadastro!$B13)</f>
        <v>N/A02</v>
      </c>
      <c r="B13" s="21">
        <f>IF(Cadastro!$C13="","",Cadastro!$C13)</f>
        <v>62900</v>
      </c>
      <c r="C13" s="19" t="str">
        <f t="shared" si="0"/>
        <v>DH-IPC-HFW5241E-Z12E</v>
      </c>
      <c r="D13" s="19" t="str">
        <f t="shared" si="1"/>
        <v>CÂMERA</v>
      </c>
      <c r="E13" s="23">
        <f>N(Cadastro!$F13)</f>
        <v>6</v>
      </c>
      <c r="F13" s="21">
        <f t="shared" si="2"/>
        <v>6</v>
      </c>
      <c r="G13" s="21">
        <f t="shared" si="3"/>
        <v>6</v>
      </c>
      <c r="H13" s="21">
        <f t="shared" si="4"/>
        <v>0</v>
      </c>
      <c r="I13" s="23">
        <f>N(Cadastro!$R13)</f>
        <v>6</v>
      </c>
      <c r="J13" s="23">
        <f>N(Cadastro!$S13)</f>
        <v>0</v>
      </c>
      <c r="K13" s="23">
        <f>N(Cadastro!$T13)</f>
        <v>0</v>
      </c>
      <c r="L13" s="23">
        <f>N(Cadastro!$U13)</f>
        <v>0</v>
      </c>
      <c r="M13" s="21">
        <f t="shared" si="5"/>
        <v>0</v>
      </c>
      <c r="N13" s="21">
        <f t="shared" si="6"/>
        <v>0</v>
      </c>
      <c r="O13" s="21">
        <f t="shared" si="7"/>
        <v>-6</v>
      </c>
      <c r="P13" s="21">
        <f t="shared" si="8"/>
        <v>6</v>
      </c>
      <c r="Q13" s="21">
        <f t="shared" si="9"/>
        <v>-6</v>
      </c>
      <c r="R13" s="21">
        <f t="shared" si="10"/>
        <v>0</v>
      </c>
      <c r="S13" s="21">
        <f t="shared" si="11"/>
        <v>0</v>
      </c>
      <c r="T13" s="19" t="str">
        <f t="shared" si="12"/>
        <v>MATERIAL NÃO RECEBIDO</v>
      </c>
      <c r="U13" s="21">
        <f t="shared" si="13"/>
        <v>6</v>
      </c>
      <c r="V13" s="19" t="str">
        <f t="shared" si="14"/>
        <v>SNP</v>
      </c>
      <c r="W13" s="19" t="str">
        <f t="shared" si="15"/>
        <v>N/A02  ·  STACKER RECLAIMER  ·  SNP</v>
      </c>
      <c r="X13" s="21">
        <f t="shared" si="16"/>
        <v>6</v>
      </c>
      <c r="Y13" s="21">
        <f t="shared" si="17"/>
        <v>1</v>
      </c>
    </row>
    <row r="14" spans="1:31" x14ac:dyDescent="0.3">
      <c r="A14" s="21" t="str">
        <f>IF(Cadastro!$B14="","",Cadastro!$B14)</f>
        <v>N/A02</v>
      </c>
      <c r="B14" s="21">
        <f>IF(Cadastro!$C14="","",Cadastro!$C14)</f>
        <v>67979</v>
      </c>
      <c r="C14" s="19" t="str">
        <f t="shared" si="0"/>
        <v>SOFTWARE GRAVACAO/MONITORAMENTO ADICAO 16 CAMERAS</v>
      </c>
      <c r="D14" s="19" t="str">
        <f t="shared" si="1"/>
        <v>SOFTWARE</v>
      </c>
      <c r="E14" s="23">
        <f>N(Cadastro!$F14)</f>
        <v>1</v>
      </c>
      <c r="F14" s="21">
        <f t="shared" si="2"/>
        <v>1</v>
      </c>
      <c r="G14" s="21">
        <f t="shared" si="3"/>
        <v>1</v>
      </c>
      <c r="H14" s="21">
        <f t="shared" si="4"/>
        <v>0</v>
      </c>
      <c r="I14" s="23">
        <f>N(Cadastro!$R14)</f>
        <v>1</v>
      </c>
      <c r="J14" s="23">
        <f>N(Cadastro!$S14)</f>
        <v>0</v>
      </c>
      <c r="K14" s="23">
        <f>N(Cadastro!$T14)</f>
        <v>0</v>
      </c>
      <c r="L14" s="23">
        <f>N(Cadastro!$U14)</f>
        <v>0</v>
      </c>
      <c r="M14" s="21">
        <f t="shared" si="5"/>
        <v>0</v>
      </c>
      <c r="N14" s="21">
        <f t="shared" si="6"/>
        <v>0</v>
      </c>
      <c r="O14" s="21">
        <f t="shared" si="7"/>
        <v>-1</v>
      </c>
      <c r="P14" s="21">
        <f t="shared" si="8"/>
        <v>1</v>
      </c>
      <c r="Q14" s="21">
        <f t="shared" si="9"/>
        <v>-1</v>
      </c>
      <c r="R14" s="21">
        <f t="shared" si="10"/>
        <v>0</v>
      </c>
      <c r="S14" s="21">
        <f t="shared" si="11"/>
        <v>0</v>
      </c>
      <c r="T14" s="19" t="str">
        <f t="shared" si="12"/>
        <v>MATERIAL NÃO RECEBIDO</v>
      </c>
      <c r="U14" s="21">
        <f t="shared" si="13"/>
        <v>1</v>
      </c>
      <c r="V14" s="19" t="str">
        <f t="shared" si="14"/>
        <v>SNP</v>
      </c>
      <c r="W14" s="19" t="str">
        <f t="shared" si="15"/>
        <v>N/A02  ·  STACKER RECLAIMER  ·  SNP</v>
      </c>
      <c r="X14" s="21">
        <f t="shared" si="16"/>
        <v>6</v>
      </c>
      <c r="Y14" s="21">
        <f t="shared" si="17"/>
        <v>1</v>
      </c>
    </row>
    <row r="15" spans="1:31" x14ac:dyDescent="0.3">
      <c r="A15" s="21" t="str">
        <f>IF(Cadastro!$B15="","",Cadastro!$B15)</f>
        <v>N/A02</v>
      </c>
      <c r="B15" s="21">
        <f>IF(Cadastro!$C15="","",Cadastro!$C15)</f>
        <v>54824</v>
      </c>
      <c r="C15" s="19" t="str">
        <f t="shared" si="0"/>
        <v>SD6AL245U-HNI-IR</v>
      </c>
      <c r="D15" s="19" t="str">
        <f t="shared" si="1"/>
        <v>CÂMERA</v>
      </c>
      <c r="E15" s="23">
        <f>N(Cadastro!$F15)</f>
        <v>4</v>
      </c>
      <c r="F15" s="21">
        <f t="shared" si="2"/>
        <v>4</v>
      </c>
      <c r="G15" s="21">
        <f t="shared" si="3"/>
        <v>4</v>
      </c>
      <c r="H15" s="21">
        <f t="shared" si="4"/>
        <v>4</v>
      </c>
      <c r="I15" s="23">
        <f>N(Cadastro!$R15)</f>
        <v>4</v>
      </c>
      <c r="J15" s="23">
        <f>N(Cadastro!$S15)</f>
        <v>0</v>
      </c>
      <c r="K15" s="23">
        <f>N(Cadastro!$T15)</f>
        <v>0</v>
      </c>
      <c r="L15" s="23">
        <f>N(Cadastro!$U15)</f>
        <v>0</v>
      </c>
      <c r="M15" s="21">
        <f t="shared" si="5"/>
        <v>0</v>
      </c>
      <c r="N15" s="21">
        <f t="shared" si="6"/>
        <v>0</v>
      </c>
      <c r="O15" s="21">
        <f t="shared" si="7"/>
        <v>0</v>
      </c>
      <c r="P15" s="21">
        <f t="shared" si="8"/>
        <v>0</v>
      </c>
      <c r="Q15" s="21">
        <f t="shared" si="9"/>
        <v>-4</v>
      </c>
      <c r="R15" s="21">
        <f t="shared" si="10"/>
        <v>0</v>
      </c>
      <c r="S15" s="21">
        <f t="shared" si="11"/>
        <v>0</v>
      </c>
      <c r="T15" s="19" t="str">
        <f t="shared" si="12"/>
        <v>EM DIA COM A ETAPA</v>
      </c>
      <c r="U15" s="21">
        <f t="shared" si="13"/>
        <v>4</v>
      </c>
      <c r="V15" s="19" t="str">
        <f t="shared" si="14"/>
        <v>SNP</v>
      </c>
      <c r="W15" s="19" t="str">
        <f t="shared" si="15"/>
        <v>N/A02  ·  STACKER RECLAIMER  ·  SNP</v>
      </c>
      <c r="X15" s="21">
        <f t="shared" si="16"/>
        <v>6</v>
      </c>
      <c r="Y15" s="21">
        <f t="shared" si="17"/>
        <v>0</v>
      </c>
    </row>
    <row r="16" spans="1:31" x14ac:dyDescent="0.3">
      <c r="A16" s="21" t="str">
        <f>IF(Cadastro!$B16="","",Cadastro!$B16)</f>
        <v>N/A13</v>
      </c>
      <c r="B16" s="21">
        <f>IF(Cadastro!$C16="","",Cadastro!$C16)</f>
        <v>63489</v>
      </c>
      <c r="C16" s="19" t="str">
        <f t="shared" si="0"/>
        <v>HFW2431S-S-S2</v>
      </c>
      <c r="D16" s="19" t="str">
        <f t="shared" si="1"/>
        <v>CÂMERA</v>
      </c>
      <c r="E16" s="23">
        <f>N(Cadastro!$F16)</f>
        <v>4</v>
      </c>
      <c r="F16" s="21">
        <f t="shared" si="2"/>
        <v>4</v>
      </c>
      <c r="G16" s="21">
        <f t="shared" si="3"/>
        <v>4</v>
      </c>
      <c r="H16" s="21">
        <f t="shared" si="4"/>
        <v>0</v>
      </c>
      <c r="I16" s="23">
        <f>N(Cadastro!$R16)</f>
        <v>4</v>
      </c>
      <c r="J16" s="23">
        <f>N(Cadastro!$S16)</f>
        <v>0</v>
      </c>
      <c r="K16" s="23">
        <f>N(Cadastro!$T16)</f>
        <v>0</v>
      </c>
      <c r="L16" s="23">
        <f>N(Cadastro!$U16)</f>
        <v>0</v>
      </c>
      <c r="M16" s="21">
        <f t="shared" si="5"/>
        <v>0</v>
      </c>
      <c r="N16" s="21">
        <f t="shared" si="6"/>
        <v>0</v>
      </c>
      <c r="O16" s="21">
        <f t="shared" si="7"/>
        <v>-4</v>
      </c>
      <c r="P16" s="21">
        <f t="shared" si="8"/>
        <v>4</v>
      </c>
      <c r="Q16" s="21">
        <f t="shared" si="9"/>
        <v>-4</v>
      </c>
      <c r="R16" s="21">
        <f t="shared" si="10"/>
        <v>0</v>
      </c>
      <c r="S16" s="21">
        <f t="shared" si="11"/>
        <v>0</v>
      </c>
      <c r="T16" s="19" t="str">
        <f t="shared" si="12"/>
        <v>MATERIAL NÃO RECEBIDO</v>
      </c>
      <c r="U16" s="21">
        <f t="shared" si="13"/>
        <v>4</v>
      </c>
      <c r="V16" s="19" t="str">
        <f t="shared" si="14"/>
        <v>MTU</v>
      </c>
      <c r="W16" s="19" t="str">
        <f t="shared" si="15"/>
        <v>N/A13  ·  CASA DE FORÇA - 02  ·  MTU</v>
      </c>
      <c r="X16" s="21">
        <f t="shared" si="16"/>
        <v>7</v>
      </c>
      <c r="Y16" s="21">
        <f t="shared" si="17"/>
        <v>1</v>
      </c>
    </row>
    <row r="17" spans="1:25" x14ac:dyDescent="0.3">
      <c r="A17" s="21" t="str">
        <f>IF(Cadastro!$B17="","",Cadastro!$B17)</f>
        <v>N/A13</v>
      </c>
      <c r="B17" s="21">
        <f>IF(Cadastro!$C17="","",Cadastro!$C17)</f>
        <v>67977</v>
      </c>
      <c r="C17" s="19" t="str">
        <f t="shared" si="0"/>
        <v>LICENCIAMENTO MONITORAMENTO 04 CAMERAS</v>
      </c>
      <c r="D17" s="19" t="str">
        <f t="shared" si="1"/>
        <v>LICENÇA</v>
      </c>
      <c r="E17" s="23">
        <f>N(Cadastro!$F17)</f>
        <v>1</v>
      </c>
      <c r="F17" s="21">
        <f t="shared" si="2"/>
        <v>1</v>
      </c>
      <c r="G17" s="21">
        <f t="shared" si="3"/>
        <v>1</v>
      </c>
      <c r="H17" s="21">
        <f t="shared" si="4"/>
        <v>0</v>
      </c>
      <c r="I17" s="23">
        <f>N(Cadastro!$R17)</f>
        <v>0</v>
      </c>
      <c r="J17" s="23">
        <f>N(Cadastro!$S17)</f>
        <v>0</v>
      </c>
      <c r="K17" s="23">
        <f>N(Cadastro!$T17)</f>
        <v>0</v>
      </c>
      <c r="L17" s="23">
        <f>N(Cadastro!$U17)</f>
        <v>0</v>
      </c>
      <c r="M17" s="21">
        <f t="shared" si="5"/>
        <v>0</v>
      </c>
      <c r="N17" s="21">
        <f t="shared" si="6"/>
        <v>0</v>
      </c>
      <c r="O17" s="21">
        <f t="shared" si="7"/>
        <v>-1</v>
      </c>
      <c r="P17" s="21">
        <f t="shared" si="8"/>
        <v>0</v>
      </c>
      <c r="Q17" s="21">
        <f t="shared" si="9"/>
        <v>0</v>
      </c>
      <c r="R17" s="21">
        <f t="shared" si="10"/>
        <v>0</v>
      </c>
      <c r="S17" s="21">
        <f t="shared" si="11"/>
        <v>0</v>
      </c>
      <c r="T17" s="19" t="str">
        <f t="shared" si="12"/>
        <v>MATERIAL NÃO RECEBIDO</v>
      </c>
      <c r="U17" s="21">
        <f t="shared" si="13"/>
        <v>1</v>
      </c>
      <c r="V17" s="19" t="str">
        <f t="shared" si="14"/>
        <v>MTU</v>
      </c>
      <c r="W17" s="19" t="str">
        <f t="shared" si="15"/>
        <v>N/A13  ·  CASA DE FORÇA - 02  ·  MTU</v>
      </c>
      <c r="X17" s="21">
        <f t="shared" si="16"/>
        <v>7</v>
      </c>
      <c r="Y17" s="21">
        <f t="shared" si="17"/>
        <v>1</v>
      </c>
    </row>
    <row r="18" spans="1:25" x14ac:dyDescent="0.3">
      <c r="A18" s="21">
        <f>IF(Cadastro!$B18="","",Cadastro!$B18)</f>
        <v>123</v>
      </c>
      <c r="B18" s="21">
        <f>IF(Cadastro!$C18="","",Cadastro!$C18)</f>
        <v>68184</v>
      </c>
      <c r="C18" s="19" t="str">
        <f t="shared" si="0"/>
        <v>12VCC 2 RS485/RJ45 2179KBPS DAHUA TECH/DHI-ITC413-PW4D-Z1</v>
      </c>
      <c r="D18" s="19" t="str">
        <f t="shared" si="1"/>
        <v>CÂMERA</v>
      </c>
      <c r="E18" s="23">
        <f>N(Cadastro!$F18)</f>
        <v>2</v>
      </c>
      <c r="F18" s="21">
        <f t="shared" si="2"/>
        <v>4</v>
      </c>
      <c r="G18" s="21">
        <f t="shared" si="3"/>
        <v>4</v>
      </c>
      <c r="H18" s="21">
        <f t="shared" si="4"/>
        <v>4</v>
      </c>
      <c r="I18" s="23">
        <f>N(Cadastro!$R18)</f>
        <v>4</v>
      </c>
      <c r="J18" s="23">
        <f>N(Cadastro!$S18)</f>
        <v>4</v>
      </c>
      <c r="K18" s="23">
        <f>N(Cadastro!$T18)</f>
        <v>4</v>
      </c>
      <c r="L18" s="23">
        <f>N(Cadastro!$U18)</f>
        <v>4</v>
      </c>
      <c r="M18" s="21">
        <f t="shared" si="5"/>
        <v>2</v>
      </c>
      <c r="N18" s="21">
        <f t="shared" si="6"/>
        <v>0</v>
      </c>
      <c r="O18" s="21">
        <f t="shared" si="7"/>
        <v>0</v>
      </c>
      <c r="P18" s="21">
        <f t="shared" si="8"/>
        <v>0</v>
      </c>
      <c r="Q18" s="21">
        <f t="shared" si="9"/>
        <v>0</v>
      </c>
      <c r="R18" s="21">
        <f t="shared" si="10"/>
        <v>0</v>
      </c>
      <c r="S18" s="21">
        <f t="shared" si="11"/>
        <v>0</v>
      </c>
      <c r="T18" s="19" t="str">
        <f t="shared" si="12"/>
        <v>DIVERGÊNCIA NA SOLICITAÇÃO</v>
      </c>
      <c r="U18" s="21">
        <f t="shared" si="13"/>
        <v>0</v>
      </c>
      <c r="V18" s="19" t="str">
        <f t="shared" si="14"/>
        <v>SNP</v>
      </c>
      <c r="W18" s="19" t="str">
        <f t="shared" si="15"/>
        <v>123  ·  CONTROLE DE ACESSO - VICE PRESIDÊNCIA  ·  SNP</v>
      </c>
      <c r="X18" s="21">
        <f t="shared" si="16"/>
        <v>11</v>
      </c>
      <c r="Y18" s="21">
        <f t="shared" si="17"/>
        <v>1</v>
      </c>
    </row>
    <row r="19" spans="1:25" x14ac:dyDescent="0.3">
      <c r="A19" s="21">
        <f>IF(Cadastro!$B19="","",Cadastro!$B19)</f>
        <v>123</v>
      </c>
      <c r="B19" s="21">
        <f>IF(Cadastro!$C19="","",Cadastro!$C19)</f>
        <v>85197</v>
      </c>
      <c r="C19" s="19" t="str">
        <f t="shared" si="0"/>
        <v>PW4D-IZ3</v>
      </c>
      <c r="D19" s="19" t="str">
        <f t="shared" si="1"/>
        <v>CÂMERA</v>
      </c>
      <c r="E19" s="23">
        <f>N(Cadastro!$F19)</f>
        <v>1</v>
      </c>
      <c r="F19" s="21">
        <f t="shared" si="2"/>
        <v>1</v>
      </c>
      <c r="G19" s="21">
        <f t="shared" si="3"/>
        <v>1</v>
      </c>
      <c r="H19" s="21">
        <f t="shared" si="4"/>
        <v>1</v>
      </c>
      <c r="I19" s="23">
        <f>N(Cadastro!$R19)</f>
        <v>1</v>
      </c>
      <c r="J19" s="23">
        <v>1</v>
      </c>
      <c r="K19" s="23">
        <v>1</v>
      </c>
      <c r="L19" s="23">
        <v>1</v>
      </c>
      <c r="M19" s="21">
        <f t="shared" si="5"/>
        <v>0</v>
      </c>
      <c r="N19" s="21">
        <f t="shared" si="6"/>
        <v>0</v>
      </c>
      <c r="O19" s="21">
        <f t="shared" si="7"/>
        <v>0</v>
      </c>
      <c r="P19" s="21">
        <f t="shared" si="8"/>
        <v>0</v>
      </c>
      <c r="Q19" s="21">
        <f t="shared" si="9"/>
        <v>0</v>
      </c>
      <c r="R19" s="21">
        <f t="shared" si="10"/>
        <v>0</v>
      </c>
      <c r="S19" s="21">
        <f t="shared" si="11"/>
        <v>0</v>
      </c>
      <c r="T19" s="19" t="str">
        <f t="shared" si="12"/>
        <v>OK</v>
      </c>
      <c r="U19" s="21">
        <f t="shared" si="13"/>
        <v>0</v>
      </c>
      <c r="V19" s="19" t="str">
        <f t="shared" si="14"/>
        <v>SNP</v>
      </c>
      <c r="W19" s="19" t="str">
        <f t="shared" si="15"/>
        <v>123  ·  CONTROLE DE ACESSO - VICE PRESIDÊNCIA  ·  SNP</v>
      </c>
      <c r="X19" s="21">
        <f t="shared" si="16"/>
        <v>11</v>
      </c>
      <c r="Y19" s="21">
        <f t="shared" si="17"/>
        <v>0</v>
      </c>
    </row>
    <row r="20" spans="1:25" x14ac:dyDescent="0.3">
      <c r="A20" s="21">
        <f>IF(Cadastro!$B20="","",Cadastro!$B20)</f>
        <v>123</v>
      </c>
      <c r="B20" s="21">
        <f>IF(Cadastro!$C20="","",Cadastro!$C20)</f>
        <v>63490</v>
      </c>
      <c r="C20" s="19" t="str">
        <f t="shared" si="0"/>
        <v>HFW3441T-ZAS</v>
      </c>
      <c r="D20" s="19" t="str">
        <f t="shared" si="1"/>
        <v>CÂMERA</v>
      </c>
      <c r="E20" s="23">
        <f>N(Cadastro!$F20)</f>
        <v>9</v>
      </c>
      <c r="F20" s="21">
        <f t="shared" si="2"/>
        <v>9</v>
      </c>
      <c r="G20" s="21">
        <f t="shared" si="3"/>
        <v>9</v>
      </c>
      <c r="H20" s="21">
        <f t="shared" si="4"/>
        <v>0</v>
      </c>
      <c r="I20" s="23">
        <f>N(Cadastro!$R20)</f>
        <v>9</v>
      </c>
      <c r="J20" s="23"/>
      <c r="K20" s="23"/>
      <c r="L20" s="23"/>
      <c r="M20" s="21">
        <f t="shared" si="5"/>
        <v>0</v>
      </c>
      <c r="N20" s="21">
        <f t="shared" si="6"/>
        <v>0</v>
      </c>
      <c r="O20" s="21">
        <f t="shared" si="7"/>
        <v>-9</v>
      </c>
      <c r="P20" s="21">
        <f t="shared" si="8"/>
        <v>9</v>
      </c>
      <c r="Q20" s="21">
        <f t="shared" si="9"/>
        <v>-9</v>
      </c>
      <c r="R20" s="21">
        <f t="shared" si="10"/>
        <v>0</v>
      </c>
      <c r="S20" s="21">
        <f t="shared" si="11"/>
        <v>0</v>
      </c>
      <c r="T20" s="19" t="str">
        <f t="shared" si="12"/>
        <v>MATERIAL NÃO RECEBIDO</v>
      </c>
      <c r="U20" s="21">
        <f t="shared" si="13"/>
        <v>9</v>
      </c>
      <c r="V20" s="19" t="str">
        <f t="shared" si="14"/>
        <v>SNP</v>
      </c>
      <c r="W20" s="19" t="str">
        <f t="shared" si="15"/>
        <v>123  ·  CONTROLE DE ACESSO - VICE PRESIDÊNCIA  ·  SNP</v>
      </c>
      <c r="X20" s="21">
        <f t="shared" si="16"/>
        <v>11</v>
      </c>
      <c r="Y20" s="21">
        <f t="shared" si="17"/>
        <v>1</v>
      </c>
    </row>
    <row r="21" spans="1:25" x14ac:dyDescent="0.3">
      <c r="A21" s="21">
        <f>IF(Cadastro!$B21="","",Cadastro!$B21)</f>
        <v>123</v>
      </c>
      <c r="B21" s="21">
        <f>IF(Cadastro!$C21="","",Cadastro!$C21)</f>
        <v>52416</v>
      </c>
      <c r="C21" s="19" t="str">
        <f t="shared" si="0"/>
        <v xml:space="preserve"> 29PORT 24RJ45/4 SFP/1 USB 100-240VCA 43,60X227X442MM HUAWEI/S5735-L24P4XE-A-V2</v>
      </c>
      <c r="D21" s="19" t="str">
        <f t="shared" si="1"/>
        <v>SWITCH</v>
      </c>
      <c r="E21" s="23">
        <f>N(Cadastro!$F21)</f>
        <v>2</v>
      </c>
      <c r="F21" s="21">
        <f t="shared" si="2"/>
        <v>2</v>
      </c>
      <c r="G21" s="21">
        <f t="shared" si="3"/>
        <v>2</v>
      </c>
      <c r="H21" s="21">
        <f t="shared" si="4"/>
        <v>2</v>
      </c>
      <c r="I21" s="23">
        <v>2</v>
      </c>
      <c r="J21" s="23">
        <v>2</v>
      </c>
      <c r="K21" s="23">
        <v>2</v>
      </c>
      <c r="L21" s="23">
        <v>2</v>
      </c>
      <c r="M21" s="21">
        <f t="shared" si="5"/>
        <v>0</v>
      </c>
      <c r="N21" s="21">
        <f t="shared" si="6"/>
        <v>0</v>
      </c>
      <c r="O21" s="21">
        <f t="shared" si="7"/>
        <v>0</v>
      </c>
      <c r="P21" s="21">
        <f t="shared" si="8"/>
        <v>0</v>
      </c>
      <c r="Q21" s="21">
        <f t="shared" si="9"/>
        <v>0</v>
      </c>
      <c r="R21" s="21">
        <f t="shared" si="10"/>
        <v>0</v>
      </c>
      <c r="S21" s="21">
        <f t="shared" si="11"/>
        <v>0</v>
      </c>
      <c r="T21" s="19" t="str">
        <f t="shared" si="12"/>
        <v>OK</v>
      </c>
      <c r="U21" s="21">
        <f t="shared" si="13"/>
        <v>0</v>
      </c>
      <c r="V21" s="19" t="str">
        <f t="shared" si="14"/>
        <v>SNP</v>
      </c>
      <c r="W21" s="19" t="str">
        <f t="shared" si="15"/>
        <v>123  ·  CONTROLE DE ACESSO - VICE PRESIDÊNCIA  ·  SNP</v>
      </c>
      <c r="X21" s="21">
        <f t="shared" si="16"/>
        <v>11</v>
      </c>
      <c r="Y21" s="21">
        <f t="shared" si="17"/>
        <v>0</v>
      </c>
    </row>
    <row r="22" spans="1:25" x14ac:dyDescent="0.3">
      <c r="A22" s="21">
        <f>IF(Cadastro!$B22="","",Cadastro!$B22)</f>
        <v>123</v>
      </c>
      <c r="B22" s="21">
        <f>IF(Cadastro!$C22="","",Cadastro!$C22)</f>
        <v>92927</v>
      </c>
      <c r="C22" s="19" t="str">
        <f t="shared" si="0"/>
        <v>INTERFONE PLASTICO ABS 12VCC C/ACIONAMENTO FECHADURA IP/WIFI DAHUA TECH/DHI-VTH5421E(W)-H</v>
      </c>
      <c r="D22" s="19" t="str">
        <f t="shared" si="1"/>
        <v>INTERFONE</v>
      </c>
      <c r="E22" s="23">
        <f>N(Cadastro!$F22)</f>
        <v>2</v>
      </c>
      <c r="F22" s="21">
        <f t="shared" si="2"/>
        <v>2</v>
      </c>
      <c r="G22" s="21">
        <f t="shared" si="3"/>
        <v>2</v>
      </c>
      <c r="H22" s="21">
        <f t="shared" si="4"/>
        <v>2</v>
      </c>
      <c r="I22" s="23">
        <f>N(Cadastro!$R22)</f>
        <v>2</v>
      </c>
      <c r="J22" s="23">
        <f>N(Cadastro!$S22)</f>
        <v>2</v>
      </c>
      <c r="K22" s="23">
        <f>N(Cadastro!$T22)</f>
        <v>2</v>
      </c>
      <c r="L22" s="23">
        <f>N(Cadastro!$U22)</f>
        <v>2</v>
      </c>
      <c r="M22" s="21">
        <f t="shared" si="5"/>
        <v>0</v>
      </c>
      <c r="N22" s="21">
        <f t="shared" si="6"/>
        <v>0</v>
      </c>
      <c r="O22" s="21">
        <f t="shared" si="7"/>
        <v>0</v>
      </c>
      <c r="P22" s="21">
        <f t="shared" si="8"/>
        <v>0</v>
      </c>
      <c r="Q22" s="21">
        <f t="shared" si="9"/>
        <v>0</v>
      </c>
      <c r="R22" s="21">
        <f t="shared" si="10"/>
        <v>0</v>
      </c>
      <c r="S22" s="21">
        <f t="shared" si="11"/>
        <v>0</v>
      </c>
      <c r="T22" s="19" t="str">
        <f t="shared" si="12"/>
        <v>OK</v>
      </c>
      <c r="U22" s="21">
        <f t="shared" si="13"/>
        <v>0</v>
      </c>
      <c r="V22" s="19" t="str">
        <f t="shared" si="14"/>
        <v>SNP</v>
      </c>
      <c r="W22" s="19" t="str">
        <f t="shared" si="15"/>
        <v>123  ·  CONTROLE DE ACESSO - VICE PRESIDÊNCIA  ·  SNP</v>
      </c>
      <c r="X22" s="21">
        <f t="shared" si="16"/>
        <v>11</v>
      </c>
      <c r="Y22" s="21">
        <f t="shared" si="17"/>
        <v>0</v>
      </c>
    </row>
    <row r="23" spans="1:25" x14ac:dyDescent="0.3">
      <c r="A23" s="21">
        <f>IF(Cadastro!$B23="","",Cadastro!$B23)</f>
        <v>123</v>
      </c>
      <c r="B23" s="21">
        <f>IF(Cadastro!$C23="","",Cadastro!$C23)</f>
        <v>86736</v>
      </c>
      <c r="C23" s="19" t="str">
        <f t="shared" si="0"/>
        <v>UNIDADE CONTROLE ACESSOS ELETR LCD 7POL FACIAL 218X118X24,20MM C/SUPORTE DAHUA TECH/DHI-ASI7213S-W</v>
      </c>
      <c r="D23" s="19" t="str">
        <f t="shared" si="1"/>
        <v>COLETOR FACIAL</v>
      </c>
      <c r="E23" s="23">
        <f>N(Cadastro!$F23)</f>
        <v>4</v>
      </c>
      <c r="F23" s="21">
        <f t="shared" si="2"/>
        <v>4</v>
      </c>
      <c r="G23" s="21">
        <f t="shared" si="3"/>
        <v>4</v>
      </c>
      <c r="H23" s="21">
        <f t="shared" si="4"/>
        <v>4</v>
      </c>
      <c r="I23" s="23">
        <f>N(Cadastro!$R23)</f>
        <v>4</v>
      </c>
      <c r="J23" s="23">
        <f>N(Cadastro!$S23)</f>
        <v>0</v>
      </c>
      <c r="K23" s="23">
        <f>N(Cadastro!$T23)</f>
        <v>0</v>
      </c>
      <c r="L23" s="23">
        <f>N(Cadastro!$U23)</f>
        <v>0</v>
      </c>
      <c r="M23" s="21">
        <f t="shared" si="5"/>
        <v>0</v>
      </c>
      <c r="N23" s="21">
        <f t="shared" si="6"/>
        <v>0</v>
      </c>
      <c r="O23" s="21">
        <f t="shared" si="7"/>
        <v>0</v>
      </c>
      <c r="P23" s="21">
        <f t="shared" si="8"/>
        <v>0</v>
      </c>
      <c r="Q23" s="21">
        <f t="shared" si="9"/>
        <v>-4</v>
      </c>
      <c r="R23" s="21">
        <f t="shared" si="10"/>
        <v>0</v>
      </c>
      <c r="S23" s="21">
        <f t="shared" si="11"/>
        <v>0</v>
      </c>
      <c r="T23" s="19" t="str">
        <f t="shared" si="12"/>
        <v>MATERIAL NÃO INSTALADO</v>
      </c>
      <c r="U23" s="21">
        <f t="shared" si="13"/>
        <v>4</v>
      </c>
      <c r="V23" s="19" t="str">
        <f t="shared" si="14"/>
        <v>SNP</v>
      </c>
      <c r="W23" s="19" t="str">
        <f t="shared" si="15"/>
        <v>123  ·  CONTROLE DE ACESSO - VICE PRESIDÊNCIA  ·  SNP</v>
      </c>
      <c r="X23" s="21">
        <f t="shared" si="16"/>
        <v>11</v>
      </c>
      <c r="Y23" s="21">
        <f t="shared" si="17"/>
        <v>1</v>
      </c>
    </row>
    <row r="24" spans="1:25" x14ac:dyDescent="0.3">
      <c r="A24" s="21" t="str">
        <f>IF(Cadastro!$B24="","",Cadastro!$B24)</f>
        <v>N/A59</v>
      </c>
      <c r="B24" s="21">
        <f>IF(Cadastro!$C24="","",Cadastro!$C24)</f>
        <v>63489</v>
      </c>
      <c r="C24" s="19" t="str">
        <f t="shared" si="0"/>
        <v>HFW2431S-S-S2</v>
      </c>
      <c r="D24" s="19" t="str">
        <f t="shared" si="1"/>
        <v>CÂMERA</v>
      </c>
      <c r="E24" s="23">
        <f>N(Cadastro!$F24)</f>
        <v>60</v>
      </c>
      <c r="F24" s="21">
        <f t="shared" si="2"/>
        <v>60</v>
      </c>
      <c r="G24" s="21">
        <f t="shared" si="3"/>
        <v>60</v>
      </c>
      <c r="H24" s="21">
        <f t="shared" si="4"/>
        <v>0</v>
      </c>
      <c r="I24" s="23">
        <f>N(Cadastro!$R24)</f>
        <v>60</v>
      </c>
      <c r="J24" s="23">
        <f>N(Cadastro!$S24)</f>
        <v>0</v>
      </c>
      <c r="K24" s="23">
        <f>N(Cadastro!$T24)</f>
        <v>0</v>
      </c>
      <c r="L24" s="23">
        <f>N(Cadastro!$U24)</f>
        <v>0</v>
      </c>
      <c r="M24" s="21">
        <f t="shared" si="5"/>
        <v>0</v>
      </c>
      <c r="N24" s="21">
        <f t="shared" si="6"/>
        <v>0</v>
      </c>
      <c r="O24" s="21">
        <f t="shared" si="7"/>
        <v>-60</v>
      </c>
      <c r="P24" s="21">
        <f t="shared" si="8"/>
        <v>60</v>
      </c>
      <c r="Q24" s="21">
        <f t="shared" si="9"/>
        <v>-60</v>
      </c>
      <c r="R24" s="21">
        <f t="shared" si="10"/>
        <v>0</v>
      </c>
      <c r="S24" s="21">
        <f t="shared" si="11"/>
        <v>0</v>
      </c>
      <c r="T24" s="19" t="str">
        <f t="shared" si="12"/>
        <v>EM DIA COM A ETAPA</v>
      </c>
      <c r="U24" s="21">
        <f t="shared" si="13"/>
        <v>60</v>
      </c>
      <c r="V24" s="19" t="str">
        <f t="shared" si="14"/>
        <v>RND</v>
      </c>
      <c r="W24" s="19" t="str">
        <f t="shared" si="15"/>
        <v>N/A59  ·  PRÉDIO ADM  ·  RND</v>
      </c>
      <c r="X24" s="21">
        <f t="shared" si="16"/>
        <v>3</v>
      </c>
      <c r="Y24" s="21">
        <f t="shared" si="17"/>
        <v>0</v>
      </c>
    </row>
    <row r="25" spans="1:25" x14ac:dyDescent="0.3">
      <c r="A25" s="21" t="str">
        <f>IF(Cadastro!$B25="","",Cadastro!$B25)</f>
        <v>N/A59</v>
      </c>
      <c r="B25" s="21">
        <f>IF(Cadastro!$C25="","",Cadastro!$C25)</f>
        <v>54792</v>
      </c>
      <c r="C25" s="19" t="str">
        <f t="shared" si="0"/>
        <v>HDBW2230E-S-S2</v>
      </c>
      <c r="D25" s="19" t="str">
        <f t="shared" si="1"/>
        <v>CÂMERA</v>
      </c>
      <c r="E25" s="23">
        <f>N(Cadastro!$F25)</f>
        <v>130</v>
      </c>
      <c r="F25" s="21">
        <f t="shared" si="2"/>
        <v>130</v>
      </c>
      <c r="G25" s="21">
        <f t="shared" si="3"/>
        <v>130</v>
      </c>
      <c r="H25" s="21">
        <f t="shared" si="4"/>
        <v>0</v>
      </c>
      <c r="I25" s="23">
        <f>N(Cadastro!$R25)</f>
        <v>130</v>
      </c>
      <c r="J25" s="23">
        <f>N(Cadastro!$S25)</f>
        <v>0</v>
      </c>
      <c r="K25" s="23">
        <f>N(Cadastro!$T25)</f>
        <v>0</v>
      </c>
      <c r="L25" s="23">
        <f>N(Cadastro!$U25)</f>
        <v>0</v>
      </c>
      <c r="M25" s="21">
        <f t="shared" si="5"/>
        <v>0</v>
      </c>
      <c r="N25" s="21">
        <f t="shared" si="6"/>
        <v>0</v>
      </c>
      <c r="O25" s="21">
        <f t="shared" si="7"/>
        <v>-130</v>
      </c>
      <c r="P25" s="21">
        <f t="shared" si="8"/>
        <v>130</v>
      </c>
      <c r="Q25" s="21">
        <f t="shared" si="9"/>
        <v>-130</v>
      </c>
      <c r="R25" s="21">
        <f t="shared" si="10"/>
        <v>0</v>
      </c>
      <c r="S25" s="21">
        <f t="shared" si="11"/>
        <v>0</v>
      </c>
      <c r="T25" s="19" t="str">
        <f t="shared" si="12"/>
        <v>EM DIA COM A ETAPA</v>
      </c>
      <c r="U25" s="21">
        <f t="shared" si="13"/>
        <v>130</v>
      </c>
      <c r="V25" s="19" t="str">
        <f t="shared" si="14"/>
        <v>RND</v>
      </c>
      <c r="W25" s="19" t="str">
        <f t="shared" si="15"/>
        <v>N/A59  ·  PRÉDIO ADM  ·  RND</v>
      </c>
      <c r="X25" s="21">
        <f t="shared" si="16"/>
        <v>3</v>
      </c>
      <c r="Y25" s="21">
        <f t="shared" si="17"/>
        <v>0</v>
      </c>
    </row>
    <row r="26" spans="1:25" x14ac:dyDescent="0.3">
      <c r="A26" s="21" t="str">
        <f>IF(Cadastro!$B26="","",Cadastro!$B26)</f>
        <v/>
      </c>
      <c r="B26" s="21" t="str">
        <f>IF(Cadastro!$C26="","",Cadastro!$C26)</f>
        <v/>
      </c>
      <c r="C26" s="19" t="str">
        <f t="shared" si="0"/>
        <v/>
      </c>
      <c r="D26" s="19" t="str">
        <f t="shared" si="1"/>
        <v/>
      </c>
      <c r="E26" s="23">
        <f>N(Cadastro!$F26)</f>
        <v>0</v>
      </c>
      <c r="F26" s="21" t="str">
        <f t="shared" si="2"/>
        <v/>
      </c>
      <c r="G26" s="21" t="str">
        <f t="shared" si="3"/>
        <v/>
      </c>
      <c r="H26" s="21" t="str">
        <f t="shared" si="4"/>
        <v/>
      </c>
      <c r="I26" s="23">
        <f>N(Cadastro!$R26)</f>
        <v>0</v>
      </c>
      <c r="J26" s="23">
        <f>N(Cadastro!$S26)</f>
        <v>0</v>
      </c>
      <c r="K26" s="23">
        <f>N(Cadastro!$T26)</f>
        <v>0</v>
      </c>
      <c r="L26" s="23">
        <f>N(Cadastro!$U26)</f>
        <v>0</v>
      </c>
      <c r="M26" s="21" t="str">
        <f t="shared" si="5"/>
        <v/>
      </c>
      <c r="N26" s="21" t="str">
        <f t="shared" si="6"/>
        <v/>
      </c>
      <c r="O26" s="21" t="str">
        <f t="shared" si="7"/>
        <v/>
      </c>
      <c r="P26" s="21" t="str">
        <f t="shared" si="8"/>
        <v/>
      </c>
      <c r="Q26" s="21" t="str">
        <f t="shared" si="9"/>
        <v/>
      </c>
      <c r="R26" s="21" t="str">
        <f t="shared" si="10"/>
        <v/>
      </c>
      <c r="S26" s="21" t="str">
        <f t="shared" si="11"/>
        <v/>
      </c>
      <c r="T26" s="19" t="str">
        <f t="shared" si="12"/>
        <v/>
      </c>
      <c r="U26" s="21" t="str">
        <f t="shared" si="13"/>
        <v/>
      </c>
      <c r="V26" s="19" t="str">
        <f t="shared" si="14"/>
        <v/>
      </c>
      <c r="W26" s="19" t="str">
        <f t="shared" si="15"/>
        <v/>
      </c>
      <c r="X26" s="21">
        <f t="shared" si="16"/>
        <v>0</v>
      </c>
      <c r="Y26" s="21">
        <f t="shared" si="17"/>
        <v>0</v>
      </c>
    </row>
    <row r="27" spans="1:25" x14ac:dyDescent="0.3">
      <c r="A27" s="21" t="str">
        <f>IF(Cadastro!$B27="","",Cadastro!$B27)</f>
        <v/>
      </c>
      <c r="B27" s="21" t="str">
        <f>IF(Cadastro!$C27="","",Cadastro!$C27)</f>
        <v/>
      </c>
      <c r="C27" s="19" t="str">
        <f t="shared" si="0"/>
        <v/>
      </c>
      <c r="D27" s="19" t="str">
        <f t="shared" si="1"/>
        <v/>
      </c>
      <c r="E27" s="23">
        <f>N(Cadastro!$F27)</f>
        <v>0</v>
      </c>
      <c r="F27" s="21" t="str">
        <f t="shared" si="2"/>
        <v/>
      </c>
      <c r="G27" s="21" t="str">
        <f t="shared" si="3"/>
        <v/>
      </c>
      <c r="H27" s="21" t="str">
        <f t="shared" si="4"/>
        <v/>
      </c>
      <c r="I27" s="23">
        <f>N(Cadastro!$R27)</f>
        <v>0</v>
      </c>
      <c r="J27" s="23">
        <f>N(Cadastro!$S27)</f>
        <v>0</v>
      </c>
      <c r="K27" s="23">
        <f>N(Cadastro!$T27)</f>
        <v>0</v>
      </c>
      <c r="L27" s="23">
        <f>N(Cadastro!$U27)</f>
        <v>0</v>
      </c>
      <c r="M27" s="21" t="str">
        <f t="shared" si="5"/>
        <v/>
      </c>
      <c r="N27" s="21" t="str">
        <f t="shared" si="6"/>
        <v/>
      </c>
      <c r="O27" s="21" t="str">
        <f t="shared" si="7"/>
        <v/>
      </c>
      <c r="P27" s="21" t="str">
        <f t="shared" si="8"/>
        <v/>
      </c>
      <c r="Q27" s="21" t="str">
        <f t="shared" si="9"/>
        <v/>
      </c>
      <c r="R27" s="21" t="str">
        <f t="shared" si="10"/>
        <v/>
      </c>
      <c r="S27" s="21" t="str">
        <f t="shared" si="11"/>
        <v/>
      </c>
      <c r="T27" s="19" t="str">
        <f t="shared" si="12"/>
        <v/>
      </c>
      <c r="U27" s="21" t="str">
        <f t="shared" si="13"/>
        <v/>
      </c>
      <c r="V27" s="19" t="str">
        <f t="shared" si="14"/>
        <v/>
      </c>
      <c r="W27" s="19" t="str">
        <f t="shared" si="15"/>
        <v/>
      </c>
      <c r="X27" s="21">
        <f t="shared" si="16"/>
        <v>0</v>
      </c>
      <c r="Y27" s="21">
        <f t="shared" si="17"/>
        <v>0</v>
      </c>
    </row>
    <row r="28" spans="1:25" x14ac:dyDescent="0.3">
      <c r="A28" s="21" t="str">
        <f>IF(Cadastro!$B28="","",Cadastro!$B28)</f>
        <v/>
      </c>
      <c r="B28" s="21" t="str">
        <f>IF(Cadastro!$C28="","",Cadastro!$C28)</f>
        <v/>
      </c>
      <c r="C28" s="19" t="str">
        <f t="shared" si="0"/>
        <v/>
      </c>
      <c r="D28" s="19" t="str">
        <f t="shared" si="1"/>
        <v/>
      </c>
      <c r="E28" s="23">
        <f>N(Cadastro!$F28)</f>
        <v>0</v>
      </c>
      <c r="F28" s="21" t="str">
        <f t="shared" si="2"/>
        <v/>
      </c>
      <c r="G28" s="21" t="str">
        <f t="shared" si="3"/>
        <v/>
      </c>
      <c r="H28" s="21" t="str">
        <f t="shared" si="4"/>
        <v/>
      </c>
      <c r="I28" s="23">
        <f>N(Cadastro!$R28)</f>
        <v>0</v>
      </c>
      <c r="J28" s="23">
        <f>N(Cadastro!$S28)</f>
        <v>0</v>
      </c>
      <c r="K28" s="23">
        <f>N(Cadastro!$T28)</f>
        <v>0</v>
      </c>
      <c r="L28" s="23">
        <f>N(Cadastro!$U28)</f>
        <v>0</v>
      </c>
      <c r="M28" s="21" t="str">
        <f t="shared" si="5"/>
        <v/>
      </c>
      <c r="N28" s="21" t="str">
        <f t="shared" si="6"/>
        <v/>
      </c>
      <c r="O28" s="21" t="str">
        <f t="shared" si="7"/>
        <v/>
      </c>
      <c r="P28" s="21" t="str">
        <f t="shared" si="8"/>
        <v/>
      </c>
      <c r="Q28" s="21" t="str">
        <f t="shared" si="9"/>
        <v/>
      </c>
      <c r="R28" s="21" t="str">
        <f t="shared" si="10"/>
        <v/>
      </c>
      <c r="S28" s="21" t="str">
        <f t="shared" si="11"/>
        <v/>
      </c>
      <c r="T28" s="19" t="str">
        <f t="shared" si="12"/>
        <v/>
      </c>
      <c r="U28" s="21" t="str">
        <f t="shared" si="13"/>
        <v/>
      </c>
      <c r="V28" s="19" t="str">
        <f t="shared" si="14"/>
        <v/>
      </c>
      <c r="W28" s="19" t="str">
        <f t="shared" si="15"/>
        <v/>
      </c>
      <c r="X28" s="21">
        <f t="shared" si="16"/>
        <v>0</v>
      </c>
      <c r="Y28" s="21">
        <f t="shared" si="17"/>
        <v>0</v>
      </c>
    </row>
    <row r="29" spans="1:25" x14ac:dyDescent="0.3">
      <c r="A29" s="21" t="str">
        <f>IF(Cadastro!$B29="","",Cadastro!$B29)</f>
        <v/>
      </c>
      <c r="B29" s="21" t="str">
        <f>IF(Cadastro!$C29="","",Cadastro!$C29)</f>
        <v/>
      </c>
      <c r="C29" s="19" t="str">
        <f t="shared" si="0"/>
        <v/>
      </c>
      <c r="D29" s="19" t="str">
        <f t="shared" si="1"/>
        <v/>
      </c>
      <c r="E29" s="23">
        <f>N(Cadastro!$F29)</f>
        <v>0</v>
      </c>
      <c r="F29" s="21" t="str">
        <f t="shared" si="2"/>
        <v/>
      </c>
      <c r="G29" s="21" t="str">
        <f t="shared" si="3"/>
        <v/>
      </c>
      <c r="H29" s="21" t="str">
        <f t="shared" si="4"/>
        <v/>
      </c>
      <c r="I29" s="23">
        <f>N(Cadastro!$R29)</f>
        <v>0</v>
      </c>
      <c r="J29" s="23">
        <f>N(Cadastro!$S29)</f>
        <v>0</v>
      </c>
      <c r="K29" s="23">
        <f>N(Cadastro!$T29)</f>
        <v>0</v>
      </c>
      <c r="L29" s="23">
        <f>N(Cadastro!$U29)</f>
        <v>0</v>
      </c>
      <c r="M29" s="21" t="str">
        <f t="shared" si="5"/>
        <v/>
      </c>
      <c r="N29" s="21" t="str">
        <f t="shared" si="6"/>
        <v/>
      </c>
      <c r="O29" s="21" t="str">
        <f t="shared" si="7"/>
        <v/>
      </c>
      <c r="P29" s="21" t="str">
        <f t="shared" si="8"/>
        <v/>
      </c>
      <c r="Q29" s="21" t="str">
        <f t="shared" si="9"/>
        <v/>
      </c>
      <c r="R29" s="21" t="str">
        <f t="shared" si="10"/>
        <v/>
      </c>
      <c r="S29" s="21" t="str">
        <f t="shared" si="11"/>
        <v/>
      </c>
      <c r="T29" s="19" t="str">
        <f t="shared" si="12"/>
        <v/>
      </c>
      <c r="U29" s="21" t="str">
        <f t="shared" si="13"/>
        <v/>
      </c>
      <c r="V29" s="19" t="str">
        <f t="shared" si="14"/>
        <v/>
      </c>
      <c r="W29" s="19" t="str">
        <f t="shared" si="15"/>
        <v/>
      </c>
      <c r="X29" s="21">
        <f t="shared" si="16"/>
        <v>0</v>
      </c>
      <c r="Y29" s="21">
        <f t="shared" si="17"/>
        <v>0</v>
      </c>
    </row>
    <row r="30" spans="1:25" x14ac:dyDescent="0.3">
      <c r="A30" s="21" t="str">
        <f>IF(Cadastro!$B30="","",Cadastro!$B30)</f>
        <v/>
      </c>
      <c r="B30" s="21" t="str">
        <f>IF(Cadastro!$C30="","",Cadastro!$C30)</f>
        <v/>
      </c>
      <c r="C30" s="19" t="str">
        <f t="shared" si="0"/>
        <v/>
      </c>
      <c r="D30" s="19" t="str">
        <f t="shared" si="1"/>
        <v/>
      </c>
      <c r="E30" s="23">
        <f>N(Cadastro!$F30)</f>
        <v>0</v>
      </c>
      <c r="F30" s="21" t="str">
        <f t="shared" si="2"/>
        <v/>
      </c>
      <c r="G30" s="21" t="str">
        <f t="shared" si="3"/>
        <v/>
      </c>
      <c r="H30" s="21" t="str">
        <f t="shared" si="4"/>
        <v/>
      </c>
      <c r="I30" s="23">
        <f>N(Cadastro!$R30)</f>
        <v>0</v>
      </c>
      <c r="J30" s="23">
        <f>N(Cadastro!$S30)</f>
        <v>0</v>
      </c>
      <c r="K30" s="23">
        <f>N(Cadastro!$T30)</f>
        <v>0</v>
      </c>
      <c r="L30" s="23">
        <f>N(Cadastro!$U30)</f>
        <v>0</v>
      </c>
      <c r="M30" s="21" t="str">
        <f t="shared" si="5"/>
        <v/>
      </c>
      <c r="N30" s="21" t="str">
        <f t="shared" si="6"/>
        <v/>
      </c>
      <c r="O30" s="21" t="str">
        <f t="shared" si="7"/>
        <v/>
      </c>
      <c r="P30" s="21" t="str">
        <f t="shared" si="8"/>
        <v/>
      </c>
      <c r="Q30" s="21" t="str">
        <f t="shared" si="9"/>
        <v/>
      </c>
      <c r="R30" s="21" t="str">
        <f t="shared" si="10"/>
        <v/>
      </c>
      <c r="S30" s="21" t="str">
        <f t="shared" si="11"/>
        <v/>
      </c>
      <c r="T30" s="19" t="str">
        <f t="shared" si="12"/>
        <v/>
      </c>
      <c r="U30" s="21" t="str">
        <f t="shared" si="13"/>
        <v/>
      </c>
      <c r="V30" s="19" t="str">
        <f t="shared" si="14"/>
        <v/>
      </c>
      <c r="W30" s="19" t="str">
        <f t="shared" si="15"/>
        <v/>
      </c>
      <c r="X30" s="21">
        <f t="shared" si="16"/>
        <v>0</v>
      </c>
      <c r="Y30" s="21">
        <f t="shared" si="17"/>
        <v>0</v>
      </c>
    </row>
    <row r="31" spans="1:25" x14ac:dyDescent="0.3">
      <c r="A31" s="21" t="str">
        <f>IF(Cadastro!$B31="","",Cadastro!$B31)</f>
        <v/>
      </c>
      <c r="B31" s="21" t="str">
        <f>IF(Cadastro!$C31="","",Cadastro!$C31)</f>
        <v/>
      </c>
      <c r="C31" s="19" t="str">
        <f t="shared" si="0"/>
        <v/>
      </c>
      <c r="D31" s="19" t="str">
        <f t="shared" si="1"/>
        <v/>
      </c>
      <c r="E31" s="23">
        <f>N(Cadastro!$F31)</f>
        <v>0</v>
      </c>
      <c r="F31" s="21" t="str">
        <f t="shared" si="2"/>
        <v/>
      </c>
      <c r="G31" s="21" t="str">
        <f t="shared" si="3"/>
        <v/>
      </c>
      <c r="H31" s="21" t="str">
        <f t="shared" si="4"/>
        <v/>
      </c>
      <c r="I31" s="23">
        <f>N(Cadastro!$R31)</f>
        <v>0</v>
      </c>
      <c r="J31" s="23">
        <f>N(Cadastro!$S31)</f>
        <v>0</v>
      </c>
      <c r="K31" s="23">
        <f>N(Cadastro!$T31)</f>
        <v>0</v>
      </c>
      <c r="L31" s="23">
        <f>N(Cadastro!$U31)</f>
        <v>0</v>
      </c>
      <c r="M31" s="21" t="str">
        <f t="shared" si="5"/>
        <v/>
      </c>
      <c r="N31" s="21" t="str">
        <f t="shared" si="6"/>
        <v/>
      </c>
      <c r="O31" s="21" t="str">
        <f t="shared" si="7"/>
        <v/>
      </c>
      <c r="P31" s="21" t="str">
        <f t="shared" si="8"/>
        <v/>
      </c>
      <c r="Q31" s="21" t="str">
        <f t="shared" si="9"/>
        <v/>
      </c>
      <c r="R31" s="21" t="str">
        <f t="shared" si="10"/>
        <v/>
      </c>
      <c r="S31" s="21" t="str">
        <f t="shared" si="11"/>
        <v/>
      </c>
      <c r="T31" s="19" t="str">
        <f t="shared" si="12"/>
        <v/>
      </c>
      <c r="U31" s="21" t="str">
        <f t="shared" si="13"/>
        <v/>
      </c>
      <c r="V31" s="19" t="str">
        <f t="shared" si="14"/>
        <v/>
      </c>
      <c r="W31" s="19" t="str">
        <f t="shared" si="15"/>
        <v/>
      </c>
      <c r="X31" s="21">
        <f t="shared" si="16"/>
        <v>0</v>
      </c>
      <c r="Y31" s="21">
        <f t="shared" si="17"/>
        <v>0</v>
      </c>
    </row>
    <row r="32" spans="1:25" x14ac:dyDescent="0.3">
      <c r="A32" s="21" t="str">
        <f>IF(Cadastro!$B32="","",Cadastro!$B32)</f>
        <v/>
      </c>
      <c r="B32" s="21" t="str">
        <f>IF(Cadastro!$C32="","",Cadastro!$C32)</f>
        <v/>
      </c>
      <c r="C32" s="19" t="str">
        <f t="shared" si="0"/>
        <v/>
      </c>
      <c r="D32" s="19" t="str">
        <f t="shared" si="1"/>
        <v/>
      </c>
      <c r="E32" s="23">
        <f>N(Cadastro!$F32)</f>
        <v>0</v>
      </c>
      <c r="F32" s="21" t="str">
        <f t="shared" si="2"/>
        <v/>
      </c>
      <c r="G32" s="21" t="str">
        <f t="shared" si="3"/>
        <v/>
      </c>
      <c r="H32" s="21" t="str">
        <f t="shared" si="4"/>
        <v/>
      </c>
      <c r="I32" s="23">
        <f>N(Cadastro!$R32)</f>
        <v>0</v>
      </c>
      <c r="J32" s="23">
        <f>N(Cadastro!$S32)</f>
        <v>0</v>
      </c>
      <c r="K32" s="23">
        <f>N(Cadastro!$T32)</f>
        <v>0</v>
      </c>
      <c r="L32" s="23">
        <f>N(Cadastro!$U32)</f>
        <v>0</v>
      </c>
      <c r="M32" s="21" t="str">
        <f t="shared" si="5"/>
        <v/>
      </c>
      <c r="N32" s="21" t="str">
        <f t="shared" si="6"/>
        <v/>
      </c>
      <c r="O32" s="21" t="str">
        <f t="shared" si="7"/>
        <v/>
      </c>
      <c r="P32" s="21" t="str">
        <f t="shared" si="8"/>
        <v/>
      </c>
      <c r="Q32" s="21" t="str">
        <f t="shared" si="9"/>
        <v/>
      </c>
      <c r="R32" s="21" t="str">
        <f t="shared" si="10"/>
        <v/>
      </c>
      <c r="S32" s="21" t="str">
        <f t="shared" si="11"/>
        <v/>
      </c>
      <c r="T32" s="19" t="str">
        <f t="shared" si="12"/>
        <v/>
      </c>
      <c r="U32" s="21" t="str">
        <f t="shared" si="13"/>
        <v/>
      </c>
      <c r="V32" s="19" t="str">
        <f t="shared" si="14"/>
        <v/>
      </c>
      <c r="W32" s="19" t="str">
        <f t="shared" si="15"/>
        <v/>
      </c>
      <c r="X32" s="21">
        <f t="shared" si="16"/>
        <v>0</v>
      </c>
      <c r="Y32" s="21">
        <f t="shared" si="17"/>
        <v>0</v>
      </c>
    </row>
    <row r="33" spans="1:25" x14ac:dyDescent="0.3">
      <c r="A33" s="21" t="str">
        <f>IF(Cadastro!$B33="","",Cadastro!$B33)</f>
        <v/>
      </c>
      <c r="B33" s="21" t="str">
        <f>IF(Cadastro!$C33="","",Cadastro!$C33)</f>
        <v/>
      </c>
      <c r="C33" s="19" t="str">
        <f t="shared" si="0"/>
        <v/>
      </c>
      <c r="D33" s="19" t="str">
        <f t="shared" si="1"/>
        <v/>
      </c>
      <c r="E33" s="23">
        <f>N(Cadastro!$F33)</f>
        <v>0</v>
      </c>
      <c r="F33" s="21" t="str">
        <f t="shared" si="2"/>
        <v/>
      </c>
      <c r="G33" s="21" t="str">
        <f t="shared" si="3"/>
        <v/>
      </c>
      <c r="H33" s="21" t="str">
        <f t="shared" si="4"/>
        <v/>
      </c>
      <c r="I33" s="23">
        <f>N(Cadastro!$R33)</f>
        <v>0</v>
      </c>
      <c r="J33" s="23">
        <f>N(Cadastro!$S33)</f>
        <v>0</v>
      </c>
      <c r="K33" s="23">
        <f>N(Cadastro!$T33)</f>
        <v>0</v>
      </c>
      <c r="L33" s="23">
        <f>N(Cadastro!$U33)</f>
        <v>0</v>
      </c>
      <c r="M33" s="21" t="str">
        <f t="shared" si="5"/>
        <v/>
      </c>
      <c r="N33" s="21" t="str">
        <f t="shared" si="6"/>
        <v/>
      </c>
      <c r="O33" s="21" t="str">
        <f t="shared" si="7"/>
        <v/>
      </c>
      <c r="P33" s="21" t="str">
        <f t="shared" si="8"/>
        <v/>
      </c>
      <c r="Q33" s="21" t="str">
        <f t="shared" si="9"/>
        <v/>
      </c>
      <c r="R33" s="21" t="str">
        <f t="shared" si="10"/>
        <v/>
      </c>
      <c r="S33" s="21" t="str">
        <f t="shared" si="11"/>
        <v/>
      </c>
      <c r="T33" s="19" t="str">
        <f t="shared" si="12"/>
        <v/>
      </c>
      <c r="U33" s="21" t="str">
        <f t="shared" si="13"/>
        <v/>
      </c>
      <c r="V33" s="19" t="str">
        <f t="shared" si="14"/>
        <v/>
      </c>
      <c r="W33" s="19" t="str">
        <f t="shared" si="15"/>
        <v/>
      </c>
      <c r="X33" s="21">
        <f t="shared" si="16"/>
        <v>0</v>
      </c>
      <c r="Y33" s="21">
        <f t="shared" si="17"/>
        <v>0</v>
      </c>
    </row>
    <row r="34" spans="1:25" x14ac:dyDescent="0.3">
      <c r="A34" s="21" t="str">
        <f>IF(Cadastro!$B34="","",Cadastro!$B34)</f>
        <v/>
      </c>
      <c r="B34" s="21" t="str">
        <f>IF(Cadastro!$C34="","",Cadastro!$C34)</f>
        <v/>
      </c>
      <c r="C34" s="19" t="str">
        <f t="shared" si="0"/>
        <v/>
      </c>
      <c r="D34" s="19" t="str">
        <f t="shared" si="1"/>
        <v/>
      </c>
      <c r="E34" s="23">
        <f>N(Cadastro!$F34)</f>
        <v>0</v>
      </c>
      <c r="F34" s="21" t="str">
        <f t="shared" si="2"/>
        <v/>
      </c>
      <c r="G34" s="21" t="str">
        <f t="shared" si="3"/>
        <v/>
      </c>
      <c r="H34" s="21" t="str">
        <f t="shared" si="4"/>
        <v/>
      </c>
      <c r="I34" s="23">
        <f>N(Cadastro!$R34)</f>
        <v>0</v>
      </c>
      <c r="J34" s="23">
        <f>N(Cadastro!$S34)</f>
        <v>0</v>
      </c>
      <c r="K34" s="23">
        <f>N(Cadastro!$T34)</f>
        <v>0</v>
      </c>
      <c r="L34" s="23">
        <f>N(Cadastro!$U34)</f>
        <v>0</v>
      </c>
      <c r="M34" s="21" t="str">
        <f t="shared" si="5"/>
        <v/>
      </c>
      <c r="N34" s="21" t="str">
        <f t="shared" si="6"/>
        <v/>
      </c>
      <c r="O34" s="21" t="str">
        <f t="shared" si="7"/>
        <v/>
      </c>
      <c r="P34" s="21" t="str">
        <f t="shared" si="8"/>
        <v/>
      </c>
      <c r="Q34" s="21" t="str">
        <f t="shared" si="9"/>
        <v/>
      </c>
      <c r="R34" s="21" t="str">
        <f t="shared" si="10"/>
        <v/>
      </c>
      <c r="S34" s="21" t="str">
        <f t="shared" si="11"/>
        <v/>
      </c>
      <c r="T34" s="19" t="str">
        <f t="shared" si="12"/>
        <v/>
      </c>
      <c r="U34" s="21" t="str">
        <f t="shared" si="13"/>
        <v/>
      </c>
      <c r="V34" s="19" t="str">
        <f t="shared" si="14"/>
        <v/>
      </c>
      <c r="W34" s="19" t="str">
        <f t="shared" si="15"/>
        <v/>
      </c>
      <c r="X34" s="21">
        <f t="shared" si="16"/>
        <v>0</v>
      </c>
      <c r="Y34" s="21">
        <f t="shared" si="17"/>
        <v>0</v>
      </c>
    </row>
    <row r="35" spans="1:25" x14ac:dyDescent="0.3">
      <c r="A35" s="21" t="str">
        <f>IF(Cadastro!$B35="","",Cadastro!$B35)</f>
        <v/>
      </c>
      <c r="B35" s="21" t="str">
        <f>IF(Cadastro!$C35="","",Cadastro!$C35)</f>
        <v/>
      </c>
      <c r="C35" s="19" t="str">
        <f t="shared" si="0"/>
        <v/>
      </c>
      <c r="D35" s="19" t="str">
        <f t="shared" si="1"/>
        <v/>
      </c>
      <c r="E35" s="23">
        <f>N(Cadastro!$F35)</f>
        <v>0</v>
      </c>
      <c r="F35" s="21" t="str">
        <f t="shared" si="2"/>
        <v/>
      </c>
      <c r="G35" s="21" t="str">
        <f t="shared" si="3"/>
        <v/>
      </c>
      <c r="H35" s="21" t="str">
        <f t="shared" si="4"/>
        <v/>
      </c>
      <c r="I35" s="23">
        <f>N(Cadastro!$R35)</f>
        <v>0</v>
      </c>
      <c r="J35" s="23">
        <f>N(Cadastro!$S35)</f>
        <v>0</v>
      </c>
      <c r="K35" s="23">
        <f>N(Cadastro!$T35)</f>
        <v>0</v>
      </c>
      <c r="L35" s="23">
        <f>N(Cadastro!$U35)</f>
        <v>0</v>
      </c>
      <c r="M35" s="21" t="str">
        <f t="shared" si="5"/>
        <v/>
      </c>
      <c r="N35" s="21" t="str">
        <f t="shared" si="6"/>
        <v/>
      </c>
      <c r="O35" s="21" t="str">
        <f t="shared" si="7"/>
        <v/>
      </c>
      <c r="P35" s="21" t="str">
        <f t="shared" si="8"/>
        <v/>
      </c>
      <c r="Q35" s="21" t="str">
        <f t="shared" si="9"/>
        <v/>
      </c>
      <c r="R35" s="21" t="str">
        <f t="shared" si="10"/>
        <v/>
      </c>
      <c r="S35" s="21" t="str">
        <f t="shared" si="11"/>
        <v/>
      </c>
      <c r="T35" s="19" t="str">
        <f t="shared" si="12"/>
        <v/>
      </c>
      <c r="U35" s="21" t="str">
        <f t="shared" si="13"/>
        <v/>
      </c>
      <c r="V35" s="19" t="str">
        <f t="shared" si="14"/>
        <v/>
      </c>
      <c r="W35" s="19" t="str">
        <f t="shared" si="15"/>
        <v/>
      </c>
      <c r="X35" s="21">
        <f t="shared" si="16"/>
        <v>0</v>
      </c>
      <c r="Y35" s="21">
        <f t="shared" si="17"/>
        <v>0</v>
      </c>
    </row>
    <row r="36" spans="1:25" x14ac:dyDescent="0.3">
      <c r="A36" s="21" t="str">
        <f>IF(Cadastro!$B36="","",Cadastro!$B36)</f>
        <v/>
      </c>
      <c r="B36" s="21" t="str">
        <f>IF(Cadastro!$C36="","",Cadastro!$C36)</f>
        <v/>
      </c>
      <c r="C36" s="19" t="str">
        <f t="shared" si="0"/>
        <v/>
      </c>
      <c r="D36" s="19" t="str">
        <f t="shared" si="1"/>
        <v/>
      </c>
      <c r="E36" s="23">
        <f>N(Cadastro!$F36)</f>
        <v>0</v>
      </c>
      <c r="F36" s="21" t="str">
        <f t="shared" si="2"/>
        <v/>
      </c>
      <c r="G36" s="21" t="str">
        <f t="shared" si="3"/>
        <v/>
      </c>
      <c r="H36" s="21" t="str">
        <f t="shared" si="4"/>
        <v/>
      </c>
      <c r="I36" s="23">
        <f>N(Cadastro!$R36)</f>
        <v>0</v>
      </c>
      <c r="J36" s="23">
        <f>N(Cadastro!$S36)</f>
        <v>0</v>
      </c>
      <c r="K36" s="23">
        <f>N(Cadastro!$T36)</f>
        <v>0</v>
      </c>
      <c r="L36" s="23">
        <f>N(Cadastro!$U36)</f>
        <v>0</v>
      </c>
      <c r="M36" s="21" t="str">
        <f t="shared" si="5"/>
        <v/>
      </c>
      <c r="N36" s="21" t="str">
        <f t="shared" si="6"/>
        <v/>
      </c>
      <c r="O36" s="21" t="str">
        <f t="shared" si="7"/>
        <v/>
      </c>
      <c r="P36" s="21" t="str">
        <f t="shared" si="8"/>
        <v/>
      </c>
      <c r="Q36" s="21" t="str">
        <f t="shared" si="9"/>
        <v/>
      </c>
      <c r="R36" s="21" t="str">
        <f t="shared" si="10"/>
        <v/>
      </c>
      <c r="S36" s="21" t="str">
        <f t="shared" si="11"/>
        <v/>
      </c>
      <c r="T36" s="19" t="str">
        <f t="shared" si="12"/>
        <v/>
      </c>
      <c r="U36" s="21" t="str">
        <f t="shared" si="13"/>
        <v/>
      </c>
      <c r="V36" s="19" t="str">
        <f t="shared" si="14"/>
        <v/>
      </c>
      <c r="W36" s="19" t="str">
        <f t="shared" si="15"/>
        <v/>
      </c>
      <c r="X36" s="21">
        <f t="shared" si="16"/>
        <v>0</v>
      </c>
      <c r="Y36" s="21">
        <f t="shared" si="17"/>
        <v>0</v>
      </c>
    </row>
    <row r="37" spans="1:25" x14ac:dyDescent="0.3">
      <c r="A37" s="21" t="str">
        <f>IF(Cadastro!$B37="","",Cadastro!$B37)</f>
        <v/>
      </c>
      <c r="B37" s="21" t="str">
        <f>IF(Cadastro!$C37="","",Cadastro!$C37)</f>
        <v/>
      </c>
      <c r="C37" s="19" t="str">
        <f t="shared" ref="C37:C68" si="18">IF($B37="","",IFERROR(INDEX(Prod_Desc,MATCH($B37,Prod_Cod,0)),"PRODUTO NÃO CADASTRADO"))</f>
        <v/>
      </c>
      <c r="D37" s="19" t="str">
        <f t="shared" ref="D37:D68" si="19">IF($B37="","",IFERROR(INDEX(Prod_Tipo,MATCH($B37,Prod_Cod,0)),"NÃO CLASSIFICADO"))</f>
        <v/>
      </c>
      <c r="E37" s="23">
        <f>N(Cadastro!$F37)</f>
        <v>0</v>
      </c>
      <c r="F37" s="21" t="str">
        <f t="shared" ref="F37:F68" si="20">IF($A37="","",SUMIFS(SC_Qtd,SC_Cham,$A37,SC_Prod,$B37))</f>
        <v/>
      </c>
      <c r="G37" s="21" t="str">
        <f t="shared" ref="G37:G68" si="21">IF($A37="","",SUMIFS(OC_Qtd,OC_Cham,$A37,OC_Prod,$B37))</f>
        <v/>
      </c>
      <c r="H37" s="21" t="str">
        <f t="shared" ref="H37:H68" si="22">IF($A37="","",SUMIFS(Ent_Qtd,Ent_Cham,$A37,Ent_Prod,$B37))</f>
        <v/>
      </c>
      <c r="I37" s="23">
        <f>N(Cadastro!$R37)</f>
        <v>0</v>
      </c>
      <c r="J37" s="23">
        <f>N(Cadastro!$S37)</f>
        <v>0</v>
      </c>
      <c r="K37" s="23">
        <f>N(Cadastro!$T37)</f>
        <v>0</v>
      </c>
      <c r="L37" s="23">
        <f>N(Cadastro!$U37)</f>
        <v>0</v>
      </c>
      <c r="M37" s="21" t="str">
        <f t="shared" ref="M37:M68" si="23">IF($A37="","",N($F37)-N($E37))</f>
        <v/>
      </c>
      <c r="N37" s="21" t="str">
        <f t="shared" ref="N37:N68" si="24">IF($A37="","",N($G37)-N($F37))</f>
        <v/>
      </c>
      <c r="O37" s="21" t="str">
        <f t="shared" ref="O37:O68" si="25">IF($A37="","",N($H37)-N($G37))</f>
        <v/>
      </c>
      <c r="P37" s="21" t="str">
        <f t="shared" ref="P37:P68" si="26">IF($A37="","",N($I37)-N($H37))</f>
        <v/>
      </c>
      <c r="Q37" s="21" t="str">
        <f t="shared" ref="Q37:Q68" si="27">IF($A37="","",N($J37)-N($I37))</f>
        <v/>
      </c>
      <c r="R37" s="21" t="str">
        <f t="shared" ref="R37:R68" si="28">IF($A37="","",N($K37)-N($J37))</f>
        <v/>
      </c>
      <c r="S37" s="21" t="str">
        <f t="shared" ref="S37:S68" si="29">IF($A37="","",N($L37)-N($K37))</f>
        <v/>
      </c>
      <c r="T37" s="19" t="str">
        <f t="shared" ref="T37:T68" si="30">IF($A37="","",IF(AND($X37&gt;2,$M37&lt;&gt;0),"DIVERGÊNCIA NA SOLICITAÇÃO",IF(AND($X37&gt;3,$N37&lt;&gt;0),"DIVERGÊNCIA NA COMPRA",IF(AND($X37&gt;4,$O37&lt;&gt;0),"MATERIAL NÃO RECEBIDO",IF(AND($X37&gt;5,$P37&lt;&gt;0),"MATERIAL NÃO LIBERADO",IF(AND($X37&gt;8,$Q37&lt;&gt;0),"MATERIAL NÃO INSTALADO",IF(AND($X37&gt;9,$R37&lt;&gt;0),"INSTALADO SEM IP",IF(AND($X37&gt;10,$S37&lt;&gt;0),"IP NÃO INCLUÍDO NO VMS",IF(OR($M37&lt;&gt;0,$N37&lt;&gt;0,$O37&lt;&gt;0,$P37&lt;&gt;0,$Q37&lt;&gt;0,$R37&lt;&gt;0,$S37&lt;&gt;0),"EM DIA COM A ETAPA","OK")))))))))</f>
        <v/>
      </c>
      <c r="U37" s="21" t="str">
        <f t="shared" ref="U37:U68" si="31">IF($A37="","",MAX(N($E37)-N($L37),0))</f>
        <v/>
      </c>
      <c r="V37" s="19" t="str">
        <f t="shared" ref="V37:V68" si="32">IF($A37="","",IFERROR(INDEX(Proj_Unid,MATCH($A37,Proj_Cham,0)),""))</f>
        <v/>
      </c>
      <c r="W37" s="19" t="str">
        <f t="shared" ref="W37:W68" si="33">IF($A37="","",IFERROR(INDEX(Proj_Rotulo,MATCH($A37,Proj_Cham,0)),""))</f>
        <v/>
      </c>
      <c r="X37" s="21">
        <f t="shared" ref="X37:X68" si="34">IF($A37="",0,IFERROR(INDEX(Proj_OrdEtapa,MATCH($A37,Proj_Cham,0)),0))</f>
        <v>0</v>
      </c>
      <c r="Y37" s="21">
        <f t="shared" ref="Y37:Y68" si="35">IF(OR($T37="",$T37="OK",$T37="EM DIA COM A ETAPA"),0,1)</f>
        <v>0</v>
      </c>
    </row>
    <row r="38" spans="1:25" x14ac:dyDescent="0.3">
      <c r="A38" s="21" t="str">
        <f>IF(Cadastro!$B38="","",Cadastro!$B38)</f>
        <v/>
      </c>
      <c r="B38" s="21" t="str">
        <f>IF(Cadastro!$C38="","",Cadastro!$C38)</f>
        <v/>
      </c>
      <c r="C38" s="19" t="str">
        <f t="shared" si="18"/>
        <v/>
      </c>
      <c r="D38" s="19" t="str">
        <f t="shared" si="19"/>
        <v/>
      </c>
      <c r="E38" s="23">
        <f>N(Cadastro!$F38)</f>
        <v>0</v>
      </c>
      <c r="F38" s="21" t="str">
        <f t="shared" si="20"/>
        <v/>
      </c>
      <c r="G38" s="21" t="str">
        <f t="shared" si="21"/>
        <v/>
      </c>
      <c r="H38" s="21" t="str">
        <f t="shared" si="22"/>
        <v/>
      </c>
      <c r="I38" s="23">
        <f>N(Cadastro!$R38)</f>
        <v>0</v>
      </c>
      <c r="J38" s="23">
        <f>N(Cadastro!$S38)</f>
        <v>0</v>
      </c>
      <c r="K38" s="23">
        <f>N(Cadastro!$T38)</f>
        <v>0</v>
      </c>
      <c r="L38" s="23">
        <f>N(Cadastro!$U38)</f>
        <v>0</v>
      </c>
      <c r="M38" s="21" t="str">
        <f t="shared" si="23"/>
        <v/>
      </c>
      <c r="N38" s="21" t="str">
        <f t="shared" si="24"/>
        <v/>
      </c>
      <c r="O38" s="21" t="str">
        <f t="shared" si="25"/>
        <v/>
      </c>
      <c r="P38" s="21" t="str">
        <f t="shared" si="26"/>
        <v/>
      </c>
      <c r="Q38" s="21" t="str">
        <f t="shared" si="27"/>
        <v/>
      </c>
      <c r="R38" s="21" t="str">
        <f t="shared" si="28"/>
        <v/>
      </c>
      <c r="S38" s="21" t="str">
        <f t="shared" si="29"/>
        <v/>
      </c>
      <c r="T38" s="19" t="str">
        <f t="shared" si="30"/>
        <v/>
      </c>
      <c r="U38" s="21" t="str">
        <f t="shared" si="31"/>
        <v/>
      </c>
      <c r="V38" s="19" t="str">
        <f t="shared" si="32"/>
        <v/>
      </c>
      <c r="W38" s="19" t="str">
        <f t="shared" si="33"/>
        <v/>
      </c>
      <c r="X38" s="21">
        <f t="shared" si="34"/>
        <v>0</v>
      </c>
      <c r="Y38" s="21">
        <f t="shared" si="35"/>
        <v>0</v>
      </c>
    </row>
    <row r="39" spans="1:25" x14ac:dyDescent="0.3">
      <c r="A39" s="21" t="str">
        <f>IF(Cadastro!$B39="","",Cadastro!$B39)</f>
        <v/>
      </c>
      <c r="B39" s="21" t="str">
        <f>IF(Cadastro!$C39="","",Cadastro!$C39)</f>
        <v/>
      </c>
      <c r="C39" s="19" t="str">
        <f t="shared" si="18"/>
        <v/>
      </c>
      <c r="D39" s="19" t="str">
        <f t="shared" si="19"/>
        <v/>
      </c>
      <c r="E39" s="23">
        <f>N(Cadastro!$F39)</f>
        <v>0</v>
      </c>
      <c r="F39" s="21" t="str">
        <f t="shared" si="20"/>
        <v/>
      </c>
      <c r="G39" s="21" t="str">
        <f t="shared" si="21"/>
        <v/>
      </c>
      <c r="H39" s="21" t="str">
        <f t="shared" si="22"/>
        <v/>
      </c>
      <c r="I39" s="23">
        <f>N(Cadastro!$R39)</f>
        <v>0</v>
      </c>
      <c r="J39" s="23">
        <f>N(Cadastro!$S39)</f>
        <v>0</v>
      </c>
      <c r="K39" s="23">
        <f>N(Cadastro!$T39)</f>
        <v>0</v>
      </c>
      <c r="L39" s="23">
        <f>N(Cadastro!$U39)</f>
        <v>0</v>
      </c>
      <c r="M39" s="21" t="str">
        <f t="shared" si="23"/>
        <v/>
      </c>
      <c r="N39" s="21" t="str">
        <f t="shared" si="24"/>
        <v/>
      </c>
      <c r="O39" s="21" t="str">
        <f t="shared" si="25"/>
        <v/>
      </c>
      <c r="P39" s="21" t="str">
        <f t="shared" si="26"/>
        <v/>
      </c>
      <c r="Q39" s="21" t="str">
        <f t="shared" si="27"/>
        <v/>
      </c>
      <c r="R39" s="21" t="str">
        <f t="shared" si="28"/>
        <v/>
      </c>
      <c r="S39" s="21" t="str">
        <f t="shared" si="29"/>
        <v/>
      </c>
      <c r="T39" s="19" t="str">
        <f t="shared" si="30"/>
        <v/>
      </c>
      <c r="U39" s="21" t="str">
        <f t="shared" si="31"/>
        <v/>
      </c>
      <c r="V39" s="19" t="str">
        <f t="shared" si="32"/>
        <v/>
      </c>
      <c r="W39" s="19" t="str">
        <f t="shared" si="33"/>
        <v/>
      </c>
      <c r="X39" s="21">
        <f t="shared" si="34"/>
        <v>0</v>
      </c>
      <c r="Y39" s="21">
        <f t="shared" si="35"/>
        <v>0</v>
      </c>
    </row>
    <row r="40" spans="1:25" x14ac:dyDescent="0.3">
      <c r="A40" s="21" t="str">
        <f>IF(Cadastro!$B40="","",Cadastro!$B40)</f>
        <v/>
      </c>
      <c r="B40" s="21" t="str">
        <f>IF(Cadastro!$C40="","",Cadastro!$C40)</f>
        <v/>
      </c>
      <c r="C40" s="19" t="str">
        <f t="shared" si="18"/>
        <v/>
      </c>
      <c r="D40" s="19" t="str">
        <f t="shared" si="19"/>
        <v/>
      </c>
      <c r="E40" s="23">
        <f>N(Cadastro!$F40)</f>
        <v>0</v>
      </c>
      <c r="F40" s="21" t="str">
        <f t="shared" si="20"/>
        <v/>
      </c>
      <c r="G40" s="21" t="str">
        <f t="shared" si="21"/>
        <v/>
      </c>
      <c r="H40" s="21" t="str">
        <f t="shared" si="22"/>
        <v/>
      </c>
      <c r="I40" s="23">
        <f>N(Cadastro!$R40)</f>
        <v>0</v>
      </c>
      <c r="J40" s="23">
        <f>N(Cadastro!$S40)</f>
        <v>0</v>
      </c>
      <c r="K40" s="23">
        <f>N(Cadastro!$T40)</f>
        <v>0</v>
      </c>
      <c r="L40" s="23">
        <f>N(Cadastro!$U40)</f>
        <v>0</v>
      </c>
      <c r="M40" s="21" t="str">
        <f t="shared" si="23"/>
        <v/>
      </c>
      <c r="N40" s="21" t="str">
        <f t="shared" si="24"/>
        <v/>
      </c>
      <c r="O40" s="21" t="str">
        <f t="shared" si="25"/>
        <v/>
      </c>
      <c r="P40" s="21" t="str">
        <f t="shared" si="26"/>
        <v/>
      </c>
      <c r="Q40" s="21" t="str">
        <f t="shared" si="27"/>
        <v/>
      </c>
      <c r="R40" s="21" t="str">
        <f t="shared" si="28"/>
        <v/>
      </c>
      <c r="S40" s="21" t="str">
        <f t="shared" si="29"/>
        <v/>
      </c>
      <c r="T40" s="19" t="str">
        <f t="shared" si="30"/>
        <v/>
      </c>
      <c r="U40" s="21" t="str">
        <f t="shared" si="31"/>
        <v/>
      </c>
      <c r="V40" s="19" t="str">
        <f t="shared" si="32"/>
        <v/>
      </c>
      <c r="W40" s="19" t="str">
        <f t="shared" si="33"/>
        <v/>
      </c>
      <c r="X40" s="21">
        <f t="shared" si="34"/>
        <v>0</v>
      </c>
      <c r="Y40" s="21">
        <f t="shared" si="35"/>
        <v>0</v>
      </c>
    </row>
    <row r="41" spans="1:25" x14ac:dyDescent="0.3">
      <c r="A41" s="21" t="str">
        <f>IF(Cadastro!$B41="","",Cadastro!$B41)</f>
        <v/>
      </c>
      <c r="B41" s="21" t="str">
        <f>IF(Cadastro!$C41="","",Cadastro!$C41)</f>
        <v/>
      </c>
      <c r="C41" s="19" t="str">
        <f t="shared" si="18"/>
        <v/>
      </c>
      <c r="D41" s="19" t="str">
        <f t="shared" si="19"/>
        <v/>
      </c>
      <c r="E41" s="23">
        <f>N(Cadastro!$F41)</f>
        <v>0</v>
      </c>
      <c r="F41" s="21" t="str">
        <f t="shared" si="20"/>
        <v/>
      </c>
      <c r="G41" s="21" t="str">
        <f t="shared" si="21"/>
        <v/>
      </c>
      <c r="H41" s="21" t="str">
        <f t="shared" si="22"/>
        <v/>
      </c>
      <c r="I41" s="23">
        <f>N(Cadastro!$R41)</f>
        <v>0</v>
      </c>
      <c r="J41" s="23">
        <f>N(Cadastro!$S41)</f>
        <v>0</v>
      </c>
      <c r="K41" s="23">
        <f>N(Cadastro!$T41)</f>
        <v>0</v>
      </c>
      <c r="L41" s="23">
        <f>N(Cadastro!$U41)</f>
        <v>0</v>
      </c>
      <c r="M41" s="21" t="str">
        <f t="shared" si="23"/>
        <v/>
      </c>
      <c r="N41" s="21" t="str">
        <f t="shared" si="24"/>
        <v/>
      </c>
      <c r="O41" s="21" t="str">
        <f t="shared" si="25"/>
        <v/>
      </c>
      <c r="P41" s="21" t="str">
        <f t="shared" si="26"/>
        <v/>
      </c>
      <c r="Q41" s="21" t="str">
        <f t="shared" si="27"/>
        <v/>
      </c>
      <c r="R41" s="21" t="str">
        <f t="shared" si="28"/>
        <v/>
      </c>
      <c r="S41" s="21" t="str">
        <f t="shared" si="29"/>
        <v/>
      </c>
      <c r="T41" s="19" t="str">
        <f t="shared" si="30"/>
        <v/>
      </c>
      <c r="U41" s="21" t="str">
        <f t="shared" si="31"/>
        <v/>
      </c>
      <c r="V41" s="19" t="str">
        <f t="shared" si="32"/>
        <v/>
      </c>
      <c r="W41" s="19" t="str">
        <f t="shared" si="33"/>
        <v/>
      </c>
      <c r="X41" s="21">
        <f t="shared" si="34"/>
        <v>0</v>
      </c>
      <c r="Y41" s="21">
        <f t="shared" si="35"/>
        <v>0</v>
      </c>
    </row>
    <row r="42" spans="1:25" x14ac:dyDescent="0.3">
      <c r="A42" s="21" t="str">
        <f>IF(Cadastro!$B42="","",Cadastro!$B42)</f>
        <v/>
      </c>
      <c r="B42" s="21" t="str">
        <f>IF(Cadastro!$C42="","",Cadastro!$C42)</f>
        <v/>
      </c>
      <c r="C42" s="19" t="str">
        <f t="shared" si="18"/>
        <v/>
      </c>
      <c r="D42" s="19" t="str">
        <f t="shared" si="19"/>
        <v/>
      </c>
      <c r="E42" s="23">
        <f>N(Cadastro!$F42)</f>
        <v>0</v>
      </c>
      <c r="F42" s="21" t="str">
        <f t="shared" si="20"/>
        <v/>
      </c>
      <c r="G42" s="21" t="str">
        <f t="shared" si="21"/>
        <v/>
      </c>
      <c r="H42" s="21" t="str">
        <f t="shared" si="22"/>
        <v/>
      </c>
      <c r="I42" s="23">
        <f>N(Cadastro!$R42)</f>
        <v>0</v>
      </c>
      <c r="J42" s="23">
        <f>N(Cadastro!$S42)</f>
        <v>0</v>
      </c>
      <c r="K42" s="23">
        <f>N(Cadastro!$T42)</f>
        <v>0</v>
      </c>
      <c r="L42" s="23">
        <f>N(Cadastro!$U42)</f>
        <v>0</v>
      </c>
      <c r="M42" s="21" t="str">
        <f t="shared" si="23"/>
        <v/>
      </c>
      <c r="N42" s="21" t="str">
        <f t="shared" si="24"/>
        <v/>
      </c>
      <c r="O42" s="21" t="str">
        <f t="shared" si="25"/>
        <v/>
      </c>
      <c r="P42" s="21" t="str">
        <f t="shared" si="26"/>
        <v/>
      </c>
      <c r="Q42" s="21" t="str">
        <f t="shared" si="27"/>
        <v/>
      </c>
      <c r="R42" s="21" t="str">
        <f t="shared" si="28"/>
        <v/>
      </c>
      <c r="S42" s="21" t="str">
        <f t="shared" si="29"/>
        <v/>
      </c>
      <c r="T42" s="19" t="str">
        <f t="shared" si="30"/>
        <v/>
      </c>
      <c r="U42" s="21" t="str">
        <f t="shared" si="31"/>
        <v/>
      </c>
      <c r="V42" s="19" t="str">
        <f t="shared" si="32"/>
        <v/>
      </c>
      <c r="W42" s="19" t="str">
        <f t="shared" si="33"/>
        <v/>
      </c>
      <c r="X42" s="21">
        <f t="shared" si="34"/>
        <v>0</v>
      </c>
      <c r="Y42" s="21">
        <f t="shared" si="35"/>
        <v>0</v>
      </c>
    </row>
    <row r="43" spans="1:25" x14ac:dyDescent="0.3">
      <c r="A43" s="21" t="str">
        <f>IF(Cadastro!$B43="","",Cadastro!$B43)</f>
        <v/>
      </c>
      <c r="B43" s="21" t="str">
        <f>IF(Cadastro!$C43="","",Cadastro!$C43)</f>
        <v/>
      </c>
      <c r="C43" s="19" t="str">
        <f t="shared" si="18"/>
        <v/>
      </c>
      <c r="D43" s="19" t="str">
        <f t="shared" si="19"/>
        <v/>
      </c>
      <c r="E43" s="23">
        <f>N(Cadastro!$F43)</f>
        <v>0</v>
      </c>
      <c r="F43" s="21" t="str">
        <f t="shared" si="20"/>
        <v/>
      </c>
      <c r="G43" s="21" t="str">
        <f t="shared" si="21"/>
        <v/>
      </c>
      <c r="H43" s="21" t="str">
        <f t="shared" si="22"/>
        <v/>
      </c>
      <c r="I43" s="23">
        <f>N(Cadastro!$R43)</f>
        <v>0</v>
      </c>
      <c r="J43" s="23">
        <f>N(Cadastro!$S43)</f>
        <v>0</v>
      </c>
      <c r="K43" s="23">
        <f>N(Cadastro!$T43)</f>
        <v>0</v>
      </c>
      <c r="L43" s="23">
        <f>N(Cadastro!$U43)</f>
        <v>0</v>
      </c>
      <c r="M43" s="21" t="str">
        <f t="shared" si="23"/>
        <v/>
      </c>
      <c r="N43" s="21" t="str">
        <f t="shared" si="24"/>
        <v/>
      </c>
      <c r="O43" s="21" t="str">
        <f t="shared" si="25"/>
        <v/>
      </c>
      <c r="P43" s="21" t="str">
        <f t="shared" si="26"/>
        <v/>
      </c>
      <c r="Q43" s="21" t="str">
        <f t="shared" si="27"/>
        <v/>
      </c>
      <c r="R43" s="21" t="str">
        <f t="shared" si="28"/>
        <v/>
      </c>
      <c r="S43" s="21" t="str">
        <f t="shared" si="29"/>
        <v/>
      </c>
      <c r="T43" s="19" t="str">
        <f t="shared" si="30"/>
        <v/>
      </c>
      <c r="U43" s="21" t="str">
        <f t="shared" si="31"/>
        <v/>
      </c>
      <c r="V43" s="19" t="str">
        <f t="shared" si="32"/>
        <v/>
      </c>
      <c r="W43" s="19" t="str">
        <f t="shared" si="33"/>
        <v/>
      </c>
      <c r="X43" s="21">
        <f t="shared" si="34"/>
        <v>0</v>
      </c>
      <c r="Y43" s="21">
        <f t="shared" si="35"/>
        <v>0</v>
      </c>
    </row>
    <row r="44" spans="1:25" x14ac:dyDescent="0.3">
      <c r="A44" s="21" t="str">
        <f>IF(Cadastro!$B44="","",Cadastro!$B44)</f>
        <v/>
      </c>
      <c r="B44" s="21" t="str">
        <f>IF(Cadastro!$C44="","",Cadastro!$C44)</f>
        <v/>
      </c>
      <c r="C44" s="19" t="str">
        <f t="shared" si="18"/>
        <v/>
      </c>
      <c r="D44" s="19" t="str">
        <f t="shared" si="19"/>
        <v/>
      </c>
      <c r="E44" s="23">
        <f>N(Cadastro!$F44)</f>
        <v>0</v>
      </c>
      <c r="F44" s="21" t="str">
        <f t="shared" si="20"/>
        <v/>
      </c>
      <c r="G44" s="21" t="str">
        <f t="shared" si="21"/>
        <v/>
      </c>
      <c r="H44" s="21" t="str">
        <f t="shared" si="22"/>
        <v/>
      </c>
      <c r="I44" s="23">
        <f>N(Cadastro!$R44)</f>
        <v>0</v>
      </c>
      <c r="J44" s="23">
        <f>N(Cadastro!$S44)</f>
        <v>0</v>
      </c>
      <c r="K44" s="23">
        <f>N(Cadastro!$T44)</f>
        <v>0</v>
      </c>
      <c r="L44" s="23">
        <f>N(Cadastro!$U44)</f>
        <v>0</v>
      </c>
      <c r="M44" s="21" t="str">
        <f t="shared" si="23"/>
        <v/>
      </c>
      <c r="N44" s="21" t="str">
        <f t="shared" si="24"/>
        <v/>
      </c>
      <c r="O44" s="21" t="str">
        <f t="shared" si="25"/>
        <v/>
      </c>
      <c r="P44" s="21" t="str">
        <f t="shared" si="26"/>
        <v/>
      </c>
      <c r="Q44" s="21" t="str">
        <f t="shared" si="27"/>
        <v/>
      </c>
      <c r="R44" s="21" t="str">
        <f t="shared" si="28"/>
        <v/>
      </c>
      <c r="S44" s="21" t="str">
        <f t="shared" si="29"/>
        <v/>
      </c>
      <c r="T44" s="19" t="str">
        <f t="shared" si="30"/>
        <v/>
      </c>
      <c r="U44" s="21" t="str">
        <f t="shared" si="31"/>
        <v/>
      </c>
      <c r="V44" s="19" t="str">
        <f t="shared" si="32"/>
        <v/>
      </c>
      <c r="W44" s="19" t="str">
        <f t="shared" si="33"/>
        <v/>
      </c>
      <c r="X44" s="21">
        <f t="shared" si="34"/>
        <v>0</v>
      </c>
      <c r="Y44" s="21">
        <f t="shared" si="35"/>
        <v>0</v>
      </c>
    </row>
    <row r="45" spans="1:25" x14ac:dyDescent="0.3">
      <c r="A45" s="21" t="str">
        <f>IF(Cadastro!$B45="","",Cadastro!$B45)</f>
        <v/>
      </c>
      <c r="B45" s="21" t="str">
        <f>IF(Cadastro!$C45="","",Cadastro!$C45)</f>
        <v/>
      </c>
      <c r="C45" s="19" t="str">
        <f t="shared" si="18"/>
        <v/>
      </c>
      <c r="D45" s="19" t="str">
        <f t="shared" si="19"/>
        <v/>
      </c>
      <c r="E45" s="23">
        <f>N(Cadastro!$F45)</f>
        <v>0</v>
      </c>
      <c r="F45" s="21" t="str">
        <f t="shared" si="20"/>
        <v/>
      </c>
      <c r="G45" s="21" t="str">
        <f t="shared" si="21"/>
        <v/>
      </c>
      <c r="H45" s="21" t="str">
        <f t="shared" si="22"/>
        <v/>
      </c>
      <c r="I45" s="23">
        <f>N(Cadastro!$R45)</f>
        <v>0</v>
      </c>
      <c r="J45" s="23">
        <f>N(Cadastro!$S45)</f>
        <v>0</v>
      </c>
      <c r="K45" s="23">
        <f>N(Cadastro!$T45)</f>
        <v>0</v>
      </c>
      <c r="L45" s="23">
        <f>N(Cadastro!$U45)</f>
        <v>0</v>
      </c>
      <c r="M45" s="21" t="str">
        <f t="shared" si="23"/>
        <v/>
      </c>
      <c r="N45" s="21" t="str">
        <f t="shared" si="24"/>
        <v/>
      </c>
      <c r="O45" s="21" t="str">
        <f t="shared" si="25"/>
        <v/>
      </c>
      <c r="P45" s="21" t="str">
        <f t="shared" si="26"/>
        <v/>
      </c>
      <c r="Q45" s="21" t="str">
        <f t="shared" si="27"/>
        <v/>
      </c>
      <c r="R45" s="21" t="str">
        <f t="shared" si="28"/>
        <v/>
      </c>
      <c r="S45" s="21" t="str">
        <f t="shared" si="29"/>
        <v/>
      </c>
      <c r="T45" s="19" t="str">
        <f t="shared" si="30"/>
        <v/>
      </c>
      <c r="U45" s="21" t="str">
        <f t="shared" si="31"/>
        <v/>
      </c>
      <c r="V45" s="19" t="str">
        <f t="shared" si="32"/>
        <v/>
      </c>
      <c r="W45" s="19" t="str">
        <f t="shared" si="33"/>
        <v/>
      </c>
      <c r="X45" s="21">
        <f t="shared" si="34"/>
        <v>0</v>
      </c>
      <c r="Y45" s="21">
        <f t="shared" si="35"/>
        <v>0</v>
      </c>
    </row>
    <row r="46" spans="1:25" x14ac:dyDescent="0.3">
      <c r="A46" s="21" t="str">
        <f>IF(Cadastro!$B46="","",Cadastro!$B46)</f>
        <v/>
      </c>
      <c r="B46" s="21" t="str">
        <f>IF(Cadastro!$C46="","",Cadastro!$C46)</f>
        <v/>
      </c>
      <c r="C46" s="19" t="str">
        <f t="shared" si="18"/>
        <v/>
      </c>
      <c r="D46" s="19" t="str">
        <f t="shared" si="19"/>
        <v/>
      </c>
      <c r="E46" s="23">
        <f>N(Cadastro!$F46)</f>
        <v>0</v>
      </c>
      <c r="F46" s="21" t="str">
        <f t="shared" si="20"/>
        <v/>
      </c>
      <c r="G46" s="21" t="str">
        <f t="shared" si="21"/>
        <v/>
      </c>
      <c r="H46" s="21" t="str">
        <f t="shared" si="22"/>
        <v/>
      </c>
      <c r="I46" s="23">
        <f>N(Cadastro!$R46)</f>
        <v>0</v>
      </c>
      <c r="J46" s="23">
        <f>N(Cadastro!$S46)</f>
        <v>0</v>
      </c>
      <c r="K46" s="23">
        <f>N(Cadastro!$T46)</f>
        <v>0</v>
      </c>
      <c r="L46" s="23">
        <f>N(Cadastro!$U46)</f>
        <v>0</v>
      </c>
      <c r="M46" s="21" t="str">
        <f t="shared" si="23"/>
        <v/>
      </c>
      <c r="N46" s="21" t="str">
        <f t="shared" si="24"/>
        <v/>
      </c>
      <c r="O46" s="21" t="str">
        <f t="shared" si="25"/>
        <v/>
      </c>
      <c r="P46" s="21" t="str">
        <f t="shared" si="26"/>
        <v/>
      </c>
      <c r="Q46" s="21" t="str">
        <f t="shared" si="27"/>
        <v/>
      </c>
      <c r="R46" s="21" t="str">
        <f t="shared" si="28"/>
        <v/>
      </c>
      <c r="S46" s="21" t="str">
        <f t="shared" si="29"/>
        <v/>
      </c>
      <c r="T46" s="19" t="str">
        <f t="shared" si="30"/>
        <v/>
      </c>
      <c r="U46" s="21" t="str">
        <f t="shared" si="31"/>
        <v/>
      </c>
      <c r="V46" s="19" t="str">
        <f t="shared" si="32"/>
        <v/>
      </c>
      <c r="W46" s="19" t="str">
        <f t="shared" si="33"/>
        <v/>
      </c>
      <c r="X46" s="21">
        <f t="shared" si="34"/>
        <v>0</v>
      </c>
      <c r="Y46" s="21">
        <f t="shared" si="35"/>
        <v>0</v>
      </c>
    </row>
    <row r="47" spans="1:25" x14ac:dyDescent="0.3">
      <c r="A47" s="21" t="str">
        <f>IF(Cadastro!$B47="","",Cadastro!$B47)</f>
        <v/>
      </c>
      <c r="B47" s="21" t="str">
        <f>IF(Cadastro!$C47="","",Cadastro!$C47)</f>
        <v/>
      </c>
      <c r="C47" s="19" t="str">
        <f t="shared" si="18"/>
        <v/>
      </c>
      <c r="D47" s="19" t="str">
        <f t="shared" si="19"/>
        <v/>
      </c>
      <c r="E47" s="23">
        <f>N(Cadastro!$F47)</f>
        <v>0</v>
      </c>
      <c r="F47" s="21" t="str">
        <f t="shared" si="20"/>
        <v/>
      </c>
      <c r="G47" s="21" t="str">
        <f t="shared" si="21"/>
        <v/>
      </c>
      <c r="H47" s="21" t="str">
        <f t="shared" si="22"/>
        <v/>
      </c>
      <c r="I47" s="23">
        <f>N(Cadastro!$R47)</f>
        <v>0</v>
      </c>
      <c r="J47" s="23">
        <f>N(Cadastro!$S47)</f>
        <v>0</v>
      </c>
      <c r="K47" s="23">
        <f>N(Cadastro!$T47)</f>
        <v>0</v>
      </c>
      <c r="L47" s="23">
        <f>N(Cadastro!$U47)</f>
        <v>0</v>
      </c>
      <c r="M47" s="21" t="str">
        <f t="shared" si="23"/>
        <v/>
      </c>
      <c r="N47" s="21" t="str">
        <f t="shared" si="24"/>
        <v/>
      </c>
      <c r="O47" s="21" t="str">
        <f t="shared" si="25"/>
        <v/>
      </c>
      <c r="P47" s="21" t="str">
        <f t="shared" si="26"/>
        <v/>
      </c>
      <c r="Q47" s="21" t="str">
        <f t="shared" si="27"/>
        <v/>
      </c>
      <c r="R47" s="21" t="str">
        <f t="shared" si="28"/>
        <v/>
      </c>
      <c r="S47" s="21" t="str">
        <f t="shared" si="29"/>
        <v/>
      </c>
      <c r="T47" s="19" t="str">
        <f t="shared" si="30"/>
        <v/>
      </c>
      <c r="U47" s="21" t="str">
        <f t="shared" si="31"/>
        <v/>
      </c>
      <c r="V47" s="19" t="str">
        <f t="shared" si="32"/>
        <v/>
      </c>
      <c r="W47" s="19" t="str">
        <f t="shared" si="33"/>
        <v/>
      </c>
      <c r="X47" s="21">
        <f t="shared" si="34"/>
        <v>0</v>
      </c>
      <c r="Y47" s="21">
        <f t="shared" si="35"/>
        <v>0</v>
      </c>
    </row>
    <row r="48" spans="1:25" x14ac:dyDescent="0.3">
      <c r="A48" s="21" t="str">
        <f>IF(Cadastro!$B48="","",Cadastro!$B48)</f>
        <v/>
      </c>
      <c r="B48" s="21" t="str">
        <f>IF(Cadastro!$C48="","",Cadastro!$C48)</f>
        <v/>
      </c>
      <c r="C48" s="19" t="str">
        <f t="shared" si="18"/>
        <v/>
      </c>
      <c r="D48" s="19" t="str">
        <f t="shared" si="19"/>
        <v/>
      </c>
      <c r="E48" s="23">
        <f>N(Cadastro!$F48)</f>
        <v>0</v>
      </c>
      <c r="F48" s="21" t="str">
        <f t="shared" si="20"/>
        <v/>
      </c>
      <c r="G48" s="21" t="str">
        <f t="shared" si="21"/>
        <v/>
      </c>
      <c r="H48" s="21" t="str">
        <f t="shared" si="22"/>
        <v/>
      </c>
      <c r="I48" s="23">
        <f>N(Cadastro!$R48)</f>
        <v>0</v>
      </c>
      <c r="J48" s="23">
        <f>N(Cadastro!$S48)</f>
        <v>0</v>
      </c>
      <c r="K48" s="23">
        <f>N(Cadastro!$T48)</f>
        <v>0</v>
      </c>
      <c r="L48" s="23">
        <f>N(Cadastro!$U48)</f>
        <v>0</v>
      </c>
      <c r="M48" s="21" t="str">
        <f t="shared" si="23"/>
        <v/>
      </c>
      <c r="N48" s="21" t="str">
        <f t="shared" si="24"/>
        <v/>
      </c>
      <c r="O48" s="21" t="str">
        <f t="shared" si="25"/>
        <v/>
      </c>
      <c r="P48" s="21" t="str">
        <f t="shared" si="26"/>
        <v/>
      </c>
      <c r="Q48" s="21" t="str">
        <f t="shared" si="27"/>
        <v/>
      </c>
      <c r="R48" s="21" t="str">
        <f t="shared" si="28"/>
        <v/>
      </c>
      <c r="S48" s="21" t="str">
        <f t="shared" si="29"/>
        <v/>
      </c>
      <c r="T48" s="19" t="str">
        <f t="shared" si="30"/>
        <v/>
      </c>
      <c r="U48" s="21" t="str">
        <f t="shared" si="31"/>
        <v/>
      </c>
      <c r="V48" s="19" t="str">
        <f t="shared" si="32"/>
        <v/>
      </c>
      <c r="W48" s="19" t="str">
        <f t="shared" si="33"/>
        <v/>
      </c>
      <c r="X48" s="21">
        <f t="shared" si="34"/>
        <v>0</v>
      </c>
      <c r="Y48" s="21">
        <f t="shared" si="35"/>
        <v>0</v>
      </c>
    </row>
    <row r="49" spans="1:25" x14ac:dyDescent="0.3">
      <c r="A49" s="21" t="str">
        <f>IF(Cadastro!$B49="","",Cadastro!$B49)</f>
        <v/>
      </c>
      <c r="B49" s="21" t="str">
        <f>IF(Cadastro!$C49="","",Cadastro!$C49)</f>
        <v/>
      </c>
      <c r="C49" s="19" t="str">
        <f t="shared" si="18"/>
        <v/>
      </c>
      <c r="D49" s="19" t="str">
        <f t="shared" si="19"/>
        <v/>
      </c>
      <c r="E49" s="23">
        <f>N(Cadastro!$F49)</f>
        <v>0</v>
      </c>
      <c r="F49" s="21" t="str">
        <f t="shared" si="20"/>
        <v/>
      </c>
      <c r="G49" s="21" t="str">
        <f t="shared" si="21"/>
        <v/>
      </c>
      <c r="H49" s="21" t="str">
        <f t="shared" si="22"/>
        <v/>
      </c>
      <c r="I49" s="23">
        <f>N(Cadastro!$R49)</f>
        <v>0</v>
      </c>
      <c r="J49" s="23">
        <f>N(Cadastro!$S49)</f>
        <v>0</v>
      </c>
      <c r="K49" s="23">
        <f>N(Cadastro!$T49)</f>
        <v>0</v>
      </c>
      <c r="L49" s="23">
        <f>N(Cadastro!$U49)</f>
        <v>0</v>
      </c>
      <c r="M49" s="21" t="str">
        <f t="shared" si="23"/>
        <v/>
      </c>
      <c r="N49" s="21" t="str">
        <f t="shared" si="24"/>
        <v/>
      </c>
      <c r="O49" s="21" t="str">
        <f t="shared" si="25"/>
        <v/>
      </c>
      <c r="P49" s="21" t="str">
        <f t="shared" si="26"/>
        <v/>
      </c>
      <c r="Q49" s="21" t="str">
        <f t="shared" si="27"/>
        <v/>
      </c>
      <c r="R49" s="21" t="str">
        <f t="shared" si="28"/>
        <v/>
      </c>
      <c r="S49" s="21" t="str">
        <f t="shared" si="29"/>
        <v/>
      </c>
      <c r="T49" s="19" t="str">
        <f t="shared" si="30"/>
        <v/>
      </c>
      <c r="U49" s="21" t="str">
        <f t="shared" si="31"/>
        <v/>
      </c>
      <c r="V49" s="19" t="str">
        <f t="shared" si="32"/>
        <v/>
      </c>
      <c r="W49" s="19" t="str">
        <f t="shared" si="33"/>
        <v/>
      </c>
      <c r="X49" s="21">
        <f t="shared" si="34"/>
        <v>0</v>
      </c>
      <c r="Y49" s="21">
        <f t="shared" si="35"/>
        <v>0</v>
      </c>
    </row>
    <row r="50" spans="1:25" x14ac:dyDescent="0.3">
      <c r="A50" s="21" t="str">
        <f>IF(Cadastro!$B50="","",Cadastro!$B50)</f>
        <v/>
      </c>
      <c r="B50" s="21" t="str">
        <f>IF(Cadastro!$C50="","",Cadastro!$C50)</f>
        <v/>
      </c>
      <c r="C50" s="19" t="str">
        <f t="shared" si="18"/>
        <v/>
      </c>
      <c r="D50" s="19" t="str">
        <f t="shared" si="19"/>
        <v/>
      </c>
      <c r="E50" s="23">
        <f>N(Cadastro!$F50)</f>
        <v>0</v>
      </c>
      <c r="F50" s="21" t="str">
        <f t="shared" si="20"/>
        <v/>
      </c>
      <c r="G50" s="21" t="str">
        <f t="shared" si="21"/>
        <v/>
      </c>
      <c r="H50" s="21" t="str">
        <f t="shared" si="22"/>
        <v/>
      </c>
      <c r="I50" s="23">
        <f>N(Cadastro!$R50)</f>
        <v>0</v>
      </c>
      <c r="J50" s="23">
        <f>N(Cadastro!$S50)</f>
        <v>0</v>
      </c>
      <c r="K50" s="23">
        <f>N(Cadastro!$T50)</f>
        <v>0</v>
      </c>
      <c r="L50" s="23">
        <f>N(Cadastro!$U50)</f>
        <v>0</v>
      </c>
      <c r="M50" s="21" t="str">
        <f t="shared" si="23"/>
        <v/>
      </c>
      <c r="N50" s="21" t="str">
        <f t="shared" si="24"/>
        <v/>
      </c>
      <c r="O50" s="21" t="str">
        <f t="shared" si="25"/>
        <v/>
      </c>
      <c r="P50" s="21" t="str">
        <f t="shared" si="26"/>
        <v/>
      </c>
      <c r="Q50" s="21" t="str">
        <f t="shared" si="27"/>
        <v/>
      </c>
      <c r="R50" s="21" t="str">
        <f t="shared" si="28"/>
        <v/>
      </c>
      <c r="S50" s="21" t="str">
        <f t="shared" si="29"/>
        <v/>
      </c>
      <c r="T50" s="19" t="str">
        <f t="shared" si="30"/>
        <v/>
      </c>
      <c r="U50" s="21" t="str">
        <f t="shared" si="31"/>
        <v/>
      </c>
      <c r="V50" s="19" t="str">
        <f t="shared" si="32"/>
        <v/>
      </c>
      <c r="W50" s="19" t="str">
        <f t="shared" si="33"/>
        <v/>
      </c>
      <c r="X50" s="21">
        <f t="shared" si="34"/>
        <v>0</v>
      </c>
      <c r="Y50" s="21">
        <f t="shared" si="35"/>
        <v>0</v>
      </c>
    </row>
    <row r="51" spans="1:25" x14ac:dyDescent="0.3">
      <c r="A51" s="21" t="str">
        <f>IF(Cadastro!$B51="","",Cadastro!$B51)</f>
        <v/>
      </c>
      <c r="B51" s="21" t="str">
        <f>IF(Cadastro!$C51="","",Cadastro!$C51)</f>
        <v/>
      </c>
      <c r="C51" s="19" t="str">
        <f t="shared" si="18"/>
        <v/>
      </c>
      <c r="D51" s="19" t="str">
        <f t="shared" si="19"/>
        <v/>
      </c>
      <c r="E51" s="23">
        <f>N(Cadastro!$F51)</f>
        <v>0</v>
      </c>
      <c r="F51" s="21" t="str">
        <f t="shared" si="20"/>
        <v/>
      </c>
      <c r="G51" s="21" t="str">
        <f t="shared" si="21"/>
        <v/>
      </c>
      <c r="H51" s="21" t="str">
        <f t="shared" si="22"/>
        <v/>
      </c>
      <c r="I51" s="23">
        <f>N(Cadastro!$R51)</f>
        <v>0</v>
      </c>
      <c r="J51" s="23">
        <f>N(Cadastro!$S51)</f>
        <v>0</v>
      </c>
      <c r="K51" s="23">
        <f>N(Cadastro!$T51)</f>
        <v>0</v>
      </c>
      <c r="L51" s="23">
        <f>N(Cadastro!$U51)</f>
        <v>0</v>
      </c>
      <c r="M51" s="21" t="str">
        <f t="shared" si="23"/>
        <v/>
      </c>
      <c r="N51" s="21" t="str">
        <f t="shared" si="24"/>
        <v/>
      </c>
      <c r="O51" s="21" t="str">
        <f t="shared" si="25"/>
        <v/>
      </c>
      <c r="P51" s="21" t="str">
        <f t="shared" si="26"/>
        <v/>
      </c>
      <c r="Q51" s="21" t="str">
        <f t="shared" si="27"/>
        <v/>
      </c>
      <c r="R51" s="21" t="str">
        <f t="shared" si="28"/>
        <v/>
      </c>
      <c r="S51" s="21" t="str">
        <f t="shared" si="29"/>
        <v/>
      </c>
      <c r="T51" s="19" t="str">
        <f t="shared" si="30"/>
        <v/>
      </c>
      <c r="U51" s="21" t="str">
        <f t="shared" si="31"/>
        <v/>
      </c>
      <c r="V51" s="19" t="str">
        <f t="shared" si="32"/>
        <v/>
      </c>
      <c r="W51" s="19" t="str">
        <f t="shared" si="33"/>
        <v/>
      </c>
      <c r="X51" s="21">
        <f t="shared" si="34"/>
        <v>0</v>
      </c>
      <c r="Y51" s="21">
        <f t="shared" si="35"/>
        <v>0</v>
      </c>
    </row>
    <row r="52" spans="1:25" x14ac:dyDescent="0.3">
      <c r="A52" s="21" t="str">
        <f>IF(Cadastro!$B52="","",Cadastro!$B52)</f>
        <v/>
      </c>
      <c r="B52" s="21" t="str">
        <f>IF(Cadastro!$C52="","",Cadastro!$C52)</f>
        <v/>
      </c>
      <c r="C52" s="19" t="str">
        <f t="shared" si="18"/>
        <v/>
      </c>
      <c r="D52" s="19" t="str">
        <f t="shared" si="19"/>
        <v/>
      </c>
      <c r="E52" s="23">
        <f>N(Cadastro!$F52)</f>
        <v>0</v>
      </c>
      <c r="F52" s="21" t="str">
        <f t="shared" si="20"/>
        <v/>
      </c>
      <c r="G52" s="21" t="str">
        <f t="shared" si="21"/>
        <v/>
      </c>
      <c r="H52" s="21" t="str">
        <f t="shared" si="22"/>
        <v/>
      </c>
      <c r="I52" s="23">
        <f>N(Cadastro!$R52)</f>
        <v>0</v>
      </c>
      <c r="J52" s="23">
        <f>N(Cadastro!$S52)</f>
        <v>0</v>
      </c>
      <c r="K52" s="23">
        <f>N(Cadastro!$T52)</f>
        <v>0</v>
      </c>
      <c r="L52" s="23">
        <f>N(Cadastro!$U52)</f>
        <v>0</v>
      </c>
      <c r="M52" s="21" t="str">
        <f t="shared" si="23"/>
        <v/>
      </c>
      <c r="N52" s="21" t="str">
        <f t="shared" si="24"/>
        <v/>
      </c>
      <c r="O52" s="21" t="str">
        <f t="shared" si="25"/>
        <v/>
      </c>
      <c r="P52" s="21" t="str">
        <f t="shared" si="26"/>
        <v/>
      </c>
      <c r="Q52" s="21" t="str">
        <f t="shared" si="27"/>
        <v/>
      </c>
      <c r="R52" s="21" t="str">
        <f t="shared" si="28"/>
        <v/>
      </c>
      <c r="S52" s="21" t="str">
        <f t="shared" si="29"/>
        <v/>
      </c>
      <c r="T52" s="19" t="str">
        <f t="shared" si="30"/>
        <v/>
      </c>
      <c r="U52" s="21" t="str">
        <f t="shared" si="31"/>
        <v/>
      </c>
      <c r="V52" s="19" t="str">
        <f t="shared" si="32"/>
        <v/>
      </c>
      <c r="W52" s="19" t="str">
        <f t="shared" si="33"/>
        <v/>
      </c>
      <c r="X52" s="21">
        <f t="shared" si="34"/>
        <v>0</v>
      </c>
      <c r="Y52" s="21">
        <f t="shared" si="35"/>
        <v>0</v>
      </c>
    </row>
    <row r="53" spans="1:25" x14ac:dyDescent="0.3">
      <c r="A53" s="21" t="str">
        <f>IF(Cadastro!$B53="","",Cadastro!$B53)</f>
        <v/>
      </c>
      <c r="B53" s="21" t="str">
        <f>IF(Cadastro!$C53="","",Cadastro!$C53)</f>
        <v/>
      </c>
      <c r="C53" s="19" t="str">
        <f t="shared" si="18"/>
        <v/>
      </c>
      <c r="D53" s="19" t="str">
        <f t="shared" si="19"/>
        <v/>
      </c>
      <c r="E53" s="23">
        <f>N(Cadastro!$F53)</f>
        <v>0</v>
      </c>
      <c r="F53" s="21" t="str">
        <f t="shared" si="20"/>
        <v/>
      </c>
      <c r="G53" s="21" t="str">
        <f t="shared" si="21"/>
        <v/>
      </c>
      <c r="H53" s="21" t="str">
        <f t="shared" si="22"/>
        <v/>
      </c>
      <c r="I53" s="23">
        <f>N(Cadastro!$R53)</f>
        <v>0</v>
      </c>
      <c r="J53" s="23">
        <f>N(Cadastro!$S53)</f>
        <v>0</v>
      </c>
      <c r="K53" s="23">
        <f>N(Cadastro!$T53)</f>
        <v>0</v>
      </c>
      <c r="L53" s="23">
        <f>N(Cadastro!$U53)</f>
        <v>0</v>
      </c>
      <c r="M53" s="21" t="str">
        <f t="shared" si="23"/>
        <v/>
      </c>
      <c r="N53" s="21" t="str">
        <f t="shared" si="24"/>
        <v/>
      </c>
      <c r="O53" s="21" t="str">
        <f t="shared" si="25"/>
        <v/>
      </c>
      <c r="P53" s="21" t="str">
        <f t="shared" si="26"/>
        <v/>
      </c>
      <c r="Q53" s="21" t="str">
        <f t="shared" si="27"/>
        <v/>
      </c>
      <c r="R53" s="21" t="str">
        <f t="shared" si="28"/>
        <v/>
      </c>
      <c r="S53" s="21" t="str">
        <f t="shared" si="29"/>
        <v/>
      </c>
      <c r="T53" s="19" t="str">
        <f t="shared" si="30"/>
        <v/>
      </c>
      <c r="U53" s="21" t="str">
        <f t="shared" si="31"/>
        <v/>
      </c>
      <c r="V53" s="19" t="str">
        <f t="shared" si="32"/>
        <v/>
      </c>
      <c r="W53" s="19" t="str">
        <f t="shared" si="33"/>
        <v/>
      </c>
      <c r="X53" s="21">
        <f t="shared" si="34"/>
        <v>0</v>
      </c>
      <c r="Y53" s="21">
        <f t="shared" si="35"/>
        <v>0</v>
      </c>
    </row>
    <row r="54" spans="1:25" x14ac:dyDescent="0.3">
      <c r="A54" s="21" t="str">
        <f>IF(Cadastro!$B54="","",Cadastro!$B54)</f>
        <v/>
      </c>
      <c r="B54" s="21" t="str">
        <f>IF(Cadastro!$C54="","",Cadastro!$C54)</f>
        <v/>
      </c>
      <c r="C54" s="19" t="str">
        <f t="shared" si="18"/>
        <v/>
      </c>
      <c r="D54" s="19" t="str">
        <f t="shared" si="19"/>
        <v/>
      </c>
      <c r="E54" s="23">
        <f>N(Cadastro!$F54)</f>
        <v>0</v>
      </c>
      <c r="F54" s="21" t="str">
        <f t="shared" si="20"/>
        <v/>
      </c>
      <c r="G54" s="21" t="str">
        <f t="shared" si="21"/>
        <v/>
      </c>
      <c r="H54" s="21" t="str">
        <f t="shared" si="22"/>
        <v/>
      </c>
      <c r="I54" s="23">
        <f>N(Cadastro!$R54)</f>
        <v>0</v>
      </c>
      <c r="J54" s="23">
        <f>N(Cadastro!$S54)</f>
        <v>0</v>
      </c>
      <c r="K54" s="23">
        <f>N(Cadastro!$T54)</f>
        <v>0</v>
      </c>
      <c r="L54" s="23">
        <f>N(Cadastro!$U54)</f>
        <v>0</v>
      </c>
      <c r="M54" s="21" t="str">
        <f t="shared" si="23"/>
        <v/>
      </c>
      <c r="N54" s="21" t="str">
        <f t="shared" si="24"/>
        <v/>
      </c>
      <c r="O54" s="21" t="str">
        <f t="shared" si="25"/>
        <v/>
      </c>
      <c r="P54" s="21" t="str">
        <f t="shared" si="26"/>
        <v/>
      </c>
      <c r="Q54" s="21" t="str">
        <f t="shared" si="27"/>
        <v/>
      </c>
      <c r="R54" s="21" t="str">
        <f t="shared" si="28"/>
        <v/>
      </c>
      <c r="S54" s="21" t="str">
        <f t="shared" si="29"/>
        <v/>
      </c>
      <c r="T54" s="19" t="str">
        <f t="shared" si="30"/>
        <v/>
      </c>
      <c r="U54" s="21" t="str">
        <f t="shared" si="31"/>
        <v/>
      </c>
      <c r="V54" s="19" t="str">
        <f t="shared" si="32"/>
        <v/>
      </c>
      <c r="W54" s="19" t="str">
        <f t="shared" si="33"/>
        <v/>
      </c>
      <c r="X54" s="21">
        <f t="shared" si="34"/>
        <v>0</v>
      </c>
      <c r="Y54" s="21">
        <f t="shared" si="35"/>
        <v>0</v>
      </c>
    </row>
    <row r="55" spans="1:25" x14ac:dyDescent="0.3">
      <c r="A55" s="21" t="str">
        <f>IF(Cadastro!$B55="","",Cadastro!$B55)</f>
        <v/>
      </c>
      <c r="B55" s="21" t="str">
        <f>IF(Cadastro!$C55="","",Cadastro!$C55)</f>
        <v/>
      </c>
      <c r="C55" s="19" t="str">
        <f t="shared" si="18"/>
        <v/>
      </c>
      <c r="D55" s="19" t="str">
        <f t="shared" si="19"/>
        <v/>
      </c>
      <c r="E55" s="23">
        <f>N(Cadastro!$F55)</f>
        <v>0</v>
      </c>
      <c r="F55" s="21" t="str">
        <f t="shared" si="20"/>
        <v/>
      </c>
      <c r="G55" s="21" t="str">
        <f t="shared" si="21"/>
        <v/>
      </c>
      <c r="H55" s="21" t="str">
        <f t="shared" si="22"/>
        <v/>
      </c>
      <c r="I55" s="23">
        <f>N(Cadastro!$R55)</f>
        <v>0</v>
      </c>
      <c r="J55" s="23">
        <f>N(Cadastro!$S55)</f>
        <v>0</v>
      </c>
      <c r="K55" s="23">
        <f>N(Cadastro!$T55)</f>
        <v>0</v>
      </c>
      <c r="L55" s="23">
        <f>N(Cadastro!$U55)</f>
        <v>0</v>
      </c>
      <c r="M55" s="21" t="str">
        <f t="shared" si="23"/>
        <v/>
      </c>
      <c r="N55" s="21" t="str">
        <f t="shared" si="24"/>
        <v/>
      </c>
      <c r="O55" s="21" t="str">
        <f t="shared" si="25"/>
        <v/>
      </c>
      <c r="P55" s="21" t="str">
        <f t="shared" si="26"/>
        <v/>
      </c>
      <c r="Q55" s="21" t="str">
        <f t="shared" si="27"/>
        <v/>
      </c>
      <c r="R55" s="21" t="str">
        <f t="shared" si="28"/>
        <v/>
      </c>
      <c r="S55" s="21" t="str">
        <f t="shared" si="29"/>
        <v/>
      </c>
      <c r="T55" s="19" t="str">
        <f t="shared" si="30"/>
        <v/>
      </c>
      <c r="U55" s="21" t="str">
        <f t="shared" si="31"/>
        <v/>
      </c>
      <c r="V55" s="19" t="str">
        <f t="shared" si="32"/>
        <v/>
      </c>
      <c r="W55" s="19" t="str">
        <f t="shared" si="33"/>
        <v/>
      </c>
      <c r="X55" s="21">
        <f t="shared" si="34"/>
        <v>0</v>
      </c>
      <c r="Y55" s="21">
        <f t="shared" si="35"/>
        <v>0</v>
      </c>
    </row>
    <row r="56" spans="1:25" x14ac:dyDescent="0.3">
      <c r="A56" s="21" t="str">
        <f>IF(Cadastro!$B56="","",Cadastro!$B56)</f>
        <v/>
      </c>
      <c r="B56" s="21" t="str">
        <f>IF(Cadastro!$C56="","",Cadastro!$C56)</f>
        <v/>
      </c>
      <c r="C56" s="19" t="str">
        <f t="shared" si="18"/>
        <v/>
      </c>
      <c r="D56" s="19" t="str">
        <f t="shared" si="19"/>
        <v/>
      </c>
      <c r="E56" s="23">
        <f>N(Cadastro!$F56)</f>
        <v>0</v>
      </c>
      <c r="F56" s="21" t="str">
        <f t="shared" si="20"/>
        <v/>
      </c>
      <c r="G56" s="21" t="str">
        <f t="shared" si="21"/>
        <v/>
      </c>
      <c r="H56" s="21" t="str">
        <f t="shared" si="22"/>
        <v/>
      </c>
      <c r="I56" s="23">
        <f>N(Cadastro!$R56)</f>
        <v>0</v>
      </c>
      <c r="J56" s="23">
        <f>N(Cadastro!$S56)</f>
        <v>0</v>
      </c>
      <c r="K56" s="23">
        <f>N(Cadastro!$T56)</f>
        <v>0</v>
      </c>
      <c r="L56" s="23">
        <f>N(Cadastro!$U56)</f>
        <v>0</v>
      </c>
      <c r="M56" s="21" t="str">
        <f t="shared" si="23"/>
        <v/>
      </c>
      <c r="N56" s="21" t="str">
        <f t="shared" si="24"/>
        <v/>
      </c>
      <c r="O56" s="21" t="str">
        <f t="shared" si="25"/>
        <v/>
      </c>
      <c r="P56" s="21" t="str">
        <f t="shared" si="26"/>
        <v/>
      </c>
      <c r="Q56" s="21" t="str">
        <f t="shared" si="27"/>
        <v/>
      </c>
      <c r="R56" s="21" t="str">
        <f t="shared" si="28"/>
        <v/>
      </c>
      <c r="S56" s="21" t="str">
        <f t="shared" si="29"/>
        <v/>
      </c>
      <c r="T56" s="19" t="str">
        <f t="shared" si="30"/>
        <v/>
      </c>
      <c r="U56" s="21" t="str">
        <f t="shared" si="31"/>
        <v/>
      </c>
      <c r="V56" s="19" t="str">
        <f t="shared" si="32"/>
        <v/>
      </c>
      <c r="W56" s="19" t="str">
        <f t="shared" si="33"/>
        <v/>
      </c>
      <c r="X56" s="21">
        <f t="shared" si="34"/>
        <v>0</v>
      </c>
      <c r="Y56" s="21">
        <f t="shared" si="35"/>
        <v>0</v>
      </c>
    </row>
    <row r="57" spans="1:25" x14ac:dyDescent="0.3">
      <c r="A57" s="21" t="str">
        <f>IF(Cadastro!$B57="","",Cadastro!$B57)</f>
        <v/>
      </c>
      <c r="B57" s="21" t="str">
        <f>IF(Cadastro!$C57="","",Cadastro!$C57)</f>
        <v/>
      </c>
      <c r="C57" s="19" t="str">
        <f t="shared" si="18"/>
        <v/>
      </c>
      <c r="D57" s="19" t="str">
        <f t="shared" si="19"/>
        <v/>
      </c>
      <c r="E57" s="23">
        <f>N(Cadastro!$F57)</f>
        <v>0</v>
      </c>
      <c r="F57" s="21" t="str">
        <f t="shared" si="20"/>
        <v/>
      </c>
      <c r="G57" s="21" t="str">
        <f t="shared" si="21"/>
        <v/>
      </c>
      <c r="H57" s="21" t="str">
        <f t="shared" si="22"/>
        <v/>
      </c>
      <c r="I57" s="23">
        <f>N(Cadastro!$R57)</f>
        <v>0</v>
      </c>
      <c r="J57" s="23">
        <f>N(Cadastro!$S57)</f>
        <v>0</v>
      </c>
      <c r="K57" s="23">
        <f>N(Cadastro!$T57)</f>
        <v>0</v>
      </c>
      <c r="L57" s="23">
        <f>N(Cadastro!$U57)</f>
        <v>0</v>
      </c>
      <c r="M57" s="21" t="str">
        <f t="shared" si="23"/>
        <v/>
      </c>
      <c r="N57" s="21" t="str">
        <f t="shared" si="24"/>
        <v/>
      </c>
      <c r="O57" s="21" t="str">
        <f t="shared" si="25"/>
        <v/>
      </c>
      <c r="P57" s="21" t="str">
        <f t="shared" si="26"/>
        <v/>
      </c>
      <c r="Q57" s="21" t="str">
        <f t="shared" si="27"/>
        <v/>
      </c>
      <c r="R57" s="21" t="str">
        <f t="shared" si="28"/>
        <v/>
      </c>
      <c r="S57" s="21" t="str">
        <f t="shared" si="29"/>
        <v/>
      </c>
      <c r="T57" s="19" t="str">
        <f t="shared" si="30"/>
        <v/>
      </c>
      <c r="U57" s="21" t="str">
        <f t="shared" si="31"/>
        <v/>
      </c>
      <c r="V57" s="19" t="str">
        <f t="shared" si="32"/>
        <v/>
      </c>
      <c r="W57" s="19" t="str">
        <f t="shared" si="33"/>
        <v/>
      </c>
      <c r="X57" s="21">
        <f t="shared" si="34"/>
        <v>0</v>
      </c>
      <c r="Y57" s="21">
        <f t="shared" si="35"/>
        <v>0</v>
      </c>
    </row>
    <row r="58" spans="1:25" x14ac:dyDescent="0.3">
      <c r="A58" s="21" t="str">
        <f>IF(Cadastro!$B58="","",Cadastro!$B58)</f>
        <v/>
      </c>
      <c r="B58" s="21" t="str">
        <f>IF(Cadastro!$C58="","",Cadastro!$C58)</f>
        <v/>
      </c>
      <c r="C58" s="19" t="str">
        <f t="shared" si="18"/>
        <v/>
      </c>
      <c r="D58" s="19" t="str">
        <f t="shared" si="19"/>
        <v/>
      </c>
      <c r="E58" s="23">
        <f>N(Cadastro!$F58)</f>
        <v>0</v>
      </c>
      <c r="F58" s="21" t="str">
        <f t="shared" si="20"/>
        <v/>
      </c>
      <c r="G58" s="21" t="str">
        <f t="shared" si="21"/>
        <v/>
      </c>
      <c r="H58" s="21" t="str">
        <f t="shared" si="22"/>
        <v/>
      </c>
      <c r="I58" s="23">
        <f>N(Cadastro!$R58)</f>
        <v>0</v>
      </c>
      <c r="J58" s="23">
        <f>N(Cadastro!$S58)</f>
        <v>0</v>
      </c>
      <c r="K58" s="23">
        <f>N(Cadastro!$T58)</f>
        <v>0</v>
      </c>
      <c r="L58" s="23">
        <f>N(Cadastro!$U58)</f>
        <v>0</v>
      </c>
      <c r="M58" s="21" t="str">
        <f t="shared" si="23"/>
        <v/>
      </c>
      <c r="N58" s="21" t="str">
        <f t="shared" si="24"/>
        <v/>
      </c>
      <c r="O58" s="21" t="str">
        <f t="shared" si="25"/>
        <v/>
      </c>
      <c r="P58" s="21" t="str">
        <f t="shared" si="26"/>
        <v/>
      </c>
      <c r="Q58" s="21" t="str">
        <f t="shared" si="27"/>
        <v/>
      </c>
      <c r="R58" s="21" t="str">
        <f t="shared" si="28"/>
        <v/>
      </c>
      <c r="S58" s="21" t="str">
        <f t="shared" si="29"/>
        <v/>
      </c>
      <c r="T58" s="19" t="str">
        <f t="shared" si="30"/>
        <v/>
      </c>
      <c r="U58" s="21" t="str">
        <f t="shared" si="31"/>
        <v/>
      </c>
      <c r="V58" s="19" t="str">
        <f t="shared" si="32"/>
        <v/>
      </c>
      <c r="W58" s="19" t="str">
        <f t="shared" si="33"/>
        <v/>
      </c>
      <c r="X58" s="21">
        <f t="shared" si="34"/>
        <v>0</v>
      </c>
      <c r="Y58" s="21">
        <f t="shared" si="35"/>
        <v>0</v>
      </c>
    </row>
    <row r="59" spans="1:25" x14ac:dyDescent="0.3">
      <c r="A59" s="21" t="str">
        <f>IF(Cadastro!$B59="","",Cadastro!$B59)</f>
        <v/>
      </c>
      <c r="B59" s="21" t="str">
        <f>IF(Cadastro!$C59="","",Cadastro!$C59)</f>
        <v/>
      </c>
      <c r="C59" s="19" t="str">
        <f t="shared" si="18"/>
        <v/>
      </c>
      <c r="D59" s="19" t="str">
        <f t="shared" si="19"/>
        <v/>
      </c>
      <c r="E59" s="23">
        <f>N(Cadastro!$F59)</f>
        <v>0</v>
      </c>
      <c r="F59" s="21" t="str">
        <f t="shared" si="20"/>
        <v/>
      </c>
      <c r="G59" s="21" t="str">
        <f t="shared" si="21"/>
        <v/>
      </c>
      <c r="H59" s="21" t="str">
        <f t="shared" si="22"/>
        <v/>
      </c>
      <c r="I59" s="23">
        <f>N(Cadastro!$R59)</f>
        <v>0</v>
      </c>
      <c r="J59" s="23">
        <f>N(Cadastro!$S59)</f>
        <v>0</v>
      </c>
      <c r="K59" s="23">
        <f>N(Cadastro!$T59)</f>
        <v>0</v>
      </c>
      <c r="L59" s="23">
        <f>N(Cadastro!$U59)</f>
        <v>0</v>
      </c>
      <c r="M59" s="21" t="str">
        <f t="shared" si="23"/>
        <v/>
      </c>
      <c r="N59" s="21" t="str">
        <f t="shared" si="24"/>
        <v/>
      </c>
      <c r="O59" s="21" t="str">
        <f t="shared" si="25"/>
        <v/>
      </c>
      <c r="P59" s="21" t="str">
        <f t="shared" si="26"/>
        <v/>
      </c>
      <c r="Q59" s="21" t="str">
        <f t="shared" si="27"/>
        <v/>
      </c>
      <c r="R59" s="21" t="str">
        <f t="shared" si="28"/>
        <v/>
      </c>
      <c r="S59" s="21" t="str">
        <f t="shared" si="29"/>
        <v/>
      </c>
      <c r="T59" s="19" t="str">
        <f t="shared" si="30"/>
        <v/>
      </c>
      <c r="U59" s="21" t="str">
        <f t="shared" si="31"/>
        <v/>
      </c>
      <c r="V59" s="19" t="str">
        <f t="shared" si="32"/>
        <v/>
      </c>
      <c r="W59" s="19" t="str">
        <f t="shared" si="33"/>
        <v/>
      </c>
      <c r="X59" s="21">
        <f t="shared" si="34"/>
        <v>0</v>
      </c>
      <c r="Y59" s="21">
        <f t="shared" si="35"/>
        <v>0</v>
      </c>
    </row>
    <row r="60" spans="1:25" x14ac:dyDescent="0.3">
      <c r="A60" s="21" t="str">
        <f>IF(Cadastro!$B60="","",Cadastro!$B60)</f>
        <v/>
      </c>
      <c r="B60" s="21" t="str">
        <f>IF(Cadastro!$C60="","",Cadastro!$C60)</f>
        <v/>
      </c>
      <c r="C60" s="19" t="str">
        <f t="shared" si="18"/>
        <v/>
      </c>
      <c r="D60" s="19" t="str">
        <f t="shared" si="19"/>
        <v/>
      </c>
      <c r="E60" s="23">
        <f>N(Cadastro!$F60)</f>
        <v>0</v>
      </c>
      <c r="F60" s="21" t="str">
        <f t="shared" si="20"/>
        <v/>
      </c>
      <c r="G60" s="21" t="str">
        <f t="shared" si="21"/>
        <v/>
      </c>
      <c r="H60" s="21" t="str">
        <f t="shared" si="22"/>
        <v/>
      </c>
      <c r="I60" s="23">
        <f>N(Cadastro!$R60)</f>
        <v>0</v>
      </c>
      <c r="J60" s="23">
        <f>N(Cadastro!$S60)</f>
        <v>0</v>
      </c>
      <c r="K60" s="23">
        <f>N(Cadastro!$T60)</f>
        <v>0</v>
      </c>
      <c r="L60" s="23">
        <f>N(Cadastro!$U60)</f>
        <v>0</v>
      </c>
      <c r="M60" s="21" t="str">
        <f t="shared" si="23"/>
        <v/>
      </c>
      <c r="N60" s="21" t="str">
        <f t="shared" si="24"/>
        <v/>
      </c>
      <c r="O60" s="21" t="str">
        <f t="shared" si="25"/>
        <v/>
      </c>
      <c r="P60" s="21" t="str">
        <f t="shared" si="26"/>
        <v/>
      </c>
      <c r="Q60" s="21" t="str">
        <f t="shared" si="27"/>
        <v/>
      </c>
      <c r="R60" s="21" t="str">
        <f t="shared" si="28"/>
        <v/>
      </c>
      <c r="S60" s="21" t="str">
        <f t="shared" si="29"/>
        <v/>
      </c>
      <c r="T60" s="19" t="str">
        <f t="shared" si="30"/>
        <v/>
      </c>
      <c r="U60" s="21" t="str">
        <f t="shared" si="31"/>
        <v/>
      </c>
      <c r="V60" s="19" t="str">
        <f t="shared" si="32"/>
        <v/>
      </c>
      <c r="W60" s="19" t="str">
        <f t="shared" si="33"/>
        <v/>
      </c>
      <c r="X60" s="21">
        <f t="shared" si="34"/>
        <v>0</v>
      </c>
      <c r="Y60" s="21">
        <f t="shared" si="35"/>
        <v>0</v>
      </c>
    </row>
    <row r="61" spans="1:25" x14ac:dyDescent="0.3">
      <c r="A61" s="21" t="str">
        <f>IF(Cadastro!$B61="","",Cadastro!$B61)</f>
        <v/>
      </c>
      <c r="B61" s="21" t="str">
        <f>IF(Cadastro!$C61="","",Cadastro!$C61)</f>
        <v/>
      </c>
      <c r="C61" s="19" t="str">
        <f t="shared" si="18"/>
        <v/>
      </c>
      <c r="D61" s="19" t="str">
        <f t="shared" si="19"/>
        <v/>
      </c>
      <c r="E61" s="23">
        <f>N(Cadastro!$F61)</f>
        <v>0</v>
      </c>
      <c r="F61" s="21" t="str">
        <f t="shared" si="20"/>
        <v/>
      </c>
      <c r="G61" s="21" t="str">
        <f t="shared" si="21"/>
        <v/>
      </c>
      <c r="H61" s="21" t="str">
        <f t="shared" si="22"/>
        <v/>
      </c>
      <c r="I61" s="23">
        <f>N(Cadastro!$R61)</f>
        <v>0</v>
      </c>
      <c r="J61" s="23">
        <f>N(Cadastro!$S61)</f>
        <v>0</v>
      </c>
      <c r="K61" s="23">
        <f>N(Cadastro!$T61)</f>
        <v>0</v>
      </c>
      <c r="L61" s="23">
        <f>N(Cadastro!$U61)</f>
        <v>0</v>
      </c>
      <c r="M61" s="21" t="str">
        <f t="shared" si="23"/>
        <v/>
      </c>
      <c r="N61" s="21" t="str">
        <f t="shared" si="24"/>
        <v/>
      </c>
      <c r="O61" s="21" t="str">
        <f t="shared" si="25"/>
        <v/>
      </c>
      <c r="P61" s="21" t="str">
        <f t="shared" si="26"/>
        <v/>
      </c>
      <c r="Q61" s="21" t="str">
        <f t="shared" si="27"/>
        <v/>
      </c>
      <c r="R61" s="21" t="str">
        <f t="shared" si="28"/>
        <v/>
      </c>
      <c r="S61" s="21" t="str">
        <f t="shared" si="29"/>
        <v/>
      </c>
      <c r="T61" s="19" t="str">
        <f t="shared" si="30"/>
        <v/>
      </c>
      <c r="U61" s="21" t="str">
        <f t="shared" si="31"/>
        <v/>
      </c>
      <c r="V61" s="19" t="str">
        <f t="shared" si="32"/>
        <v/>
      </c>
      <c r="W61" s="19" t="str">
        <f t="shared" si="33"/>
        <v/>
      </c>
      <c r="X61" s="21">
        <f t="shared" si="34"/>
        <v>0</v>
      </c>
      <c r="Y61" s="21">
        <f t="shared" si="35"/>
        <v>0</v>
      </c>
    </row>
    <row r="62" spans="1:25" x14ac:dyDescent="0.3">
      <c r="A62" s="21" t="str">
        <f>IF(Cadastro!$B62="","",Cadastro!$B62)</f>
        <v/>
      </c>
      <c r="B62" s="21" t="str">
        <f>IF(Cadastro!$C62="","",Cadastro!$C62)</f>
        <v/>
      </c>
      <c r="C62" s="19" t="str">
        <f t="shared" si="18"/>
        <v/>
      </c>
      <c r="D62" s="19" t="str">
        <f t="shared" si="19"/>
        <v/>
      </c>
      <c r="E62" s="23">
        <f>N(Cadastro!$F62)</f>
        <v>0</v>
      </c>
      <c r="F62" s="21" t="str">
        <f t="shared" si="20"/>
        <v/>
      </c>
      <c r="G62" s="21" t="str">
        <f t="shared" si="21"/>
        <v/>
      </c>
      <c r="H62" s="21" t="str">
        <f t="shared" si="22"/>
        <v/>
      </c>
      <c r="I62" s="23">
        <f>N(Cadastro!$R62)</f>
        <v>0</v>
      </c>
      <c r="J62" s="23">
        <f>N(Cadastro!$S62)</f>
        <v>0</v>
      </c>
      <c r="K62" s="23">
        <f>N(Cadastro!$T62)</f>
        <v>0</v>
      </c>
      <c r="L62" s="23">
        <f>N(Cadastro!$U62)</f>
        <v>0</v>
      </c>
      <c r="M62" s="21" t="str">
        <f t="shared" si="23"/>
        <v/>
      </c>
      <c r="N62" s="21" t="str">
        <f t="shared" si="24"/>
        <v/>
      </c>
      <c r="O62" s="21" t="str">
        <f t="shared" si="25"/>
        <v/>
      </c>
      <c r="P62" s="21" t="str">
        <f t="shared" si="26"/>
        <v/>
      </c>
      <c r="Q62" s="21" t="str">
        <f t="shared" si="27"/>
        <v/>
      </c>
      <c r="R62" s="21" t="str">
        <f t="shared" si="28"/>
        <v/>
      </c>
      <c r="S62" s="21" t="str">
        <f t="shared" si="29"/>
        <v/>
      </c>
      <c r="T62" s="19" t="str">
        <f t="shared" si="30"/>
        <v/>
      </c>
      <c r="U62" s="21" t="str">
        <f t="shared" si="31"/>
        <v/>
      </c>
      <c r="V62" s="19" t="str">
        <f t="shared" si="32"/>
        <v/>
      </c>
      <c r="W62" s="19" t="str">
        <f t="shared" si="33"/>
        <v/>
      </c>
      <c r="X62" s="21">
        <f t="shared" si="34"/>
        <v>0</v>
      </c>
      <c r="Y62" s="21">
        <f t="shared" si="35"/>
        <v>0</v>
      </c>
    </row>
    <row r="63" spans="1:25" x14ac:dyDescent="0.3">
      <c r="A63" s="21" t="str">
        <f>IF(Cadastro!$B63="","",Cadastro!$B63)</f>
        <v/>
      </c>
      <c r="B63" s="21" t="str">
        <f>IF(Cadastro!$C63="","",Cadastro!$C63)</f>
        <v/>
      </c>
      <c r="C63" s="19" t="str">
        <f t="shared" si="18"/>
        <v/>
      </c>
      <c r="D63" s="19" t="str">
        <f t="shared" si="19"/>
        <v/>
      </c>
      <c r="E63" s="23">
        <f>N(Cadastro!$F63)</f>
        <v>0</v>
      </c>
      <c r="F63" s="21" t="str">
        <f t="shared" si="20"/>
        <v/>
      </c>
      <c r="G63" s="21" t="str">
        <f t="shared" si="21"/>
        <v/>
      </c>
      <c r="H63" s="21" t="str">
        <f t="shared" si="22"/>
        <v/>
      </c>
      <c r="I63" s="23">
        <f>N(Cadastro!$R63)</f>
        <v>0</v>
      </c>
      <c r="J63" s="23">
        <f>N(Cadastro!$S63)</f>
        <v>0</v>
      </c>
      <c r="K63" s="23">
        <f>N(Cadastro!$T63)</f>
        <v>0</v>
      </c>
      <c r="L63" s="23">
        <f>N(Cadastro!$U63)</f>
        <v>0</v>
      </c>
      <c r="M63" s="21" t="str">
        <f t="shared" si="23"/>
        <v/>
      </c>
      <c r="N63" s="21" t="str">
        <f t="shared" si="24"/>
        <v/>
      </c>
      <c r="O63" s="21" t="str">
        <f t="shared" si="25"/>
        <v/>
      </c>
      <c r="P63" s="21" t="str">
        <f t="shared" si="26"/>
        <v/>
      </c>
      <c r="Q63" s="21" t="str">
        <f t="shared" si="27"/>
        <v/>
      </c>
      <c r="R63" s="21" t="str">
        <f t="shared" si="28"/>
        <v/>
      </c>
      <c r="S63" s="21" t="str">
        <f t="shared" si="29"/>
        <v/>
      </c>
      <c r="T63" s="19" t="str">
        <f t="shared" si="30"/>
        <v/>
      </c>
      <c r="U63" s="21" t="str">
        <f t="shared" si="31"/>
        <v/>
      </c>
      <c r="V63" s="19" t="str">
        <f t="shared" si="32"/>
        <v/>
      </c>
      <c r="W63" s="19" t="str">
        <f t="shared" si="33"/>
        <v/>
      </c>
      <c r="X63" s="21">
        <f t="shared" si="34"/>
        <v>0</v>
      </c>
      <c r="Y63" s="21">
        <f t="shared" si="35"/>
        <v>0</v>
      </c>
    </row>
    <row r="64" spans="1:25" x14ac:dyDescent="0.3">
      <c r="A64" s="21" t="str">
        <f>IF(Cadastro!$B64="","",Cadastro!$B64)</f>
        <v/>
      </c>
      <c r="B64" s="21" t="str">
        <f>IF(Cadastro!$C64="","",Cadastro!$C64)</f>
        <v/>
      </c>
      <c r="C64" s="19" t="str">
        <f t="shared" si="18"/>
        <v/>
      </c>
      <c r="D64" s="19" t="str">
        <f t="shared" si="19"/>
        <v/>
      </c>
      <c r="E64" s="23">
        <f>N(Cadastro!$F64)</f>
        <v>0</v>
      </c>
      <c r="F64" s="21" t="str">
        <f t="shared" si="20"/>
        <v/>
      </c>
      <c r="G64" s="21" t="str">
        <f t="shared" si="21"/>
        <v/>
      </c>
      <c r="H64" s="21" t="str">
        <f t="shared" si="22"/>
        <v/>
      </c>
      <c r="I64" s="23">
        <f>N(Cadastro!$R64)</f>
        <v>0</v>
      </c>
      <c r="J64" s="23">
        <f>N(Cadastro!$S64)</f>
        <v>0</v>
      </c>
      <c r="K64" s="23">
        <f>N(Cadastro!$T64)</f>
        <v>0</v>
      </c>
      <c r="L64" s="23">
        <f>N(Cadastro!$U64)</f>
        <v>0</v>
      </c>
      <c r="M64" s="21" t="str">
        <f t="shared" si="23"/>
        <v/>
      </c>
      <c r="N64" s="21" t="str">
        <f t="shared" si="24"/>
        <v/>
      </c>
      <c r="O64" s="21" t="str">
        <f t="shared" si="25"/>
        <v/>
      </c>
      <c r="P64" s="21" t="str">
        <f t="shared" si="26"/>
        <v/>
      </c>
      <c r="Q64" s="21" t="str">
        <f t="shared" si="27"/>
        <v/>
      </c>
      <c r="R64" s="21" t="str">
        <f t="shared" si="28"/>
        <v/>
      </c>
      <c r="S64" s="21" t="str">
        <f t="shared" si="29"/>
        <v/>
      </c>
      <c r="T64" s="19" t="str">
        <f t="shared" si="30"/>
        <v/>
      </c>
      <c r="U64" s="21" t="str">
        <f t="shared" si="31"/>
        <v/>
      </c>
      <c r="V64" s="19" t="str">
        <f t="shared" si="32"/>
        <v/>
      </c>
      <c r="W64" s="19" t="str">
        <f t="shared" si="33"/>
        <v/>
      </c>
      <c r="X64" s="21">
        <f t="shared" si="34"/>
        <v>0</v>
      </c>
      <c r="Y64" s="21">
        <f t="shared" si="35"/>
        <v>0</v>
      </c>
    </row>
    <row r="65" spans="1:25" x14ac:dyDescent="0.3">
      <c r="A65" s="21" t="str">
        <f>IF(Cadastro!$B65="","",Cadastro!$B65)</f>
        <v/>
      </c>
      <c r="B65" s="21" t="str">
        <f>IF(Cadastro!$C65="","",Cadastro!$C65)</f>
        <v/>
      </c>
      <c r="C65" s="19" t="str">
        <f t="shared" si="18"/>
        <v/>
      </c>
      <c r="D65" s="19" t="str">
        <f t="shared" si="19"/>
        <v/>
      </c>
      <c r="E65" s="23">
        <f>N(Cadastro!$F65)</f>
        <v>0</v>
      </c>
      <c r="F65" s="21" t="str">
        <f t="shared" si="20"/>
        <v/>
      </c>
      <c r="G65" s="21" t="str">
        <f t="shared" si="21"/>
        <v/>
      </c>
      <c r="H65" s="21" t="str">
        <f t="shared" si="22"/>
        <v/>
      </c>
      <c r="I65" s="23">
        <f>N(Cadastro!$R65)</f>
        <v>0</v>
      </c>
      <c r="J65" s="23">
        <f>N(Cadastro!$S65)</f>
        <v>0</v>
      </c>
      <c r="K65" s="23">
        <f>N(Cadastro!$T65)</f>
        <v>0</v>
      </c>
      <c r="L65" s="23">
        <f>N(Cadastro!$U65)</f>
        <v>0</v>
      </c>
      <c r="M65" s="21" t="str">
        <f t="shared" si="23"/>
        <v/>
      </c>
      <c r="N65" s="21" t="str">
        <f t="shared" si="24"/>
        <v/>
      </c>
      <c r="O65" s="21" t="str">
        <f t="shared" si="25"/>
        <v/>
      </c>
      <c r="P65" s="21" t="str">
        <f t="shared" si="26"/>
        <v/>
      </c>
      <c r="Q65" s="21" t="str">
        <f t="shared" si="27"/>
        <v/>
      </c>
      <c r="R65" s="21" t="str">
        <f t="shared" si="28"/>
        <v/>
      </c>
      <c r="S65" s="21" t="str">
        <f t="shared" si="29"/>
        <v/>
      </c>
      <c r="T65" s="19" t="str">
        <f t="shared" si="30"/>
        <v/>
      </c>
      <c r="U65" s="21" t="str">
        <f t="shared" si="31"/>
        <v/>
      </c>
      <c r="V65" s="19" t="str">
        <f t="shared" si="32"/>
        <v/>
      </c>
      <c r="W65" s="19" t="str">
        <f t="shared" si="33"/>
        <v/>
      </c>
      <c r="X65" s="21">
        <f t="shared" si="34"/>
        <v>0</v>
      </c>
      <c r="Y65" s="21">
        <f t="shared" si="35"/>
        <v>0</v>
      </c>
    </row>
    <row r="66" spans="1:25" x14ac:dyDescent="0.3">
      <c r="A66" s="21" t="str">
        <f>IF(Cadastro!$B66="","",Cadastro!$B66)</f>
        <v/>
      </c>
      <c r="B66" s="21" t="str">
        <f>IF(Cadastro!$C66="","",Cadastro!$C66)</f>
        <v/>
      </c>
      <c r="C66" s="19" t="str">
        <f t="shared" si="18"/>
        <v/>
      </c>
      <c r="D66" s="19" t="str">
        <f t="shared" si="19"/>
        <v/>
      </c>
      <c r="E66" s="23">
        <f>N(Cadastro!$F66)</f>
        <v>0</v>
      </c>
      <c r="F66" s="21" t="str">
        <f t="shared" si="20"/>
        <v/>
      </c>
      <c r="G66" s="21" t="str">
        <f t="shared" si="21"/>
        <v/>
      </c>
      <c r="H66" s="21" t="str">
        <f t="shared" si="22"/>
        <v/>
      </c>
      <c r="I66" s="23">
        <f>N(Cadastro!$R66)</f>
        <v>0</v>
      </c>
      <c r="J66" s="23">
        <f>N(Cadastro!$S66)</f>
        <v>0</v>
      </c>
      <c r="K66" s="23">
        <f>N(Cadastro!$T66)</f>
        <v>0</v>
      </c>
      <c r="L66" s="23">
        <f>N(Cadastro!$U66)</f>
        <v>0</v>
      </c>
      <c r="M66" s="21" t="str">
        <f t="shared" si="23"/>
        <v/>
      </c>
      <c r="N66" s="21" t="str">
        <f t="shared" si="24"/>
        <v/>
      </c>
      <c r="O66" s="21" t="str">
        <f t="shared" si="25"/>
        <v/>
      </c>
      <c r="P66" s="21" t="str">
        <f t="shared" si="26"/>
        <v/>
      </c>
      <c r="Q66" s="21" t="str">
        <f t="shared" si="27"/>
        <v/>
      </c>
      <c r="R66" s="21" t="str">
        <f t="shared" si="28"/>
        <v/>
      </c>
      <c r="S66" s="21" t="str">
        <f t="shared" si="29"/>
        <v/>
      </c>
      <c r="T66" s="19" t="str">
        <f t="shared" si="30"/>
        <v/>
      </c>
      <c r="U66" s="21" t="str">
        <f t="shared" si="31"/>
        <v/>
      </c>
      <c r="V66" s="19" t="str">
        <f t="shared" si="32"/>
        <v/>
      </c>
      <c r="W66" s="19" t="str">
        <f t="shared" si="33"/>
        <v/>
      </c>
      <c r="X66" s="21">
        <f t="shared" si="34"/>
        <v>0</v>
      </c>
      <c r="Y66" s="21">
        <f t="shared" si="35"/>
        <v>0</v>
      </c>
    </row>
    <row r="67" spans="1:25" x14ac:dyDescent="0.3">
      <c r="A67" s="21" t="str">
        <f>IF(Cadastro!$B67="","",Cadastro!$B67)</f>
        <v/>
      </c>
      <c r="B67" s="21" t="str">
        <f>IF(Cadastro!$C67="","",Cadastro!$C67)</f>
        <v/>
      </c>
      <c r="C67" s="19" t="str">
        <f t="shared" si="18"/>
        <v/>
      </c>
      <c r="D67" s="19" t="str">
        <f t="shared" si="19"/>
        <v/>
      </c>
      <c r="E67" s="23">
        <f>N(Cadastro!$F67)</f>
        <v>0</v>
      </c>
      <c r="F67" s="21" t="str">
        <f t="shared" si="20"/>
        <v/>
      </c>
      <c r="G67" s="21" t="str">
        <f t="shared" si="21"/>
        <v/>
      </c>
      <c r="H67" s="21" t="str">
        <f t="shared" si="22"/>
        <v/>
      </c>
      <c r="I67" s="23">
        <f>N(Cadastro!$R67)</f>
        <v>0</v>
      </c>
      <c r="J67" s="23">
        <f>N(Cadastro!$S67)</f>
        <v>0</v>
      </c>
      <c r="K67" s="23">
        <f>N(Cadastro!$T67)</f>
        <v>0</v>
      </c>
      <c r="L67" s="23">
        <f>N(Cadastro!$U67)</f>
        <v>0</v>
      </c>
      <c r="M67" s="21" t="str">
        <f t="shared" si="23"/>
        <v/>
      </c>
      <c r="N67" s="21" t="str">
        <f t="shared" si="24"/>
        <v/>
      </c>
      <c r="O67" s="21" t="str">
        <f t="shared" si="25"/>
        <v/>
      </c>
      <c r="P67" s="21" t="str">
        <f t="shared" si="26"/>
        <v/>
      </c>
      <c r="Q67" s="21" t="str">
        <f t="shared" si="27"/>
        <v/>
      </c>
      <c r="R67" s="21" t="str">
        <f t="shared" si="28"/>
        <v/>
      </c>
      <c r="S67" s="21" t="str">
        <f t="shared" si="29"/>
        <v/>
      </c>
      <c r="T67" s="19" t="str">
        <f t="shared" si="30"/>
        <v/>
      </c>
      <c r="U67" s="21" t="str">
        <f t="shared" si="31"/>
        <v/>
      </c>
      <c r="V67" s="19" t="str">
        <f t="shared" si="32"/>
        <v/>
      </c>
      <c r="W67" s="19" t="str">
        <f t="shared" si="33"/>
        <v/>
      </c>
      <c r="X67" s="21">
        <f t="shared" si="34"/>
        <v>0</v>
      </c>
      <c r="Y67" s="21">
        <f t="shared" si="35"/>
        <v>0</v>
      </c>
    </row>
    <row r="68" spans="1:25" x14ac:dyDescent="0.3">
      <c r="A68" s="21" t="str">
        <f>IF(Cadastro!$B68="","",Cadastro!$B68)</f>
        <v/>
      </c>
      <c r="B68" s="21" t="str">
        <f>IF(Cadastro!$C68="","",Cadastro!$C68)</f>
        <v/>
      </c>
      <c r="C68" s="19" t="str">
        <f t="shared" si="18"/>
        <v/>
      </c>
      <c r="D68" s="19" t="str">
        <f t="shared" si="19"/>
        <v/>
      </c>
      <c r="E68" s="23">
        <f>N(Cadastro!$F68)</f>
        <v>0</v>
      </c>
      <c r="F68" s="21" t="str">
        <f t="shared" si="20"/>
        <v/>
      </c>
      <c r="G68" s="21" t="str">
        <f t="shared" si="21"/>
        <v/>
      </c>
      <c r="H68" s="21" t="str">
        <f t="shared" si="22"/>
        <v/>
      </c>
      <c r="I68" s="23">
        <f>N(Cadastro!$R68)</f>
        <v>0</v>
      </c>
      <c r="J68" s="23">
        <f>N(Cadastro!$S68)</f>
        <v>0</v>
      </c>
      <c r="K68" s="23">
        <f>N(Cadastro!$T68)</f>
        <v>0</v>
      </c>
      <c r="L68" s="23">
        <f>N(Cadastro!$U68)</f>
        <v>0</v>
      </c>
      <c r="M68" s="21" t="str">
        <f t="shared" si="23"/>
        <v/>
      </c>
      <c r="N68" s="21" t="str">
        <f t="shared" si="24"/>
        <v/>
      </c>
      <c r="O68" s="21" t="str">
        <f t="shared" si="25"/>
        <v/>
      </c>
      <c r="P68" s="21" t="str">
        <f t="shared" si="26"/>
        <v/>
      </c>
      <c r="Q68" s="21" t="str">
        <f t="shared" si="27"/>
        <v/>
      </c>
      <c r="R68" s="21" t="str">
        <f t="shared" si="28"/>
        <v/>
      </c>
      <c r="S68" s="21" t="str">
        <f t="shared" si="29"/>
        <v/>
      </c>
      <c r="T68" s="19" t="str">
        <f t="shared" si="30"/>
        <v/>
      </c>
      <c r="U68" s="21" t="str">
        <f t="shared" si="31"/>
        <v/>
      </c>
      <c r="V68" s="19" t="str">
        <f t="shared" si="32"/>
        <v/>
      </c>
      <c r="W68" s="19" t="str">
        <f t="shared" si="33"/>
        <v/>
      </c>
      <c r="X68" s="21">
        <f t="shared" si="34"/>
        <v>0</v>
      </c>
      <c r="Y68" s="21">
        <f t="shared" si="35"/>
        <v>0</v>
      </c>
    </row>
    <row r="69" spans="1:25" x14ac:dyDescent="0.3">
      <c r="A69" s="21" t="str">
        <f>IF(Cadastro!$B69="","",Cadastro!$B69)</f>
        <v/>
      </c>
      <c r="B69" s="21" t="str">
        <f>IF(Cadastro!$C69="","",Cadastro!$C69)</f>
        <v/>
      </c>
      <c r="C69" s="19" t="str">
        <f t="shared" ref="C69:C100" si="36">IF($B69="","",IFERROR(INDEX(Prod_Desc,MATCH($B69,Prod_Cod,0)),"PRODUTO NÃO CADASTRADO"))</f>
        <v/>
      </c>
      <c r="D69" s="19" t="str">
        <f t="shared" ref="D69:D100" si="37">IF($B69="","",IFERROR(INDEX(Prod_Tipo,MATCH($B69,Prod_Cod,0)),"NÃO CLASSIFICADO"))</f>
        <v/>
      </c>
      <c r="E69" s="23">
        <f>N(Cadastro!$F69)</f>
        <v>0</v>
      </c>
      <c r="F69" s="21" t="str">
        <f t="shared" ref="F69:F100" si="38">IF($A69="","",SUMIFS(SC_Qtd,SC_Cham,$A69,SC_Prod,$B69))</f>
        <v/>
      </c>
      <c r="G69" s="21" t="str">
        <f t="shared" ref="G69:G100" si="39">IF($A69="","",SUMIFS(OC_Qtd,OC_Cham,$A69,OC_Prod,$B69))</f>
        <v/>
      </c>
      <c r="H69" s="21" t="str">
        <f t="shared" ref="H69:H100" si="40">IF($A69="","",SUMIFS(Ent_Qtd,Ent_Cham,$A69,Ent_Prod,$B69))</f>
        <v/>
      </c>
      <c r="I69" s="23">
        <f>N(Cadastro!$R69)</f>
        <v>0</v>
      </c>
      <c r="J69" s="23">
        <f>N(Cadastro!$S69)</f>
        <v>0</v>
      </c>
      <c r="K69" s="23">
        <f>N(Cadastro!$T69)</f>
        <v>0</v>
      </c>
      <c r="L69" s="23">
        <f>N(Cadastro!$U69)</f>
        <v>0</v>
      </c>
      <c r="M69" s="21" t="str">
        <f t="shared" ref="M69:M100" si="41">IF($A69="","",N($F69)-N($E69))</f>
        <v/>
      </c>
      <c r="N69" s="21" t="str">
        <f t="shared" ref="N69:N100" si="42">IF($A69="","",N($G69)-N($F69))</f>
        <v/>
      </c>
      <c r="O69" s="21" t="str">
        <f t="shared" ref="O69:O100" si="43">IF($A69="","",N($H69)-N($G69))</f>
        <v/>
      </c>
      <c r="P69" s="21" t="str">
        <f t="shared" ref="P69:P100" si="44">IF($A69="","",N($I69)-N($H69))</f>
        <v/>
      </c>
      <c r="Q69" s="21" t="str">
        <f t="shared" ref="Q69:Q100" si="45">IF($A69="","",N($J69)-N($I69))</f>
        <v/>
      </c>
      <c r="R69" s="21" t="str">
        <f t="shared" ref="R69:R100" si="46">IF($A69="","",N($K69)-N($J69))</f>
        <v/>
      </c>
      <c r="S69" s="21" t="str">
        <f t="shared" ref="S69:S100" si="47">IF($A69="","",N($L69)-N($K69))</f>
        <v/>
      </c>
      <c r="T69" s="19" t="str">
        <f t="shared" ref="T69:T100" si="48">IF($A69="","",IF(AND($X69&gt;2,$M69&lt;&gt;0),"DIVERGÊNCIA NA SOLICITAÇÃO",IF(AND($X69&gt;3,$N69&lt;&gt;0),"DIVERGÊNCIA NA COMPRA",IF(AND($X69&gt;4,$O69&lt;&gt;0),"MATERIAL NÃO RECEBIDO",IF(AND($X69&gt;5,$P69&lt;&gt;0),"MATERIAL NÃO LIBERADO",IF(AND($X69&gt;8,$Q69&lt;&gt;0),"MATERIAL NÃO INSTALADO",IF(AND($X69&gt;9,$R69&lt;&gt;0),"INSTALADO SEM IP",IF(AND($X69&gt;10,$S69&lt;&gt;0),"IP NÃO INCLUÍDO NO VMS",IF(OR($M69&lt;&gt;0,$N69&lt;&gt;0,$O69&lt;&gt;0,$P69&lt;&gt;0,$Q69&lt;&gt;0,$R69&lt;&gt;0,$S69&lt;&gt;0),"EM DIA COM A ETAPA","OK")))))))))</f>
        <v/>
      </c>
      <c r="U69" s="21" t="str">
        <f t="shared" ref="U69:U100" si="49">IF($A69="","",MAX(N($E69)-N($L69),0))</f>
        <v/>
      </c>
      <c r="V69" s="19" t="str">
        <f t="shared" ref="V69:V100" si="50">IF($A69="","",IFERROR(INDEX(Proj_Unid,MATCH($A69,Proj_Cham,0)),""))</f>
        <v/>
      </c>
      <c r="W69" s="19" t="str">
        <f t="shared" ref="W69:W100" si="51">IF($A69="","",IFERROR(INDEX(Proj_Rotulo,MATCH($A69,Proj_Cham,0)),""))</f>
        <v/>
      </c>
      <c r="X69" s="21">
        <f t="shared" ref="X69:X100" si="52">IF($A69="",0,IFERROR(INDEX(Proj_OrdEtapa,MATCH($A69,Proj_Cham,0)),0))</f>
        <v>0</v>
      </c>
      <c r="Y69" s="21">
        <f t="shared" ref="Y69:Y100" si="53">IF(OR($T69="",$T69="OK",$T69="EM DIA COM A ETAPA"),0,1)</f>
        <v>0</v>
      </c>
    </row>
    <row r="70" spans="1:25" x14ac:dyDescent="0.3">
      <c r="A70" s="21" t="str">
        <f>IF(Cadastro!$B70="","",Cadastro!$B70)</f>
        <v/>
      </c>
      <c r="B70" s="21" t="str">
        <f>IF(Cadastro!$C70="","",Cadastro!$C70)</f>
        <v/>
      </c>
      <c r="C70" s="19" t="str">
        <f t="shared" si="36"/>
        <v/>
      </c>
      <c r="D70" s="19" t="str">
        <f t="shared" si="37"/>
        <v/>
      </c>
      <c r="E70" s="23">
        <f>N(Cadastro!$F70)</f>
        <v>0</v>
      </c>
      <c r="F70" s="21" t="str">
        <f t="shared" si="38"/>
        <v/>
      </c>
      <c r="G70" s="21" t="str">
        <f t="shared" si="39"/>
        <v/>
      </c>
      <c r="H70" s="21" t="str">
        <f t="shared" si="40"/>
        <v/>
      </c>
      <c r="I70" s="23">
        <f>N(Cadastro!$R70)</f>
        <v>0</v>
      </c>
      <c r="J70" s="23">
        <f>N(Cadastro!$S70)</f>
        <v>0</v>
      </c>
      <c r="K70" s="23">
        <f>N(Cadastro!$T70)</f>
        <v>0</v>
      </c>
      <c r="L70" s="23">
        <f>N(Cadastro!$U70)</f>
        <v>0</v>
      </c>
      <c r="M70" s="21" t="str">
        <f t="shared" si="41"/>
        <v/>
      </c>
      <c r="N70" s="21" t="str">
        <f t="shared" si="42"/>
        <v/>
      </c>
      <c r="O70" s="21" t="str">
        <f t="shared" si="43"/>
        <v/>
      </c>
      <c r="P70" s="21" t="str">
        <f t="shared" si="44"/>
        <v/>
      </c>
      <c r="Q70" s="21" t="str">
        <f t="shared" si="45"/>
        <v/>
      </c>
      <c r="R70" s="21" t="str">
        <f t="shared" si="46"/>
        <v/>
      </c>
      <c r="S70" s="21" t="str">
        <f t="shared" si="47"/>
        <v/>
      </c>
      <c r="T70" s="19" t="str">
        <f t="shared" si="48"/>
        <v/>
      </c>
      <c r="U70" s="21" t="str">
        <f t="shared" si="49"/>
        <v/>
      </c>
      <c r="V70" s="19" t="str">
        <f t="shared" si="50"/>
        <v/>
      </c>
      <c r="W70" s="19" t="str">
        <f t="shared" si="51"/>
        <v/>
      </c>
      <c r="X70" s="21">
        <f t="shared" si="52"/>
        <v>0</v>
      </c>
      <c r="Y70" s="21">
        <f t="shared" si="53"/>
        <v>0</v>
      </c>
    </row>
    <row r="71" spans="1:25" x14ac:dyDescent="0.3">
      <c r="A71" s="21" t="str">
        <f>IF(Cadastro!$B71="","",Cadastro!$B71)</f>
        <v/>
      </c>
      <c r="B71" s="21" t="str">
        <f>IF(Cadastro!$C71="","",Cadastro!$C71)</f>
        <v/>
      </c>
      <c r="C71" s="19" t="str">
        <f t="shared" si="36"/>
        <v/>
      </c>
      <c r="D71" s="19" t="str">
        <f t="shared" si="37"/>
        <v/>
      </c>
      <c r="E71" s="23">
        <f>N(Cadastro!$F71)</f>
        <v>0</v>
      </c>
      <c r="F71" s="21" t="str">
        <f t="shared" si="38"/>
        <v/>
      </c>
      <c r="G71" s="21" t="str">
        <f t="shared" si="39"/>
        <v/>
      </c>
      <c r="H71" s="21" t="str">
        <f t="shared" si="40"/>
        <v/>
      </c>
      <c r="I71" s="23">
        <f>N(Cadastro!$R71)</f>
        <v>0</v>
      </c>
      <c r="J71" s="23">
        <f>N(Cadastro!$S71)</f>
        <v>0</v>
      </c>
      <c r="K71" s="23">
        <f>N(Cadastro!$T71)</f>
        <v>0</v>
      </c>
      <c r="L71" s="23">
        <f>N(Cadastro!$U71)</f>
        <v>0</v>
      </c>
      <c r="M71" s="21" t="str">
        <f t="shared" si="41"/>
        <v/>
      </c>
      <c r="N71" s="21" t="str">
        <f t="shared" si="42"/>
        <v/>
      </c>
      <c r="O71" s="21" t="str">
        <f t="shared" si="43"/>
        <v/>
      </c>
      <c r="P71" s="21" t="str">
        <f t="shared" si="44"/>
        <v/>
      </c>
      <c r="Q71" s="21" t="str">
        <f t="shared" si="45"/>
        <v/>
      </c>
      <c r="R71" s="21" t="str">
        <f t="shared" si="46"/>
        <v/>
      </c>
      <c r="S71" s="21" t="str">
        <f t="shared" si="47"/>
        <v/>
      </c>
      <c r="T71" s="19" t="str">
        <f t="shared" si="48"/>
        <v/>
      </c>
      <c r="U71" s="21" t="str">
        <f t="shared" si="49"/>
        <v/>
      </c>
      <c r="V71" s="19" t="str">
        <f t="shared" si="50"/>
        <v/>
      </c>
      <c r="W71" s="19" t="str">
        <f t="shared" si="51"/>
        <v/>
      </c>
      <c r="X71" s="21">
        <f t="shared" si="52"/>
        <v>0</v>
      </c>
      <c r="Y71" s="21">
        <f t="shared" si="53"/>
        <v>0</v>
      </c>
    </row>
    <row r="72" spans="1:25" x14ac:dyDescent="0.3">
      <c r="A72" s="21" t="str">
        <f>IF(Cadastro!$B72="","",Cadastro!$B72)</f>
        <v/>
      </c>
      <c r="B72" s="21" t="str">
        <f>IF(Cadastro!$C72="","",Cadastro!$C72)</f>
        <v/>
      </c>
      <c r="C72" s="19" t="str">
        <f t="shared" si="36"/>
        <v/>
      </c>
      <c r="D72" s="19" t="str">
        <f t="shared" si="37"/>
        <v/>
      </c>
      <c r="E72" s="23">
        <f>N(Cadastro!$F72)</f>
        <v>0</v>
      </c>
      <c r="F72" s="21" t="str">
        <f t="shared" si="38"/>
        <v/>
      </c>
      <c r="G72" s="21" t="str">
        <f t="shared" si="39"/>
        <v/>
      </c>
      <c r="H72" s="21" t="str">
        <f t="shared" si="40"/>
        <v/>
      </c>
      <c r="I72" s="23">
        <f>N(Cadastro!$R72)</f>
        <v>0</v>
      </c>
      <c r="J72" s="23">
        <f>N(Cadastro!$S72)</f>
        <v>0</v>
      </c>
      <c r="K72" s="23">
        <f>N(Cadastro!$T72)</f>
        <v>0</v>
      </c>
      <c r="L72" s="23">
        <f>N(Cadastro!$U72)</f>
        <v>0</v>
      </c>
      <c r="M72" s="21" t="str">
        <f t="shared" si="41"/>
        <v/>
      </c>
      <c r="N72" s="21" t="str">
        <f t="shared" si="42"/>
        <v/>
      </c>
      <c r="O72" s="21" t="str">
        <f t="shared" si="43"/>
        <v/>
      </c>
      <c r="P72" s="21" t="str">
        <f t="shared" si="44"/>
        <v/>
      </c>
      <c r="Q72" s="21" t="str">
        <f t="shared" si="45"/>
        <v/>
      </c>
      <c r="R72" s="21" t="str">
        <f t="shared" si="46"/>
        <v/>
      </c>
      <c r="S72" s="21" t="str">
        <f t="shared" si="47"/>
        <v/>
      </c>
      <c r="T72" s="19" t="str">
        <f t="shared" si="48"/>
        <v/>
      </c>
      <c r="U72" s="21" t="str">
        <f t="shared" si="49"/>
        <v/>
      </c>
      <c r="V72" s="19" t="str">
        <f t="shared" si="50"/>
        <v/>
      </c>
      <c r="W72" s="19" t="str">
        <f t="shared" si="51"/>
        <v/>
      </c>
      <c r="X72" s="21">
        <f t="shared" si="52"/>
        <v>0</v>
      </c>
      <c r="Y72" s="21">
        <f t="shared" si="53"/>
        <v>0</v>
      </c>
    </row>
    <row r="73" spans="1:25" x14ac:dyDescent="0.3">
      <c r="A73" s="21" t="str">
        <f>IF(Cadastro!$B73="","",Cadastro!$B73)</f>
        <v/>
      </c>
      <c r="B73" s="21" t="str">
        <f>IF(Cadastro!$C73="","",Cadastro!$C73)</f>
        <v/>
      </c>
      <c r="C73" s="19" t="str">
        <f t="shared" si="36"/>
        <v/>
      </c>
      <c r="D73" s="19" t="str">
        <f t="shared" si="37"/>
        <v/>
      </c>
      <c r="E73" s="23">
        <f>N(Cadastro!$F73)</f>
        <v>0</v>
      </c>
      <c r="F73" s="21" t="str">
        <f t="shared" si="38"/>
        <v/>
      </c>
      <c r="G73" s="21" t="str">
        <f t="shared" si="39"/>
        <v/>
      </c>
      <c r="H73" s="21" t="str">
        <f t="shared" si="40"/>
        <v/>
      </c>
      <c r="I73" s="23">
        <f>N(Cadastro!$R73)</f>
        <v>0</v>
      </c>
      <c r="J73" s="23">
        <f>N(Cadastro!$S73)</f>
        <v>0</v>
      </c>
      <c r="K73" s="23">
        <f>N(Cadastro!$T73)</f>
        <v>0</v>
      </c>
      <c r="L73" s="23">
        <f>N(Cadastro!$U73)</f>
        <v>0</v>
      </c>
      <c r="M73" s="21" t="str">
        <f t="shared" si="41"/>
        <v/>
      </c>
      <c r="N73" s="21" t="str">
        <f t="shared" si="42"/>
        <v/>
      </c>
      <c r="O73" s="21" t="str">
        <f t="shared" si="43"/>
        <v/>
      </c>
      <c r="P73" s="21" t="str">
        <f t="shared" si="44"/>
        <v/>
      </c>
      <c r="Q73" s="21" t="str">
        <f t="shared" si="45"/>
        <v/>
      </c>
      <c r="R73" s="21" t="str">
        <f t="shared" si="46"/>
        <v/>
      </c>
      <c r="S73" s="21" t="str">
        <f t="shared" si="47"/>
        <v/>
      </c>
      <c r="T73" s="19" t="str">
        <f t="shared" si="48"/>
        <v/>
      </c>
      <c r="U73" s="21" t="str">
        <f t="shared" si="49"/>
        <v/>
      </c>
      <c r="V73" s="19" t="str">
        <f t="shared" si="50"/>
        <v/>
      </c>
      <c r="W73" s="19" t="str">
        <f t="shared" si="51"/>
        <v/>
      </c>
      <c r="X73" s="21">
        <f t="shared" si="52"/>
        <v>0</v>
      </c>
      <c r="Y73" s="21">
        <f t="shared" si="53"/>
        <v>0</v>
      </c>
    </row>
    <row r="74" spans="1:25" x14ac:dyDescent="0.3">
      <c r="A74" s="21" t="str">
        <f>IF(Cadastro!$B74="","",Cadastro!$B74)</f>
        <v/>
      </c>
      <c r="B74" s="21" t="str">
        <f>IF(Cadastro!$C74="","",Cadastro!$C74)</f>
        <v/>
      </c>
      <c r="C74" s="19" t="str">
        <f t="shared" si="36"/>
        <v/>
      </c>
      <c r="D74" s="19" t="str">
        <f t="shared" si="37"/>
        <v/>
      </c>
      <c r="E74" s="23">
        <f>N(Cadastro!$F74)</f>
        <v>0</v>
      </c>
      <c r="F74" s="21" t="str">
        <f t="shared" si="38"/>
        <v/>
      </c>
      <c r="G74" s="21" t="str">
        <f t="shared" si="39"/>
        <v/>
      </c>
      <c r="H74" s="21" t="str">
        <f t="shared" si="40"/>
        <v/>
      </c>
      <c r="I74" s="23">
        <f>N(Cadastro!$R74)</f>
        <v>0</v>
      </c>
      <c r="J74" s="23">
        <f>N(Cadastro!$S74)</f>
        <v>0</v>
      </c>
      <c r="K74" s="23">
        <f>N(Cadastro!$T74)</f>
        <v>0</v>
      </c>
      <c r="L74" s="23">
        <f>N(Cadastro!$U74)</f>
        <v>0</v>
      </c>
      <c r="M74" s="21" t="str">
        <f t="shared" si="41"/>
        <v/>
      </c>
      <c r="N74" s="21" t="str">
        <f t="shared" si="42"/>
        <v/>
      </c>
      <c r="O74" s="21" t="str">
        <f t="shared" si="43"/>
        <v/>
      </c>
      <c r="P74" s="21" t="str">
        <f t="shared" si="44"/>
        <v/>
      </c>
      <c r="Q74" s="21" t="str">
        <f t="shared" si="45"/>
        <v/>
      </c>
      <c r="R74" s="21" t="str">
        <f t="shared" si="46"/>
        <v/>
      </c>
      <c r="S74" s="21" t="str">
        <f t="shared" si="47"/>
        <v/>
      </c>
      <c r="T74" s="19" t="str">
        <f t="shared" si="48"/>
        <v/>
      </c>
      <c r="U74" s="21" t="str">
        <f t="shared" si="49"/>
        <v/>
      </c>
      <c r="V74" s="19" t="str">
        <f t="shared" si="50"/>
        <v/>
      </c>
      <c r="W74" s="19" t="str">
        <f t="shared" si="51"/>
        <v/>
      </c>
      <c r="X74" s="21">
        <f t="shared" si="52"/>
        <v>0</v>
      </c>
      <c r="Y74" s="21">
        <f t="shared" si="53"/>
        <v>0</v>
      </c>
    </row>
    <row r="75" spans="1:25" x14ac:dyDescent="0.3">
      <c r="A75" s="21" t="str">
        <f>IF(Cadastro!$B75="","",Cadastro!$B75)</f>
        <v/>
      </c>
      <c r="B75" s="21" t="str">
        <f>IF(Cadastro!$C75="","",Cadastro!$C75)</f>
        <v/>
      </c>
      <c r="C75" s="19" t="str">
        <f t="shared" si="36"/>
        <v/>
      </c>
      <c r="D75" s="19" t="str">
        <f t="shared" si="37"/>
        <v/>
      </c>
      <c r="E75" s="23">
        <f>N(Cadastro!$F75)</f>
        <v>0</v>
      </c>
      <c r="F75" s="21" t="str">
        <f t="shared" si="38"/>
        <v/>
      </c>
      <c r="G75" s="21" t="str">
        <f t="shared" si="39"/>
        <v/>
      </c>
      <c r="H75" s="21" t="str">
        <f t="shared" si="40"/>
        <v/>
      </c>
      <c r="I75" s="23">
        <f>N(Cadastro!$R75)</f>
        <v>0</v>
      </c>
      <c r="J75" s="23">
        <f>N(Cadastro!$S75)</f>
        <v>0</v>
      </c>
      <c r="K75" s="23">
        <f>N(Cadastro!$T75)</f>
        <v>0</v>
      </c>
      <c r="L75" s="23">
        <f>N(Cadastro!$U75)</f>
        <v>0</v>
      </c>
      <c r="M75" s="21" t="str">
        <f t="shared" si="41"/>
        <v/>
      </c>
      <c r="N75" s="21" t="str">
        <f t="shared" si="42"/>
        <v/>
      </c>
      <c r="O75" s="21" t="str">
        <f t="shared" si="43"/>
        <v/>
      </c>
      <c r="P75" s="21" t="str">
        <f t="shared" si="44"/>
        <v/>
      </c>
      <c r="Q75" s="21" t="str">
        <f t="shared" si="45"/>
        <v/>
      </c>
      <c r="R75" s="21" t="str">
        <f t="shared" si="46"/>
        <v/>
      </c>
      <c r="S75" s="21" t="str">
        <f t="shared" si="47"/>
        <v/>
      </c>
      <c r="T75" s="19" t="str">
        <f t="shared" si="48"/>
        <v/>
      </c>
      <c r="U75" s="21" t="str">
        <f t="shared" si="49"/>
        <v/>
      </c>
      <c r="V75" s="19" t="str">
        <f t="shared" si="50"/>
        <v/>
      </c>
      <c r="W75" s="19" t="str">
        <f t="shared" si="51"/>
        <v/>
      </c>
      <c r="X75" s="21">
        <f t="shared" si="52"/>
        <v>0</v>
      </c>
      <c r="Y75" s="21">
        <f t="shared" si="53"/>
        <v>0</v>
      </c>
    </row>
    <row r="76" spans="1:25" x14ac:dyDescent="0.3">
      <c r="A76" s="21" t="str">
        <f>IF(Cadastro!$B76="","",Cadastro!$B76)</f>
        <v/>
      </c>
      <c r="B76" s="21" t="str">
        <f>IF(Cadastro!$C76="","",Cadastro!$C76)</f>
        <v/>
      </c>
      <c r="C76" s="19" t="str">
        <f t="shared" si="36"/>
        <v/>
      </c>
      <c r="D76" s="19" t="str">
        <f t="shared" si="37"/>
        <v/>
      </c>
      <c r="E76" s="23">
        <f>N(Cadastro!$F76)</f>
        <v>0</v>
      </c>
      <c r="F76" s="21" t="str">
        <f t="shared" si="38"/>
        <v/>
      </c>
      <c r="G76" s="21" t="str">
        <f t="shared" si="39"/>
        <v/>
      </c>
      <c r="H76" s="21" t="str">
        <f t="shared" si="40"/>
        <v/>
      </c>
      <c r="I76" s="23">
        <f>N(Cadastro!$R76)</f>
        <v>0</v>
      </c>
      <c r="J76" s="23">
        <f>N(Cadastro!$S76)</f>
        <v>0</v>
      </c>
      <c r="K76" s="23">
        <f>N(Cadastro!$T76)</f>
        <v>0</v>
      </c>
      <c r="L76" s="23">
        <f>N(Cadastro!$U76)</f>
        <v>0</v>
      </c>
      <c r="M76" s="21" t="str">
        <f t="shared" si="41"/>
        <v/>
      </c>
      <c r="N76" s="21" t="str">
        <f t="shared" si="42"/>
        <v/>
      </c>
      <c r="O76" s="21" t="str">
        <f t="shared" si="43"/>
        <v/>
      </c>
      <c r="P76" s="21" t="str">
        <f t="shared" si="44"/>
        <v/>
      </c>
      <c r="Q76" s="21" t="str">
        <f t="shared" si="45"/>
        <v/>
      </c>
      <c r="R76" s="21" t="str">
        <f t="shared" si="46"/>
        <v/>
      </c>
      <c r="S76" s="21" t="str">
        <f t="shared" si="47"/>
        <v/>
      </c>
      <c r="T76" s="19" t="str">
        <f t="shared" si="48"/>
        <v/>
      </c>
      <c r="U76" s="21" t="str">
        <f t="shared" si="49"/>
        <v/>
      </c>
      <c r="V76" s="19" t="str">
        <f t="shared" si="50"/>
        <v/>
      </c>
      <c r="W76" s="19" t="str">
        <f t="shared" si="51"/>
        <v/>
      </c>
      <c r="X76" s="21">
        <f t="shared" si="52"/>
        <v>0</v>
      </c>
      <c r="Y76" s="21">
        <f t="shared" si="53"/>
        <v>0</v>
      </c>
    </row>
    <row r="77" spans="1:25" x14ac:dyDescent="0.3">
      <c r="A77" s="21" t="str">
        <f>IF(Cadastro!$B77="","",Cadastro!$B77)</f>
        <v/>
      </c>
      <c r="B77" s="21" t="str">
        <f>IF(Cadastro!$C77="","",Cadastro!$C77)</f>
        <v/>
      </c>
      <c r="C77" s="19" t="str">
        <f t="shared" si="36"/>
        <v/>
      </c>
      <c r="D77" s="19" t="str">
        <f t="shared" si="37"/>
        <v/>
      </c>
      <c r="E77" s="23">
        <f>N(Cadastro!$F77)</f>
        <v>0</v>
      </c>
      <c r="F77" s="21" t="str">
        <f t="shared" si="38"/>
        <v/>
      </c>
      <c r="G77" s="21" t="str">
        <f t="shared" si="39"/>
        <v/>
      </c>
      <c r="H77" s="21" t="str">
        <f t="shared" si="40"/>
        <v/>
      </c>
      <c r="I77" s="23">
        <f>N(Cadastro!$R77)</f>
        <v>0</v>
      </c>
      <c r="J77" s="23">
        <f>N(Cadastro!$S77)</f>
        <v>0</v>
      </c>
      <c r="K77" s="23">
        <f>N(Cadastro!$T77)</f>
        <v>0</v>
      </c>
      <c r="L77" s="23">
        <f>N(Cadastro!$U77)</f>
        <v>0</v>
      </c>
      <c r="M77" s="21" t="str">
        <f t="shared" si="41"/>
        <v/>
      </c>
      <c r="N77" s="21" t="str">
        <f t="shared" si="42"/>
        <v/>
      </c>
      <c r="O77" s="21" t="str">
        <f t="shared" si="43"/>
        <v/>
      </c>
      <c r="P77" s="21" t="str">
        <f t="shared" si="44"/>
        <v/>
      </c>
      <c r="Q77" s="21" t="str">
        <f t="shared" si="45"/>
        <v/>
      </c>
      <c r="R77" s="21" t="str">
        <f t="shared" si="46"/>
        <v/>
      </c>
      <c r="S77" s="21" t="str">
        <f t="shared" si="47"/>
        <v/>
      </c>
      <c r="T77" s="19" t="str">
        <f t="shared" si="48"/>
        <v/>
      </c>
      <c r="U77" s="21" t="str">
        <f t="shared" si="49"/>
        <v/>
      </c>
      <c r="V77" s="19" t="str">
        <f t="shared" si="50"/>
        <v/>
      </c>
      <c r="W77" s="19" t="str">
        <f t="shared" si="51"/>
        <v/>
      </c>
      <c r="X77" s="21">
        <f t="shared" si="52"/>
        <v>0</v>
      </c>
      <c r="Y77" s="21">
        <f t="shared" si="53"/>
        <v>0</v>
      </c>
    </row>
    <row r="78" spans="1:25" x14ac:dyDescent="0.3">
      <c r="A78" s="21" t="str">
        <f>IF(Cadastro!$B78="","",Cadastro!$B78)</f>
        <v/>
      </c>
      <c r="B78" s="21" t="str">
        <f>IF(Cadastro!$C78="","",Cadastro!$C78)</f>
        <v/>
      </c>
      <c r="C78" s="19" t="str">
        <f t="shared" si="36"/>
        <v/>
      </c>
      <c r="D78" s="19" t="str">
        <f t="shared" si="37"/>
        <v/>
      </c>
      <c r="E78" s="23">
        <f>N(Cadastro!$F78)</f>
        <v>0</v>
      </c>
      <c r="F78" s="21" t="str">
        <f t="shared" si="38"/>
        <v/>
      </c>
      <c r="G78" s="21" t="str">
        <f t="shared" si="39"/>
        <v/>
      </c>
      <c r="H78" s="21" t="str">
        <f t="shared" si="40"/>
        <v/>
      </c>
      <c r="I78" s="23">
        <f>N(Cadastro!$R78)</f>
        <v>0</v>
      </c>
      <c r="J78" s="23">
        <f>N(Cadastro!$S78)</f>
        <v>0</v>
      </c>
      <c r="K78" s="23">
        <f>N(Cadastro!$T78)</f>
        <v>0</v>
      </c>
      <c r="L78" s="23">
        <f>N(Cadastro!$U78)</f>
        <v>0</v>
      </c>
      <c r="M78" s="21" t="str">
        <f t="shared" si="41"/>
        <v/>
      </c>
      <c r="N78" s="21" t="str">
        <f t="shared" si="42"/>
        <v/>
      </c>
      <c r="O78" s="21" t="str">
        <f t="shared" si="43"/>
        <v/>
      </c>
      <c r="P78" s="21" t="str">
        <f t="shared" si="44"/>
        <v/>
      </c>
      <c r="Q78" s="21" t="str">
        <f t="shared" si="45"/>
        <v/>
      </c>
      <c r="R78" s="21" t="str">
        <f t="shared" si="46"/>
        <v/>
      </c>
      <c r="S78" s="21" t="str">
        <f t="shared" si="47"/>
        <v/>
      </c>
      <c r="T78" s="19" t="str">
        <f t="shared" si="48"/>
        <v/>
      </c>
      <c r="U78" s="21" t="str">
        <f t="shared" si="49"/>
        <v/>
      </c>
      <c r="V78" s="19" t="str">
        <f t="shared" si="50"/>
        <v/>
      </c>
      <c r="W78" s="19" t="str">
        <f t="shared" si="51"/>
        <v/>
      </c>
      <c r="X78" s="21">
        <f t="shared" si="52"/>
        <v>0</v>
      </c>
      <c r="Y78" s="21">
        <f t="shared" si="53"/>
        <v>0</v>
      </c>
    </row>
    <row r="79" spans="1:25" x14ac:dyDescent="0.3">
      <c r="A79" s="21" t="str">
        <f>IF(Cadastro!$B79="","",Cadastro!$B79)</f>
        <v/>
      </c>
      <c r="B79" s="21" t="str">
        <f>IF(Cadastro!$C79="","",Cadastro!$C79)</f>
        <v/>
      </c>
      <c r="C79" s="19" t="str">
        <f t="shared" si="36"/>
        <v/>
      </c>
      <c r="D79" s="19" t="str">
        <f t="shared" si="37"/>
        <v/>
      </c>
      <c r="E79" s="23">
        <f>N(Cadastro!$F79)</f>
        <v>0</v>
      </c>
      <c r="F79" s="21" t="str">
        <f t="shared" si="38"/>
        <v/>
      </c>
      <c r="G79" s="21" t="str">
        <f t="shared" si="39"/>
        <v/>
      </c>
      <c r="H79" s="21" t="str">
        <f t="shared" si="40"/>
        <v/>
      </c>
      <c r="I79" s="23">
        <f>N(Cadastro!$R79)</f>
        <v>0</v>
      </c>
      <c r="J79" s="23">
        <f>N(Cadastro!$S79)</f>
        <v>0</v>
      </c>
      <c r="K79" s="23">
        <f>N(Cadastro!$T79)</f>
        <v>0</v>
      </c>
      <c r="L79" s="23">
        <f>N(Cadastro!$U79)</f>
        <v>0</v>
      </c>
      <c r="M79" s="21" t="str">
        <f t="shared" si="41"/>
        <v/>
      </c>
      <c r="N79" s="21" t="str">
        <f t="shared" si="42"/>
        <v/>
      </c>
      <c r="O79" s="21" t="str">
        <f t="shared" si="43"/>
        <v/>
      </c>
      <c r="P79" s="21" t="str">
        <f t="shared" si="44"/>
        <v/>
      </c>
      <c r="Q79" s="21" t="str">
        <f t="shared" si="45"/>
        <v/>
      </c>
      <c r="R79" s="21" t="str">
        <f t="shared" si="46"/>
        <v/>
      </c>
      <c r="S79" s="21" t="str">
        <f t="shared" si="47"/>
        <v/>
      </c>
      <c r="T79" s="19" t="str">
        <f t="shared" si="48"/>
        <v/>
      </c>
      <c r="U79" s="21" t="str">
        <f t="shared" si="49"/>
        <v/>
      </c>
      <c r="V79" s="19" t="str">
        <f t="shared" si="50"/>
        <v/>
      </c>
      <c r="W79" s="19" t="str">
        <f t="shared" si="51"/>
        <v/>
      </c>
      <c r="X79" s="21">
        <f t="shared" si="52"/>
        <v>0</v>
      </c>
      <c r="Y79" s="21">
        <f t="shared" si="53"/>
        <v>0</v>
      </c>
    </row>
    <row r="80" spans="1:25" x14ac:dyDescent="0.3">
      <c r="A80" s="21" t="str">
        <f>IF(Cadastro!$B80="","",Cadastro!$B80)</f>
        <v/>
      </c>
      <c r="B80" s="21" t="str">
        <f>IF(Cadastro!$C80="","",Cadastro!$C80)</f>
        <v/>
      </c>
      <c r="C80" s="19" t="str">
        <f t="shared" si="36"/>
        <v/>
      </c>
      <c r="D80" s="19" t="str">
        <f t="shared" si="37"/>
        <v/>
      </c>
      <c r="E80" s="23">
        <f>N(Cadastro!$F80)</f>
        <v>0</v>
      </c>
      <c r="F80" s="21" t="str">
        <f t="shared" si="38"/>
        <v/>
      </c>
      <c r="G80" s="21" t="str">
        <f t="shared" si="39"/>
        <v/>
      </c>
      <c r="H80" s="21" t="str">
        <f t="shared" si="40"/>
        <v/>
      </c>
      <c r="I80" s="23">
        <f>N(Cadastro!$R80)</f>
        <v>0</v>
      </c>
      <c r="J80" s="23">
        <f>N(Cadastro!$S80)</f>
        <v>0</v>
      </c>
      <c r="K80" s="23">
        <f>N(Cadastro!$T80)</f>
        <v>0</v>
      </c>
      <c r="L80" s="23">
        <f>N(Cadastro!$U80)</f>
        <v>0</v>
      </c>
      <c r="M80" s="21" t="str">
        <f t="shared" si="41"/>
        <v/>
      </c>
      <c r="N80" s="21" t="str">
        <f t="shared" si="42"/>
        <v/>
      </c>
      <c r="O80" s="21" t="str">
        <f t="shared" si="43"/>
        <v/>
      </c>
      <c r="P80" s="21" t="str">
        <f t="shared" si="44"/>
        <v/>
      </c>
      <c r="Q80" s="21" t="str">
        <f t="shared" si="45"/>
        <v/>
      </c>
      <c r="R80" s="21" t="str">
        <f t="shared" si="46"/>
        <v/>
      </c>
      <c r="S80" s="21" t="str">
        <f t="shared" si="47"/>
        <v/>
      </c>
      <c r="T80" s="19" t="str">
        <f t="shared" si="48"/>
        <v/>
      </c>
      <c r="U80" s="21" t="str">
        <f t="shared" si="49"/>
        <v/>
      </c>
      <c r="V80" s="19" t="str">
        <f t="shared" si="50"/>
        <v/>
      </c>
      <c r="W80" s="19" t="str">
        <f t="shared" si="51"/>
        <v/>
      </c>
      <c r="X80" s="21">
        <f t="shared" si="52"/>
        <v>0</v>
      </c>
      <c r="Y80" s="21">
        <f t="shared" si="53"/>
        <v>0</v>
      </c>
    </row>
    <row r="81" spans="1:25" x14ac:dyDescent="0.3">
      <c r="A81" s="21" t="str">
        <f>IF(Cadastro!$B81="","",Cadastro!$B81)</f>
        <v/>
      </c>
      <c r="B81" s="21" t="str">
        <f>IF(Cadastro!$C81="","",Cadastro!$C81)</f>
        <v/>
      </c>
      <c r="C81" s="19" t="str">
        <f t="shared" si="36"/>
        <v/>
      </c>
      <c r="D81" s="19" t="str">
        <f t="shared" si="37"/>
        <v/>
      </c>
      <c r="E81" s="23">
        <f>N(Cadastro!$F81)</f>
        <v>0</v>
      </c>
      <c r="F81" s="21" t="str">
        <f t="shared" si="38"/>
        <v/>
      </c>
      <c r="G81" s="21" t="str">
        <f t="shared" si="39"/>
        <v/>
      </c>
      <c r="H81" s="21" t="str">
        <f t="shared" si="40"/>
        <v/>
      </c>
      <c r="I81" s="23">
        <f>N(Cadastro!$R81)</f>
        <v>0</v>
      </c>
      <c r="J81" s="23">
        <f>N(Cadastro!$S81)</f>
        <v>0</v>
      </c>
      <c r="K81" s="23">
        <f>N(Cadastro!$T81)</f>
        <v>0</v>
      </c>
      <c r="L81" s="23">
        <f>N(Cadastro!$U81)</f>
        <v>0</v>
      </c>
      <c r="M81" s="21" t="str">
        <f t="shared" si="41"/>
        <v/>
      </c>
      <c r="N81" s="21" t="str">
        <f t="shared" si="42"/>
        <v/>
      </c>
      <c r="O81" s="21" t="str">
        <f t="shared" si="43"/>
        <v/>
      </c>
      <c r="P81" s="21" t="str">
        <f t="shared" si="44"/>
        <v/>
      </c>
      <c r="Q81" s="21" t="str">
        <f t="shared" si="45"/>
        <v/>
      </c>
      <c r="R81" s="21" t="str">
        <f t="shared" si="46"/>
        <v/>
      </c>
      <c r="S81" s="21" t="str">
        <f t="shared" si="47"/>
        <v/>
      </c>
      <c r="T81" s="19" t="str">
        <f t="shared" si="48"/>
        <v/>
      </c>
      <c r="U81" s="21" t="str">
        <f t="shared" si="49"/>
        <v/>
      </c>
      <c r="V81" s="19" t="str">
        <f t="shared" si="50"/>
        <v/>
      </c>
      <c r="W81" s="19" t="str">
        <f t="shared" si="51"/>
        <v/>
      </c>
      <c r="X81" s="21">
        <f t="shared" si="52"/>
        <v>0</v>
      </c>
      <c r="Y81" s="21">
        <f t="shared" si="53"/>
        <v>0</v>
      </c>
    </row>
    <row r="82" spans="1:25" x14ac:dyDescent="0.3">
      <c r="A82" s="21" t="str">
        <f>IF(Cadastro!$B82="","",Cadastro!$B82)</f>
        <v/>
      </c>
      <c r="B82" s="21" t="str">
        <f>IF(Cadastro!$C82="","",Cadastro!$C82)</f>
        <v/>
      </c>
      <c r="C82" s="19" t="str">
        <f t="shared" si="36"/>
        <v/>
      </c>
      <c r="D82" s="19" t="str">
        <f t="shared" si="37"/>
        <v/>
      </c>
      <c r="E82" s="23">
        <f>N(Cadastro!$F82)</f>
        <v>0</v>
      </c>
      <c r="F82" s="21" t="str">
        <f t="shared" si="38"/>
        <v/>
      </c>
      <c r="G82" s="21" t="str">
        <f t="shared" si="39"/>
        <v/>
      </c>
      <c r="H82" s="21" t="str">
        <f t="shared" si="40"/>
        <v/>
      </c>
      <c r="I82" s="23">
        <f>N(Cadastro!$R82)</f>
        <v>0</v>
      </c>
      <c r="J82" s="23">
        <f>N(Cadastro!$S82)</f>
        <v>0</v>
      </c>
      <c r="K82" s="23">
        <f>N(Cadastro!$T82)</f>
        <v>0</v>
      </c>
      <c r="L82" s="23">
        <f>N(Cadastro!$U82)</f>
        <v>0</v>
      </c>
      <c r="M82" s="21" t="str">
        <f t="shared" si="41"/>
        <v/>
      </c>
      <c r="N82" s="21" t="str">
        <f t="shared" si="42"/>
        <v/>
      </c>
      <c r="O82" s="21" t="str">
        <f t="shared" si="43"/>
        <v/>
      </c>
      <c r="P82" s="21" t="str">
        <f t="shared" si="44"/>
        <v/>
      </c>
      <c r="Q82" s="21" t="str">
        <f t="shared" si="45"/>
        <v/>
      </c>
      <c r="R82" s="21" t="str">
        <f t="shared" si="46"/>
        <v/>
      </c>
      <c r="S82" s="21" t="str">
        <f t="shared" si="47"/>
        <v/>
      </c>
      <c r="T82" s="19" t="str">
        <f t="shared" si="48"/>
        <v/>
      </c>
      <c r="U82" s="21" t="str">
        <f t="shared" si="49"/>
        <v/>
      </c>
      <c r="V82" s="19" t="str">
        <f t="shared" si="50"/>
        <v/>
      </c>
      <c r="W82" s="19" t="str">
        <f t="shared" si="51"/>
        <v/>
      </c>
      <c r="X82" s="21">
        <f t="shared" si="52"/>
        <v>0</v>
      </c>
      <c r="Y82" s="21">
        <f t="shared" si="53"/>
        <v>0</v>
      </c>
    </row>
    <row r="83" spans="1:25" x14ac:dyDescent="0.3">
      <c r="A83" s="21" t="str">
        <f>IF(Cadastro!$B83="","",Cadastro!$B83)</f>
        <v/>
      </c>
      <c r="B83" s="21" t="str">
        <f>IF(Cadastro!$C83="","",Cadastro!$C83)</f>
        <v/>
      </c>
      <c r="C83" s="19" t="str">
        <f t="shared" si="36"/>
        <v/>
      </c>
      <c r="D83" s="19" t="str">
        <f t="shared" si="37"/>
        <v/>
      </c>
      <c r="E83" s="23">
        <f>N(Cadastro!$F83)</f>
        <v>0</v>
      </c>
      <c r="F83" s="21" t="str">
        <f t="shared" si="38"/>
        <v/>
      </c>
      <c r="G83" s="21" t="str">
        <f t="shared" si="39"/>
        <v/>
      </c>
      <c r="H83" s="21" t="str">
        <f t="shared" si="40"/>
        <v/>
      </c>
      <c r="I83" s="23">
        <f>N(Cadastro!$R83)</f>
        <v>0</v>
      </c>
      <c r="J83" s="23">
        <f>N(Cadastro!$S83)</f>
        <v>0</v>
      </c>
      <c r="K83" s="23">
        <f>N(Cadastro!$T83)</f>
        <v>0</v>
      </c>
      <c r="L83" s="23">
        <f>N(Cadastro!$U83)</f>
        <v>0</v>
      </c>
      <c r="M83" s="21" t="str">
        <f t="shared" si="41"/>
        <v/>
      </c>
      <c r="N83" s="21" t="str">
        <f t="shared" si="42"/>
        <v/>
      </c>
      <c r="O83" s="21" t="str">
        <f t="shared" si="43"/>
        <v/>
      </c>
      <c r="P83" s="21" t="str">
        <f t="shared" si="44"/>
        <v/>
      </c>
      <c r="Q83" s="21" t="str">
        <f t="shared" si="45"/>
        <v/>
      </c>
      <c r="R83" s="21" t="str">
        <f t="shared" si="46"/>
        <v/>
      </c>
      <c r="S83" s="21" t="str">
        <f t="shared" si="47"/>
        <v/>
      </c>
      <c r="T83" s="19" t="str">
        <f t="shared" si="48"/>
        <v/>
      </c>
      <c r="U83" s="21" t="str">
        <f t="shared" si="49"/>
        <v/>
      </c>
      <c r="V83" s="19" t="str">
        <f t="shared" si="50"/>
        <v/>
      </c>
      <c r="W83" s="19" t="str">
        <f t="shared" si="51"/>
        <v/>
      </c>
      <c r="X83" s="21">
        <f t="shared" si="52"/>
        <v>0</v>
      </c>
      <c r="Y83" s="21">
        <f t="shared" si="53"/>
        <v>0</v>
      </c>
    </row>
    <row r="84" spans="1:25" x14ac:dyDescent="0.3">
      <c r="A84" s="21" t="str">
        <f>IF(Cadastro!$B84="","",Cadastro!$B84)</f>
        <v/>
      </c>
      <c r="B84" s="21" t="str">
        <f>IF(Cadastro!$C84="","",Cadastro!$C84)</f>
        <v/>
      </c>
      <c r="C84" s="19" t="str">
        <f t="shared" si="36"/>
        <v/>
      </c>
      <c r="D84" s="19" t="str">
        <f t="shared" si="37"/>
        <v/>
      </c>
      <c r="E84" s="23">
        <f>N(Cadastro!$F84)</f>
        <v>0</v>
      </c>
      <c r="F84" s="21" t="str">
        <f t="shared" si="38"/>
        <v/>
      </c>
      <c r="G84" s="21" t="str">
        <f t="shared" si="39"/>
        <v/>
      </c>
      <c r="H84" s="21" t="str">
        <f t="shared" si="40"/>
        <v/>
      </c>
      <c r="I84" s="23">
        <f>N(Cadastro!$R84)</f>
        <v>0</v>
      </c>
      <c r="J84" s="23">
        <f>N(Cadastro!$S84)</f>
        <v>0</v>
      </c>
      <c r="K84" s="23">
        <f>N(Cadastro!$T84)</f>
        <v>0</v>
      </c>
      <c r="L84" s="23">
        <f>N(Cadastro!$U84)</f>
        <v>0</v>
      </c>
      <c r="M84" s="21" t="str">
        <f t="shared" si="41"/>
        <v/>
      </c>
      <c r="N84" s="21" t="str">
        <f t="shared" si="42"/>
        <v/>
      </c>
      <c r="O84" s="21" t="str">
        <f t="shared" si="43"/>
        <v/>
      </c>
      <c r="P84" s="21" t="str">
        <f t="shared" si="44"/>
        <v/>
      </c>
      <c r="Q84" s="21" t="str">
        <f t="shared" si="45"/>
        <v/>
      </c>
      <c r="R84" s="21" t="str">
        <f t="shared" si="46"/>
        <v/>
      </c>
      <c r="S84" s="21" t="str">
        <f t="shared" si="47"/>
        <v/>
      </c>
      <c r="T84" s="19" t="str">
        <f t="shared" si="48"/>
        <v/>
      </c>
      <c r="U84" s="21" t="str">
        <f t="shared" si="49"/>
        <v/>
      </c>
      <c r="V84" s="19" t="str">
        <f t="shared" si="50"/>
        <v/>
      </c>
      <c r="W84" s="19" t="str">
        <f t="shared" si="51"/>
        <v/>
      </c>
      <c r="X84" s="21">
        <f t="shared" si="52"/>
        <v>0</v>
      </c>
      <c r="Y84" s="21">
        <f t="shared" si="53"/>
        <v>0</v>
      </c>
    </row>
    <row r="85" spans="1:25" x14ac:dyDescent="0.3">
      <c r="A85" s="21" t="str">
        <f>IF(Cadastro!$B85="","",Cadastro!$B85)</f>
        <v/>
      </c>
      <c r="B85" s="21" t="str">
        <f>IF(Cadastro!$C85="","",Cadastro!$C85)</f>
        <v/>
      </c>
      <c r="C85" s="19" t="str">
        <f t="shared" si="36"/>
        <v/>
      </c>
      <c r="D85" s="19" t="str">
        <f t="shared" si="37"/>
        <v/>
      </c>
      <c r="E85" s="23">
        <f>N(Cadastro!$F85)</f>
        <v>0</v>
      </c>
      <c r="F85" s="21" t="str">
        <f t="shared" si="38"/>
        <v/>
      </c>
      <c r="G85" s="21" t="str">
        <f t="shared" si="39"/>
        <v/>
      </c>
      <c r="H85" s="21" t="str">
        <f t="shared" si="40"/>
        <v/>
      </c>
      <c r="I85" s="23">
        <f>N(Cadastro!$R85)</f>
        <v>0</v>
      </c>
      <c r="J85" s="23">
        <f>N(Cadastro!$S85)</f>
        <v>0</v>
      </c>
      <c r="K85" s="23">
        <f>N(Cadastro!$T85)</f>
        <v>0</v>
      </c>
      <c r="L85" s="23">
        <f>N(Cadastro!$U85)</f>
        <v>0</v>
      </c>
      <c r="M85" s="21" t="str">
        <f t="shared" si="41"/>
        <v/>
      </c>
      <c r="N85" s="21" t="str">
        <f t="shared" si="42"/>
        <v/>
      </c>
      <c r="O85" s="21" t="str">
        <f t="shared" si="43"/>
        <v/>
      </c>
      <c r="P85" s="21" t="str">
        <f t="shared" si="44"/>
        <v/>
      </c>
      <c r="Q85" s="21" t="str">
        <f t="shared" si="45"/>
        <v/>
      </c>
      <c r="R85" s="21" t="str">
        <f t="shared" si="46"/>
        <v/>
      </c>
      <c r="S85" s="21" t="str">
        <f t="shared" si="47"/>
        <v/>
      </c>
      <c r="T85" s="19" t="str">
        <f t="shared" si="48"/>
        <v/>
      </c>
      <c r="U85" s="21" t="str">
        <f t="shared" si="49"/>
        <v/>
      </c>
      <c r="V85" s="19" t="str">
        <f t="shared" si="50"/>
        <v/>
      </c>
      <c r="W85" s="19" t="str">
        <f t="shared" si="51"/>
        <v/>
      </c>
      <c r="X85" s="21">
        <f t="shared" si="52"/>
        <v>0</v>
      </c>
      <c r="Y85" s="21">
        <f t="shared" si="53"/>
        <v>0</v>
      </c>
    </row>
    <row r="86" spans="1:25" x14ac:dyDescent="0.3">
      <c r="A86" s="21" t="str">
        <f>IF(Cadastro!$B86="","",Cadastro!$B86)</f>
        <v/>
      </c>
      <c r="B86" s="21" t="str">
        <f>IF(Cadastro!$C86="","",Cadastro!$C86)</f>
        <v/>
      </c>
      <c r="C86" s="19" t="str">
        <f t="shared" si="36"/>
        <v/>
      </c>
      <c r="D86" s="19" t="str">
        <f t="shared" si="37"/>
        <v/>
      </c>
      <c r="E86" s="23">
        <f>N(Cadastro!$F86)</f>
        <v>0</v>
      </c>
      <c r="F86" s="21" t="str">
        <f t="shared" si="38"/>
        <v/>
      </c>
      <c r="G86" s="21" t="str">
        <f t="shared" si="39"/>
        <v/>
      </c>
      <c r="H86" s="21" t="str">
        <f t="shared" si="40"/>
        <v/>
      </c>
      <c r="I86" s="23">
        <f>N(Cadastro!$R86)</f>
        <v>0</v>
      </c>
      <c r="J86" s="23">
        <f>N(Cadastro!$S86)</f>
        <v>0</v>
      </c>
      <c r="K86" s="23">
        <f>N(Cadastro!$T86)</f>
        <v>0</v>
      </c>
      <c r="L86" s="23">
        <f>N(Cadastro!$U86)</f>
        <v>0</v>
      </c>
      <c r="M86" s="21" t="str">
        <f t="shared" si="41"/>
        <v/>
      </c>
      <c r="N86" s="21" t="str">
        <f t="shared" si="42"/>
        <v/>
      </c>
      <c r="O86" s="21" t="str">
        <f t="shared" si="43"/>
        <v/>
      </c>
      <c r="P86" s="21" t="str">
        <f t="shared" si="44"/>
        <v/>
      </c>
      <c r="Q86" s="21" t="str">
        <f t="shared" si="45"/>
        <v/>
      </c>
      <c r="R86" s="21" t="str">
        <f t="shared" si="46"/>
        <v/>
      </c>
      <c r="S86" s="21" t="str">
        <f t="shared" si="47"/>
        <v/>
      </c>
      <c r="T86" s="19" t="str">
        <f t="shared" si="48"/>
        <v/>
      </c>
      <c r="U86" s="21" t="str">
        <f t="shared" si="49"/>
        <v/>
      </c>
      <c r="V86" s="19" t="str">
        <f t="shared" si="50"/>
        <v/>
      </c>
      <c r="W86" s="19" t="str">
        <f t="shared" si="51"/>
        <v/>
      </c>
      <c r="X86" s="21">
        <f t="shared" si="52"/>
        <v>0</v>
      </c>
      <c r="Y86" s="21">
        <f t="shared" si="53"/>
        <v>0</v>
      </c>
    </row>
    <row r="87" spans="1:25" x14ac:dyDescent="0.3">
      <c r="A87" s="21" t="str">
        <f>IF(Cadastro!$B87="","",Cadastro!$B87)</f>
        <v/>
      </c>
      <c r="B87" s="21" t="str">
        <f>IF(Cadastro!$C87="","",Cadastro!$C87)</f>
        <v/>
      </c>
      <c r="C87" s="19" t="str">
        <f t="shared" si="36"/>
        <v/>
      </c>
      <c r="D87" s="19" t="str">
        <f t="shared" si="37"/>
        <v/>
      </c>
      <c r="E87" s="23">
        <f>N(Cadastro!$F87)</f>
        <v>0</v>
      </c>
      <c r="F87" s="21" t="str">
        <f t="shared" si="38"/>
        <v/>
      </c>
      <c r="G87" s="21" t="str">
        <f t="shared" si="39"/>
        <v/>
      </c>
      <c r="H87" s="21" t="str">
        <f t="shared" si="40"/>
        <v/>
      </c>
      <c r="I87" s="23">
        <f>N(Cadastro!$R87)</f>
        <v>0</v>
      </c>
      <c r="J87" s="23">
        <f>N(Cadastro!$S87)</f>
        <v>0</v>
      </c>
      <c r="K87" s="23">
        <f>N(Cadastro!$T87)</f>
        <v>0</v>
      </c>
      <c r="L87" s="23">
        <f>N(Cadastro!$U87)</f>
        <v>0</v>
      </c>
      <c r="M87" s="21" t="str">
        <f t="shared" si="41"/>
        <v/>
      </c>
      <c r="N87" s="21" t="str">
        <f t="shared" si="42"/>
        <v/>
      </c>
      <c r="O87" s="21" t="str">
        <f t="shared" si="43"/>
        <v/>
      </c>
      <c r="P87" s="21" t="str">
        <f t="shared" si="44"/>
        <v/>
      </c>
      <c r="Q87" s="21" t="str">
        <f t="shared" si="45"/>
        <v/>
      </c>
      <c r="R87" s="21" t="str">
        <f t="shared" si="46"/>
        <v/>
      </c>
      <c r="S87" s="21" t="str">
        <f t="shared" si="47"/>
        <v/>
      </c>
      <c r="T87" s="19" t="str">
        <f t="shared" si="48"/>
        <v/>
      </c>
      <c r="U87" s="21" t="str">
        <f t="shared" si="49"/>
        <v/>
      </c>
      <c r="V87" s="19" t="str">
        <f t="shared" si="50"/>
        <v/>
      </c>
      <c r="W87" s="19" t="str">
        <f t="shared" si="51"/>
        <v/>
      </c>
      <c r="X87" s="21">
        <f t="shared" si="52"/>
        <v>0</v>
      </c>
      <c r="Y87" s="21">
        <f t="shared" si="53"/>
        <v>0</v>
      </c>
    </row>
    <row r="88" spans="1:25" x14ac:dyDescent="0.3">
      <c r="A88" s="21" t="str">
        <f>IF(Cadastro!$B88="","",Cadastro!$B88)</f>
        <v/>
      </c>
      <c r="B88" s="21" t="str">
        <f>IF(Cadastro!$C88="","",Cadastro!$C88)</f>
        <v/>
      </c>
      <c r="C88" s="19" t="str">
        <f t="shared" si="36"/>
        <v/>
      </c>
      <c r="D88" s="19" t="str">
        <f t="shared" si="37"/>
        <v/>
      </c>
      <c r="E88" s="23">
        <f>N(Cadastro!$F88)</f>
        <v>0</v>
      </c>
      <c r="F88" s="21" t="str">
        <f t="shared" si="38"/>
        <v/>
      </c>
      <c r="G88" s="21" t="str">
        <f t="shared" si="39"/>
        <v/>
      </c>
      <c r="H88" s="21" t="str">
        <f t="shared" si="40"/>
        <v/>
      </c>
      <c r="I88" s="23">
        <f>N(Cadastro!$R88)</f>
        <v>0</v>
      </c>
      <c r="J88" s="23">
        <f>N(Cadastro!$S88)</f>
        <v>0</v>
      </c>
      <c r="K88" s="23">
        <f>N(Cadastro!$T88)</f>
        <v>0</v>
      </c>
      <c r="L88" s="23">
        <f>N(Cadastro!$U88)</f>
        <v>0</v>
      </c>
      <c r="M88" s="21" t="str">
        <f t="shared" si="41"/>
        <v/>
      </c>
      <c r="N88" s="21" t="str">
        <f t="shared" si="42"/>
        <v/>
      </c>
      <c r="O88" s="21" t="str">
        <f t="shared" si="43"/>
        <v/>
      </c>
      <c r="P88" s="21" t="str">
        <f t="shared" si="44"/>
        <v/>
      </c>
      <c r="Q88" s="21" t="str">
        <f t="shared" si="45"/>
        <v/>
      </c>
      <c r="R88" s="21" t="str">
        <f t="shared" si="46"/>
        <v/>
      </c>
      <c r="S88" s="21" t="str">
        <f t="shared" si="47"/>
        <v/>
      </c>
      <c r="T88" s="19" t="str">
        <f t="shared" si="48"/>
        <v/>
      </c>
      <c r="U88" s="21" t="str">
        <f t="shared" si="49"/>
        <v/>
      </c>
      <c r="V88" s="19" t="str">
        <f t="shared" si="50"/>
        <v/>
      </c>
      <c r="W88" s="19" t="str">
        <f t="shared" si="51"/>
        <v/>
      </c>
      <c r="X88" s="21">
        <f t="shared" si="52"/>
        <v>0</v>
      </c>
      <c r="Y88" s="21">
        <f t="shared" si="53"/>
        <v>0</v>
      </c>
    </row>
    <row r="89" spans="1:25" x14ac:dyDescent="0.3">
      <c r="A89" s="21" t="str">
        <f>IF(Cadastro!$B89="","",Cadastro!$B89)</f>
        <v/>
      </c>
      <c r="B89" s="21" t="str">
        <f>IF(Cadastro!$C89="","",Cadastro!$C89)</f>
        <v/>
      </c>
      <c r="C89" s="19" t="str">
        <f t="shared" si="36"/>
        <v/>
      </c>
      <c r="D89" s="19" t="str">
        <f t="shared" si="37"/>
        <v/>
      </c>
      <c r="E89" s="23">
        <f>N(Cadastro!$F89)</f>
        <v>0</v>
      </c>
      <c r="F89" s="21" t="str">
        <f t="shared" si="38"/>
        <v/>
      </c>
      <c r="G89" s="21" t="str">
        <f t="shared" si="39"/>
        <v/>
      </c>
      <c r="H89" s="21" t="str">
        <f t="shared" si="40"/>
        <v/>
      </c>
      <c r="I89" s="23">
        <f>N(Cadastro!$R89)</f>
        <v>0</v>
      </c>
      <c r="J89" s="23">
        <f>N(Cadastro!$S89)</f>
        <v>0</v>
      </c>
      <c r="K89" s="23">
        <f>N(Cadastro!$T89)</f>
        <v>0</v>
      </c>
      <c r="L89" s="23">
        <f>N(Cadastro!$U89)</f>
        <v>0</v>
      </c>
      <c r="M89" s="21" t="str">
        <f t="shared" si="41"/>
        <v/>
      </c>
      <c r="N89" s="21" t="str">
        <f t="shared" si="42"/>
        <v/>
      </c>
      <c r="O89" s="21" t="str">
        <f t="shared" si="43"/>
        <v/>
      </c>
      <c r="P89" s="21" t="str">
        <f t="shared" si="44"/>
        <v/>
      </c>
      <c r="Q89" s="21" t="str">
        <f t="shared" si="45"/>
        <v/>
      </c>
      <c r="R89" s="21" t="str">
        <f t="shared" si="46"/>
        <v/>
      </c>
      <c r="S89" s="21" t="str">
        <f t="shared" si="47"/>
        <v/>
      </c>
      <c r="T89" s="19" t="str">
        <f t="shared" si="48"/>
        <v/>
      </c>
      <c r="U89" s="21" t="str">
        <f t="shared" si="49"/>
        <v/>
      </c>
      <c r="V89" s="19" t="str">
        <f t="shared" si="50"/>
        <v/>
      </c>
      <c r="W89" s="19" t="str">
        <f t="shared" si="51"/>
        <v/>
      </c>
      <c r="X89" s="21">
        <f t="shared" si="52"/>
        <v>0</v>
      </c>
      <c r="Y89" s="21">
        <f t="shared" si="53"/>
        <v>0</v>
      </c>
    </row>
    <row r="90" spans="1:25" x14ac:dyDescent="0.3">
      <c r="A90" s="21" t="str">
        <f>IF(Cadastro!$B90="","",Cadastro!$B90)</f>
        <v/>
      </c>
      <c r="B90" s="21" t="str">
        <f>IF(Cadastro!$C90="","",Cadastro!$C90)</f>
        <v/>
      </c>
      <c r="C90" s="19" t="str">
        <f t="shared" si="36"/>
        <v/>
      </c>
      <c r="D90" s="19" t="str">
        <f t="shared" si="37"/>
        <v/>
      </c>
      <c r="E90" s="23">
        <f>N(Cadastro!$F90)</f>
        <v>0</v>
      </c>
      <c r="F90" s="21" t="str">
        <f t="shared" si="38"/>
        <v/>
      </c>
      <c r="G90" s="21" t="str">
        <f t="shared" si="39"/>
        <v/>
      </c>
      <c r="H90" s="21" t="str">
        <f t="shared" si="40"/>
        <v/>
      </c>
      <c r="I90" s="23">
        <f>N(Cadastro!$R90)</f>
        <v>0</v>
      </c>
      <c r="J90" s="23">
        <f>N(Cadastro!$S90)</f>
        <v>0</v>
      </c>
      <c r="K90" s="23">
        <f>N(Cadastro!$T90)</f>
        <v>0</v>
      </c>
      <c r="L90" s="23">
        <f>N(Cadastro!$U90)</f>
        <v>0</v>
      </c>
      <c r="M90" s="21" t="str">
        <f t="shared" si="41"/>
        <v/>
      </c>
      <c r="N90" s="21" t="str">
        <f t="shared" si="42"/>
        <v/>
      </c>
      <c r="O90" s="21" t="str">
        <f t="shared" si="43"/>
        <v/>
      </c>
      <c r="P90" s="21" t="str">
        <f t="shared" si="44"/>
        <v/>
      </c>
      <c r="Q90" s="21" t="str">
        <f t="shared" si="45"/>
        <v/>
      </c>
      <c r="R90" s="21" t="str">
        <f t="shared" si="46"/>
        <v/>
      </c>
      <c r="S90" s="21" t="str">
        <f t="shared" si="47"/>
        <v/>
      </c>
      <c r="T90" s="19" t="str">
        <f t="shared" si="48"/>
        <v/>
      </c>
      <c r="U90" s="21" t="str">
        <f t="shared" si="49"/>
        <v/>
      </c>
      <c r="V90" s="19" t="str">
        <f t="shared" si="50"/>
        <v/>
      </c>
      <c r="W90" s="19" t="str">
        <f t="shared" si="51"/>
        <v/>
      </c>
      <c r="X90" s="21">
        <f t="shared" si="52"/>
        <v>0</v>
      </c>
      <c r="Y90" s="21">
        <f t="shared" si="53"/>
        <v>0</v>
      </c>
    </row>
    <row r="91" spans="1:25" x14ac:dyDescent="0.3">
      <c r="A91" s="21" t="str">
        <f>IF(Cadastro!$B91="","",Cadastro!$B91)</f>
        <v/>
      </c>
      <c r="B91" s="21" t="str">
        <f>IF(Cadastro!$C91="","",Cadastro!$C91)</f>
        <v/>
      </c>
      <c r="C91" s="19" t="str">
        <f t="shared" si="36"/>
        <v/>
      </c>
      <c r="D91" s="19" t="str">
        <f t="shared" si="37"/>
        <v/>
      </c>
      <c r="E91" s="23">
        <f>N(Cadastro!$F91)</f>
        <v>0</v>
      </c>
      <c r="F91" s="21" t="str">
        <f t="shared" si="38"/>
        <v/>
      </c>
      <c r="G91" s="21" t="str">
        <f t="shared" si="39"/>
        <v/>
      </c>
      <c r="H91" s="21" t="str">
        <f t="shared" si="40"/>
        <v/>
      </c>
      <c r="I91" s="23">
        <f>N(Cadastro!$R91)</f>
        <v>0</v>
      </c>
      <c r="J91" s="23">
        <f>N(Cadastro!$S91)</f>
        <v>0</v>
      </c>
      <c r="K91" s="23">
        <f>N(Cadastro!$T91)</f>
        <v>0</v>
      </c>
      <c r="L91" s="23">
        <f>N(Cadastro!$U91)</f>
        <v>0</v>
      </c>
      <c r="M91" s="21" t="str">
        <f t="shared" si="41"/>
        <v/>
      </c>
      <c r="N91" s="21" t="str">
        <f t="shared" si="42"/>
        <v/>
      </c>
      <c r="O91" s="21" t="str">
        <f t="shared" si="43"/>
        <v/>
      </c>
      <c r="P91" s="21" t="str">
        <f t="shared" si="44"/>
        <v/>
      </c>
      <c r="Q91" s="21" t="str">
        <f t="shared" si="45"/>
        <v/>
      </c>
      <c r="R91" s="21" t="str">
        <f t="shared" si="46"/>
        <v/>
      </c>
      <c r="S91" s="21" t="str">
        <f t="shared" si="47"/>
        <v/>
      </c>
      <c r="T91" s="19" t="str">
        <f t="shared" si="48"/>
        <v/>
      </c>
      <c r="U91" s="21" t="str">
        <f t="shared" si="49"/>
        <v/>
      </c>
      <c r="V91" s="19" t="str">
        <f t="shared" si="50"/>
        <v/>
      </c>
      <c r="W91" s="19" t="str">
        <f t="shared" si="51"/>
        <v/>
      </c>
      <c r="X91" s="21">
        <f t="shared" si="52"/>
        <v>0</v>
      </c>
      <c r="Y91" s="21">
        <f t="shared" si="53"/>
        <v>0</v>
      </c>
    </row>
    <row r="92" spans="1:25" x14ac:dyDescent="0.3">
      <c r="A92" s="21" t="str">
        <f>IF(Cadastro!$B92="","",Cadastro!$B92)</f>
        <v/>
      </c>
      <c r="B92" s="21" t="str">
        <f>IF(Cadastro!$C92="","",Cadastro!$C92)</f>
        <v/>
      </c>
      <c r="C92" s="19" t="str">
        <f t="shared" si="36"/>
        <v/>
      </c>
      <c r="D92" s="19" t="str">
        <f t="shared" si="37"/>
        <v/>
      </c>
      <c r="E92" s="23">
        <f>N(Cadastro!$F92)</f>
        <v>0</v>
      </c>
      <c r="F92" s="21" t="str">
        <f t="shared" si="38"/>
        <v/>
      </c>
      <c r="G92" s="21" t="str">
        <f t="shared" si="39"/>
        <v/>
      </c>
      <c r="H92" s="21" t="str">
        <f t="shared" si="40"/>
        <v/>
      </c>
      <c r="I92" s="23">
        <f>N(Cadastro!$R92)</f>
        <v>0</v>
      </c>
      <c r="J92" s="23">
        <f>N(Cadastro!$S92)</f>
        <v>0</v>
      </c>
      <c r="K92" s="23">
        <f>N(Cadastro!$T92)</f>
        <v>0</v>
      </c>
      <c r="L92" s="23">
        <f>N(Cadastro!$U92)</f>
        <v>0</v>
      </c>
      <c r="M92" s="21" t="str">
        <f t="shared" si="41"/>
        <v/>
      </c>
      <c r="N92" s="21" t="str">
        <f t="shared" si="42"/>
        <v/>
      </c>
      <c r="O92" s="21" t="str">
        <f t="shared" si="43"/>
        <v/>
      </c>
      <c r="P92" s="21" t="str">
        <f t="shared" si="44"/>
        <v/>
      </c>
      <c r="Q92" s="21" t="str">
        <f t="shared" si="45"/>
        <v/>
      </c>
      <c r="R92" s="21" t="str">
        <f t="shared" si="46"/>
        <v/>
      </c>
      <c r="S92" s="21" t="str">
        <f t="shared" si="47"/>
        <v/>
      </c>
      <c r="T92" s="19" t="str">
        <f t="shared" si="48"/>
        <v/>
      </c>
      <c r="U92" s="21" t="str">
        <f t="shared" si="49"/>
        <v/>
      </c>
      <c r="V92" s="19" t="str">
        <f t="shared" si="50"/>
        <v/>
      </c>
      <c r="W92" s="19" t="str">
        <f t="shared" si="51"/>
        <v/>
      </c>
      <c r="X92" s="21">
        <f t="shared" si="52"/>
        <v>0</v>
      </c>
      <c r="Y92" s="21">
        <f t="shared" si="53"/>
        <v>0</v>
      </c>
    </row>
    <row r="93" spans="1:25" x14ac:dyDescent="0.3">
      <c r="A93" s="21" t="str">
        <f>IF(Cadastro!$B93="","",Cadastro!$B93)</f>
        <v/>
      </c>
      <c r="B93" s="21" t="str">
        <f>IF(Cadastro!$C93="","",Cadastro!$C93)</f>
        <v/>
      </c>
      <c r="C93" s="19" t="str">
        <f t="shared" si="36"/>
        <v/>
      </c>
      <c r="D93" s="19" t="str">
        <f t="shared" si="37"/>
        <v/>
      </c>
      <c r="E93" s="23">
        <f>N(Cadastro!$F93)</f>
        <v>0</v>
      </c>
      <c r="F93" s="21" t="str">
        <f t="shared" si="38"/>
        <v/>
      </c>
      <c r="G93" s="21" t="str">
        <f t="shared" si="39"/>
        <v/>
      </c>
      <c r="H93" s="21" t="str">
        <f t="shared" si="40"/>
        <v/>
      </c>
      <c r="I93" s="23">
        <f>N(Cadastro!$R93)</f>
        <v>0</v>
      </c>
      <c r="J93" s="23">
        <f>N(Cadastro!$S93)</f>
        <v>0</v>
      </c>
      <c r="K93" s="23">
        <f>N(Cadastro!$T93)</f>
        <v>0</v>
      </c>
      <c r="L93" s="23">
        <f>N(Cadastro!$U93)</f>
        <v>0</v>
      </c>
      <c r="M93" s="21" t="str">
        <f t="shared" si="41"/>
        <v/>
      </c>
      <c r="N93" s="21" t="str">
        <f t="shared" si="42"/>
        <v/>
      </c>
      <c r="O93" s="21" t="str">
        <f t="shared" si="43"/>
        <v/>
      </c>
      <c r="P93" s="21" t="str">
        <f t="shared" si="44"/>
        <v/>
      </c>
      <c r="Q93" s="21" t="str">
        <f t="shared" si="45"/>
        <v/>
      </c>
      <c r="R93" s="21" t="str">
        <f t="shared" si="46"/>
        <v/>
      </c>
      <c r="S93" s="21" t="str">
        <f t="shared" si="47"/>
        <v/>
      </c>
      <c r="T93" s="19" t="str">
        <f t="shared" si="48"/>
        <v/>
      </c>
      <c r="U93" s="21" t="str">
        <f t="shared" si="49"/>
        <v/>
      </c>
      <c r="V93" s="19" t="str">
        <f t="shared" si="50"/>
        <v/>
      </c>
      <c r="W93" s="19" t="str">
        <f t="shared" si="51"/>
        <v/>
      </c>
      <c r="X93" s="21">
        <f t="shared" si="52"/>
        <v>0</v>
      </c>
      <c r="Y93" s="21">
        <f t="shared" si="53"/>
        <v>0</v>
      </c>
    </row>
    <row r="94" spans="1:25" x14ac:dyDescent="0.3">
      <c r="A94" s="21" t="str">
        <f>IF(Cadastro!$B94="","",Cadastro!$B94)</f>
        <v/>
      </c>
      <c r="B94" s="21" t="str">
        <f>IF(Cadastro!$C94="","",Cadastro!$C94)</f>
        <v/>
      </c>
      <c r="C94" s="19" t="str">
        <f t="shared" si="36"/>
        <v/>
      </c>
      <c r="D94" s="19" t="str">
        <f t="shared" si="37"/>
        <v/>
      </c>
      <c r="E94" s="23">
        <f>N(Cadastro!$F94)</f>
        <v>0</v>
      </c>
      <c r="F94" s="21" t="str">
        <f t="shared" si="38"/>
        <v/>
      </c>
      <c r="G94" s="21" t="str">
        <f t="shared" si="39"/>
        <v/>
      </c>
      <c r="H94" s="21" t="str">
        <f t="shared" si="40"/>
        <v/>
      </c>
      <c r="I94" s="23">
        <f>N(Cadastro!$R94)</f>
        <v>0</v>
      </c>
      <c r="J94" s="23">
        <f>N(Cadastro!$S94)</f>
        <v>0</v>
      </c>
      <c r="K94" s="23">
        <f>N(Cadastro!$T94)</f>
        <v>0</v>
      </c>
      <c r="L94" s="23">
        <f>N(Cadastro!$U94)</f>
        <v>0</v>
      </c>
      <c r="M94" s="21" t="str">
        <f t="shared" si="41"/>
        <v/>
      </c>
      <c r="N94" s="21" t="str">
        <f t="shared" si="42"/>
        <v/>
      </c>
      <c r="O94" s="21" t="str">
        <f t="shared" si="43"/>
        <v/>
      </c>
      <c r="P94" s="21" t="str">
        <f t="shared" si="44"/>
        <v/>
      </c>
      <c r="Q94" s="21" t="str">
        <f t="shared" si="45"/>
        <v/>
      </c>
      <c r="R94" s="21" t="str">
        <f t="shared" si="46"/>
        <v/>
      </c>
      <c r="S94" s="21" t="str">
        <f t="shared" si="47"/>
        <v/>
      </c>
      <c r="T94" s="19" t="str">
        <f t="shared" si="48"/>
        <v/>
      </c>
      <c r="U94" s="21" t="str">
        <f t="shared" si="49"/>
        <v/>
      </c>
      <c r="V94" s="19" t="str">
        <f t="shared" si="50"/>
        <v/>
      </c>
      <c r="W94" s="19" t="str">
        <f t="shared" si="51"/>
        <v/>
      </c>
      <c r="X94" s="21">
        <f t="shared" si="52"/>
        <v>0</v>
      </c>
      <c r="Y94" s="21">
        <f t="shared" si="53"/>
        <v>0</v>
      </c>
    </row>
    <row r="95" spans="1:25" x14ac:dyDescent="0.3">
      <c r="A95" s="21" t="str">
        <f>IF(Cadastro!$B95="","",Cadastro!$B95)</f>
        <v/>
      </c>
      <c r="B95" s="21" t="str">
        <f>IF(Cadastro!$C95="","",Cadastro!$C95)</f>
        <v/>
      </c>
      <c r="C95" s="19" t="str">
        <f t="shared" si="36"/>
        <v/>
      </c>
      <c r="D95" s="19" t="str">
        <f t="shared" si="37"/>
        <v/>
      </c>
      <c r="E95" s="23">
        <f>N(Cadastro!$F95)</f>
        <v>0</v>
      </c>
      <c r="F95" s="21" t="str">
        <f t="shared" si="38"/>
        <v/>
      </c>
      <c r="G95" s="21" t="str">
        <f t="shared" si="39"/>
        <v/>
      </c>
      <c r="H95" s="21" t="str">
        <f t="shared" si="40"/>
        <v/>
      </c>
      <c r="I95" s="23">
        <f>N(Cadastro!$R95)</f>
        <v>0</v>
      </c>
      <c r="J95" s="23">
        <f>N(Cadastro!$S95)</f>
        <v>0</v>
      </c>
      <c r="K95" s="23">
        <f>N(Cadastro!$T95)</f>
        <v>0</v>
      </c>
      <c r="L95" s="23">
        <f>N(Cadastro!$U95)</f>
        <v>0</v>
      </c>
      <c r="M95" s="21" t="str">
        <f t="shared" si="41"/>
        <v/>
      </c>
      <c r="N95" s="21" t="str">
        <f t="shared" si="42"/>
        <v/>
      </c>
      <c r="O95" s="21" t="str">
        <f t="shared" si="43"/>
        <v/>
      </c>
      <c r="P95" s="21" t="str">
        <f t="shared" si="44"/>
        <v/>
      </c>
      <c r="Q95" s="21" t="str">
        <f t="shared" si="45"/>
        <v/>
      </c>
      <c r="R95" s="21" t="str">
        <f t="shared" si="46"/>
        <v/>
      </c>
      <c r="S95" s="21" t="str">
        <f t="shared" si="47"/>
        <v/>
      </c>
      <c r="T95" s="19" t="str">
        <f t="shared" si="48"/>
        <v/>
      </c>
      <c r="U95" s="21" t="str">
        <f t="shared" si="49"/>
        <v/>
      </c>
      <c r="V95" s="19" t="str">
        <f t="shared" si="50"/>
        <v/>
      </c>
      <c r="W95" s="19" t="str">
        <f t="shared" si="51"/>
        <v/>
      </c>
      <c r="X95" s="21">
        <f t="shared" si="52"/>
        <v>0</v>
      </c>
      <c r="Y95" s="21">
        <f t="shared" si="53"/>
        <v>0</v>
      </c>
    </row>
    <row r="96" spans="1:25" x14ac:dyDescent="0.3">
      <c r="A96" s="21" t="str">
        <f>IF(Cadastro!$B96="","",Cadastro!$B96)</f>
        <v/>
      </c>
      <c r="B96" s="21" t="str">
        <f>IF(Cadastro!$C96="","",Cadastro!$C96)</f>
        <v/>
      </c>
      <c r="C96" s="19" t="str">
        <f t="shared" si="36"/>
        <v/>
      </c>
      <c r="D96" s="19" t="str">
        <f t="shared" si="37"/>
        <v/>
      </c>
      <c r="E96" s="23">
        <f>N(Cadastro!$F96)</f>
        <v>0</v>
      </c>
      <c r="F96" s="21" t="str">
        <f t="shared" si="38"/>
        <v/>
      </c>
      <c r="G96" s="21" t="str">
        <f t="shared" si="39"/>
        <v/>
      </c>
      <c r="H96" s="21" t="str">
        <f t="shared" si="40"/>
        <v/>
      </c>
      <c r="I96" s="23">
        <f>N(Cadastro!$R96)</f>
        <v>0</v>
      </c>
      <c r="J96" s="23">
        <f>N(Cadastro!$S96)</f>
        <v>0</v>
      </c>
      <c r="K96" s="23">
        <f>N(Cadastro!$T96)</f>
        <v>0</v>
      </c>
      <c r="L96" s="23">
        <f>N(Cadastro!$U96)</f>
        <v>0</v>
      </c>
      <c r="M96" s="21" t="str">
        <f t="shared" si="41"/>
        <v/>
      </c>
      <c r="N96" s="21" t="str">
        <f t="shared" si="42"/>
        <v/>
      </c>
      <c r="O96" s="21" t="str">
        <f t="shared" si="43"/>
        <v/>
      </c>
      <c r="P96" s="21" t="str">
        <f t="shared" si="44"/>
        <v/>
      </c>
      <c r="Q96" s="21" t="str">
        <f t="shared" si="45"/>
        <v/>
      </c>
      <c r="R96" s="21" t="str">
        <f t="shared" si="46"/>
        <v/>
      </c>
      <c r="S96" s="21" t="str">
        <f t="shared" si="47"/>
        <v/>
      </c>
      <c r="T96" s="19" t="str">
        <f t="shared" si="48"/>
        <v/>
      </c>
      <c r="U96" s="21" t="str">
        <f t="shared" si="49"/>
        <v/>
      </c>
      <c r="V96" s="19" t="str">
        <f t="shared" si="50"/>
        <v/>
      </c>
      <c r="W96" s="19" t="str">
        <f t="shared" si="51"/>
        <v/>
      </c>
      <c r="X96" s="21">
        <f t="shared" si="52"/>
        <v>0</v>
      </c>
      <c r="Y96" s="21">
        <f t="shared" si="53"/>
        <v>0</v>
      </c>
    </row>
    <row r="97" spans="1:25" x14ac:dyDescent="0.3">
      <c r="A97" s="21" t="str">
        <f>IF(Cadastro!$B97="","",Cadastro!$B97)</f>
        <v/>
      </c>
      <c r="B97" s="21" t="str">
        <f>IF(Cadastro!$C97="","",Cadastro!$C97)</f>
        <v/>
      </c>
      <c r="C97" s="19" t="str">
        <f t="shared" si="36"/>
        <v/>
      </c>
      <c r="D97" s="19" t="str">
        <f t="shared" si="37"/>
        <v/>
      </c>
      <c r="E97" s="23">
        <f>N(Cadastro!$F97)</f>
        <v>0</v>
      </c>
      <c r="F97" s="21" t="str">
        <f t="shared" si="38"/>
        <v/>
      </c>
      <c r="G97" s="21" t="str">
        <f t="shared" si="39"/>
        <v/>
      </c>
      <c r="H97" s="21" t="str">
        <f t="shared" si="40"/>
        <v/>
      </c>
      <c r="I97" s="23">
        <f>N(Cadastro!$R97)</f>
        <v>0</v>
      </c>
      <c r="J97" s="23">
        <f>N(Cadastro!$S97)</f>
        <v>0</v>
      </c>
      <c r="K97" s="23">
        <f>N(Cadastro!$T97)</f>
        <v>0</v>
      </c>
      <c r="L97" s="23">
        <f>N(Cadastro!$U97)</f>
        <v>0</v>
      </c>
      <c r="M97" s="21" t="str">
        <f t="shared" si="41"/>
        <v/>
      </c>
      <c r="N97" s="21" t="str">
        <f t="shared" si="42"/>
        <v/>
      </c>
      <c r="O97" s="21" t="str">
        <f t="shared" si="43"/>
        <v/>
      </c>
      <c r="P97" s="21" t="str">
        <f t="shared" si="44"/>
        <v/>
      </c>
      <c r="Q97" s="21" t="str">
        <f t="shared" si="45"/>
        <v/>
      </c>
      <c r="R97" s="21" t="str">
        <f t="shared" si="46"/>
        <v/>
      </c>
      <c r="S97" s="21" t="str">
        <f t="shared" si="47"/>
        <v/>
      </c>
      <c r="T97" s="19" t="str">
        <f t="shared" si="48"/>
        <v/>
      </c>
      <c r="U97" s="21" t="str">
        <f t="shared" si="49"/>
        <v/>
      </c>
      <c r="V97" s="19" t="str">
        <f t="shared" si="50"/>
        <v/>
      </c>
      <c r="W97" s="19" t="str">
        <f t="shared" si="51"/>
        <v/>
      </c>
      <c r="X97" s="21">
        <f t="shared" si="52"/>
        <v>0</v>
      </c>
      <c r="Y97" s="21">
        <f t="shared" si="53"/>
        <v>0</v>
      </c>
    </row>
    <row r="98" spans="1:25" x14ac:dyDescent="0.3">
      <c r="A98" s="21" t="str">
        <f>IF(Cadastro!$B98="","",Cadastro!$B98)</f>
        <v/>
      </c>
      <c r="B98" s="21" t="str">
        <f>IF(Cadastro!$C98="","",Cadastro!$C98)</f>
        <v/>
      </c>
      <c r="C98" s="19" t="str">
        <f t="shared" si="36"/>
        <v/>
      </c>
      <c r="D98" s="19" t="str">
        <f t="shared" si="37"/>
        <v/>
      </c>
      <c r="E98" s="23">
        <f>N(Cadastro!$F98)</f>
        <v>0</v>
      </c>
      <c r="F98" s="21" t="str">
        <f t="shared" si="38"/>
        <v/>
      </c>
      <c r="G98" s="21" t="str">
        <f t="shared" si="39"/>
        <v/>
      </c>
      <c r="H98" s="21" t="str">
        <f t="shared" si="40"/>
        <v/>
      </c>
      <c r="I98" s="23">
        <f>N(Cadastro!$R98)</f>
        <v>0</v>
      </c>
      <c r="J98" s="23">
        <f>N(Cadastro!$S98)</f>
        <v>0</v>
      </c>
      <c r="K98" s="23">
        <f>N(Cadastro!$T98)</f>
        <v>0</v>
      </c>
      <c r="L98" s="23">
        <f>N(Cadastro!$U98)</f>
        <v>0</v>
      </c>
      <c r="M98" s="21" t="str">
        <f t="shared" si="41"/>
        <v/>
      </c>
      <c r="N98" s="21" t="str">
        <f t="shared" si="42"/>
        <v/>
      </c>
      <c r="O98" s="21" t="str">
        <f t="shared" si="43"/>
        <v/>
      </c>
      <c r="P98" s="21" t="str">
        <f t="shared" si="44"/>
        <v/>
      </c>
      <c r="Q98" s="21" t="str">
        <f t="shared" si="45"/>
        <v/>
      </c>
      <c r="R98" s="21" t="str">
        <f t="shared" si="46"/>
        <v/>
      </c>
      <c r="S98" s="21" t="str">
        <f t="shared" si="47"/>
        <v/>
      </c>
      <c r="T98" s="19" t="str">
        <f t="shared" si="48"/>
        <v/>
      </c>
      <c r="U98" s="21" t="str">
        <f t="shared" si="49"/>
        <v/>
      </c>
      <c r="V98" s="19" t="str">
        <f t="shared" si="50"/>
        <v/>
      </c>
      <c r="W98" s="19" t="str">
        <f t="shared" si="51"/>
        <v/>
      </c>
      <c r="X98" s="21">
        <f t="shared" si="52"/>
        <v>0</v>
      </c>
      <c r="Y98" s="21">
        <f t="shared" si="53"/>
        <v>0</v>
      </c>
    </row>
    <row r="99" spans="1:25" x14ac:dyDescent="0.3">
      <c r="A99" s="21" t="str">
        <f>IF(Cadastro!$B99="","",Cadastro!$B99)</f>
        <v/>
      </c>
      <c r="B99" s="21" t="str">
        <f>IF(Cadastro!$C99="","",Cadastro!$C99)</f>
        <v/>
      </c>
      <c r="C99" s="19" t="str">
        <f t="shared" si="36"/>
        <v/>
      </c>
      <c r="D99" s="19" t="str">
        <f t="shared" si="37"/>
        <v/>
      </c>
      <c r="E99" s="23">
        <f>N(Cadastro!$F99)</f>
        <v>0</v>
      </c>
      <c r="F99" s="21" t="str">
        <f t="shared" si="38"/>
        <v/>
      </c>
      <c r="G99" s="21" t="str">
        <f t="shared" si="39"/>
        <v/>
      </c>
      <c r="H99" s="21" t="str">
        <f t="shared" si="40"/>
        <v/>
      </c>
      <c r="I99" s="23">
        <f>N(Cadastro!$R99)</f>
        <v>0</v>
      </c>
      <c r="J99" s="23">
        <f>N(Cadastro!$S99)</f>
        <v>0</v>
      </c>
      <c r="K99" s="23">
        <f>N(Cadastro!$T99)</f>
        <v>0</v>
      </c>
      <c r="L99" s="23">
        <f>N(Cadastro!$U99)</f>
        <v>0</v>
      </c>
      <c r="M99" s="21" t="str">
        <f t="shared" si="41"/>
        <v/>
      </c>
      <c r="N99" s="21" t="str">
        <f t="shared" si="42"/>
        <v/>
      </c>
      <c r="O99" s="21" t="str">
        <f t="shared" si="43"/>
        <v/>
      </c>
      <c r="P99" s="21" t="str">
        <f t="shared" si="44"/>
        <v/>
      </c>
      <c r="Q99" s="21" t="str">
        <f t="shared" si="45"/>
        <v/>
      </c>
      <c r="R99" s="21" t="str">
        <f t="shared" si="46"/>
        <v/>
      </c>
      <c r="S99" s="21" t="str">
        <f t="shared" si="47"/>
        <v/>
      </c>
      <c r="T99" s="19" t="str">
        <f t="shared" si="48"/>
        <v/>
      </c>
      <c r="U99" s="21" t="str">
        <f t="shared" si="49"/>
        <v/>
      </c>
      <c r="V99" s="19" t="str">
        <f t="shared" si="50"/>
        <v/>
      </c>
      <c r="W99" s="19" t="str">
        <f t="shared" si="51"/>
        <v/>
      </c>
      <c r="X99" s="21">
        <f t="shared" si="52"/>
        <v>0</v>
      </c>
      <c r="Y99" s="21">
        <f t="shared" si="53"/>
        <v>0</v>
      </c>
    </row>
    <row r="100" spans="1:25" x14ac:dyDescent="0.3">
      <c r="A100" s="21" t="str">
        <f>IF(Cadastro!$B100="","",Cadastro!$B100)</f>
        <v/>
      </c>
      <c r="B100" s="21" t="str">
        <f>IF(Cadastro!$C100="","",Cadastro!$C100)</f>
        <v/>
      </c>
      <c r="C100" s="19" t="str">
        <f t="shared" si="36"/>
        <v/>
      </c>
      <c r="D100" s="19" t="str">
        <f t="shared" si="37"/>
        <v/>
      </c>
      <c r="E100" s="23">
        <f>N(Cadastro!$F100)</f>
        <v>0</v>
      </c>
      <c r="F100" s="21" t="str">
        <f t="shared" si="38"/>
        <v/>
      </c>
      <c r="G100" s="21" t="str">
        <f t="shared" si="39"/>
        <v/>
      </c>
      <c r="H100" s="21" t="str">
        <f t="shared" si="40"/>
        <v/>
      </c>
      <c r="I100" s="23">
        <f>N(Cadastro!$R100)</f>
        <v>0</v>
      </c>
      <c r="J100" s="23">
        <f>N(Cadastro!$S100)</f>
        <v>0</v>
      </c>
      <c r="K100" s="23">
        <f>N(Cadastro!$T100)</f>
        <v>0</v>
      </c>
      <c r="L100" s="23">
        <f>N(Cadastro!$U100)</f>
        <v>0</v>
      </c>
      <c r="M100" s="21" t="str">
        <f t="shared" si="41"/>
        <v/>
      </c>
      <c r="N100" s="21" t="str">
        <f t="shared" si="42"/>
        <v/>
      </c>
      <c r="O100" s="21" t="str">
        <f t="shared" si="43"/>
        <v/>
      </c>
      <c r="P100" s="21" t="str">
        <f t="shared" si="44"/>
        <v/>
      </c>
      <c r="Q100" s="21" t="str">
        <f t="shared" si="45"/>
        <v/>
      </c>
      <c r="R100" s="21" t="str">
        <f t="shared" si="46"/>
        <v/>
      </c>
      <c r="S100" s="21" t="str">
        <f t="shared" si="47"/>
        <v/>
      </c>
      <c r="T100" s="19" t="str">
        <f t="shared" si="48"/>
        <v/>
      </c>
      <c r="U100" s="21" t="str">
        <f t="shared" si="49"/>
        <v/>
      </c>
      <c r="V100" s="19" t="str">
        <f t="shared" si="50"/>
        <v/>
      </c>
      <c r="W100" s="19" t="str">
        <f t="shared" si="51"/>
        <v/>
      </c>
      <c r="X100" s="21">
        <f t="shared" si="52"/>
        <v>0</v>
      </c>
      <c r="Y100" s="21">
        <f t="shared" si="53"/>
        <v>0</v>
      </c>
    </row>
    <row r="101" spans="1:25" x14ac:dyDescent="0.3">
      <c r="A101" s="21" t="str">
        <f>IF(Cadastro!$B101="","",Cadastro!$B101)</f>
        <v/>
      </c>
      <c r="B101" s="21" t="str">
        <f>IF(Cadastro!$C101="","",Cadastro!$C101)</f>
        <v/>
      </c>
      <c r="C101" s="19" t="str">
        <f t="shared" ref="C101:C132" si="54">IF($B101="","",IFERROR(INDEX(Prod_Desc,MATCH($B101,Prod_Cod,0)),"PRODUTO NÃO CADASTRADO"))</f>
        <v/>
      </c>
      <c r="D101" s="19" t="str">
        <f t="shared" ref="D101:D132" si="55">IF($B101="","",IFERROR(INDEX(Prod_Tipo,MATCH($B101,Prod_Cod,0)),"NÃO CLASSIFICADO"))</f>
        <v/>
      </c>
      <c r="E101" s="23">
        <f>N(Cadastro!$F101)</f>
        <v>0</v>
      </c>
      <c r="F101" s="21" t="str">
        <f t="shared" ref="F101:F132" si="56">IF($A101="","",SUMIFS(SC_Qtd,SC_Cham,$A101,SC_Prod,$B101))</f>
        <v/>
      </c>
      <c r="G101" s="21" t="str">
        <f t="shared" ref="G101:G132" si="57">IF($A101="","",SUMIFS(OC_Qtd,OC_Cham,$A101,OC_Prod,$B101))</f>
        <v/>
      </c>
      <c r="H101" s="21" t="str">
        <f t="shared" ref="H101:H132" si="58">IF($A101="","",SUMIFS(Ent_Qtd,Ent_Cham,$A101,Ent_Prod,$B101))</f>
        <v/>
      </c>
      <c r="I101" s="23">
        <f>N(Cadastro!$R101)</f>
        <v>0</v>
      </c>
      <c r="J101" s="23">
        <f>N(Cadastro!$S101)</f>
        <v>0</v>
      </c>
      <c r="K101" s="23">
        <f>N(Cadastro!$T101)</f>
        <v>0</v>
      </c>
      <c r="L101" s="23">
        <f>N(Cadastro!$U101)</f>
        <v>0</v>
      </c>
      <c r="M101" s="21" t="str">
        <f t="shared" ref="M101:M132" si="59">IF($A101="","",N($F101)-N($E101))</f>
        <v/>
      </c>
      <c r="N101" s="21" t="str">
        <f t="shared" ref="N101:N132" si="60">IF($A101="","",N($G101)-N($F101))</f>
        <v/>
      </c>
      <c r="O101" s="21" t="str">
        <f t="shared" ref="O101:O132" si="61">IF($A101="","",N($H101)-N($G101))</f>
        <v/>
      </c>
      <c r="P101" s="21" t="str">
        <f t="shared" ref="P101:P132" si="62">IF($A101="","",N($I101)-N($H101))</f>
        <v/>
      </c>
      <c r="Q101" s="21" t="str">
        <f t="shared" ref="Q101:Q132" si="63">IF($A101="","",N($J101)-N($I101))</f>
        <v/>
      </c>
      <c r="R101" s="21" t="str">
        <f t="shared" ref="R101:R132" si="64">IF($A101="","",N($K101)-N($J101))</f>
        <v/>
      </c>
      <c r="S101" s="21" t="str">
        <f t="shared" ref="S101:S132" si="65">IF($A101="","",N($L101)-N($K101))</f>
        <v/>
      </c>
      <c r="T101" s="19" t="str">
        <f t="shared" ref="T101:T132" si="66">IF($A101="","",IF(AND($X101&gt;2,$M101&lt;&gt;0),"DIVERGÊNCIA NA SOLICITAÇÃO",IF(AND($X101&gt;3,$N101&lt;&gt;0),"DIVERGÊNCIA NA COMPRA",IF(AND($X101&gt;4,$O101&lt;&gt;0),"MATERIAL NÃO RECEBIDO",IF(AND($X101&gt;5,$P101&lt;&gt;0),"MATERIAL NÃO LIBERADO",IF(AND($X101&gt;8,$Q101&lt;&gt;0),"MATERIAL NÃO INSTALADO",IF(AND($X101&gt;9,$R101&lt;&gt;0),"INSTALADO SEM IP",IF(AND($X101&gt;10,$S101&lt;&gt;0),"IP NÃO INCLUÍDO NO VMS",IF(OR($M101&lt;&gt;0,$N101&lt;&gt;0,$O101&lt;&gt;0,$P101&lt;&gt;0,$Q101&lt;&gt;0,$R101&lt;&gt;0,$S101&lt;&gt;0),"EM DIA COM A ETAPA","OK")))))))))</f>
        <v/>
      </c>
      <c r="U101" s="21" t="str">
        <f t="shared" ref="U101:U132" si="67">IF($A101="","",MAX(N($E101)-N($L101),0))</f>
        <v/>
      </c>
      <c r="V101" s="19" t="str">
        <f t="shared" ref="V101:V132" si="68">IF($A101="","",IFERROR(INDEX(Proj_Unid,MATCH($A101,Proj_Cham,0)),""))</f>
        <v/>
      </c>
      <c r="W101" s="19" t="str">
        <f t="shared" ref="W101:W132" si="69">IF($A101="","",IFERROR(INDEX(Proj_Rotulo,MATCH($A101,Proj_Cham,0)),""))</f>
        <v/>
      </c>
      <c r="X101" s="21">
        <f t="shared" ref="X101:X132" si="70">IF($A101="",0,IFERROR(INDEX(Proj_OrdEtapa,MATCH($A101,Proj_Cham,0)),0))</f>
        <v>0</v>
      </c>
      <c r="Y101" s="21">
        <f t="shared" ref="Y101:Y132" si="71">IF(OR($T101="",$T101="OK",$T101="EM DIA COM A ETAPA"),0,1)</f>
        <v>0</v>
      </c>
    </row>
    <row r="102" spans="1:25" x14ac:dyDescent="0.3">
      <c r="A102" s="21" t="str">
        <f>IF(Cadastro!$B102="","",Cadastro!$B102)</f>
        <v/>
      </c>
      <c r="B102" s="21" t="str">
        <f>IF(Cadastro!$C102="","",Cadastro!$C102)</f>
        <v/>
      </c>
      <c r="C102" s="19" t="str">
        <f t="shared" si="54"/>
        <v/>
      </c>
      <c r="D102" s="19" t="str">
        <f t="shared" si="55"/>
        <v/>
      </c>
      <c r="E102" s="23">
        <f>N(Cadastro!$F102)</f>
        <v>0</v>
      </c>
      <c r="F102" s="21" t="str">
        <f t="shared" si="56"/>
        <v/>
      </c>
      <c r="G102" s="21" t="str">
        <f t="shared" si="57"/>
        <v/>
      </c>
      <c r="H102" s="21" t="str">
        <f t="shared" si="58"/>
        <v/>
      </c>
      <c r="I102" s="23">
        <f>N(Cadastro!$R102)</f>
        <v>0</v>
      </c>
      <c r="J102" s="23">
        <f>N(Cadastro!$S102)</f>
        <v>0</v>
      </c>
      <c r="K102" s="23">
        <f>N(Cadastro!$T102)</f>
        <v>0</v>
      </c>
      <c r="L102" s="23">
        <f>N(Cadastro!$U102)</f>
        <v>0</v>
      </c>
      <c r="M102" s="21" t="str">
        <f t="shared" si="59"/>
        <v/>
      </c>
      <c r="N102" s="21" t="str">
        <f t="shared" si="60"/>
        <v/>
      </c>
      <c r="O102" s="21" t="str">
        <f t="shared" si="61"/>
        <v/>
      </c>
      <c r="P102" s="21" t="str">
        <f t="shared" si="62"/>
        <v/>
      </c>
      <c r="Q102" s="21" t="str">
        <f t="shared" si="63"/>
        <v/>
      </c>
      <c r="R102" s="21" t="str">
        <f t="shared" si="64"/>
        <v/>
      </c>
      <c r="S102" s="21" t="str">
        <f t="shared" si="65"/>
        <v/>
      </c>
      <c r="T102" s="19" t="str">
        <f t="shared" si="66"/>
        <v/>
      </c>
      <c r="U102" s="21" t="str">
        <f t="shared" si="67"/>
        <v/>
      </c>
      <c r="V102" s="19" t="str">
        <f t="shared" si="68"/>
        <v/>
      </c>
      <c r="W102" s="19" t="str">
        <f t="shared" si="69"/>
        <v/>
      </c>
      <c r="X102" s="21">
        <f t="shared" si="70"/>
        <v>0</v>
      </c>
      <c r="Y102" s="21">
        <f t="shared" si="71"/>
        <v>0</v>
      </c>
    </row>
    <row r="103" spans="1:25" x14ac:dyDescent="0.3">
      <c r="A103" s="21" t="str">
        <f>IF(Cadastro!$B103="","",Cadastro!$B103)</f>
        <v/>
      </c>
      <c r="B103" s="21" t="str">
        <f>IF(Cadastro!$C103="","",Cadastro!$C103)</f>
        <v/>
      </c>
      <c r="C103" s="19" t="str">
        <f t="shared" si="54"/>
        <v/>
      </c>
      <c r="D103" s="19" t="str">
        <f t="shared" si="55"/>
        <v/>
      </c>
      <c r="E103" s="23">
        <f>N(Cadastro!$F103)</f>
        <v>0</v>
      </c>
      <c r="F103" s="21" t="str">
        <f t="shared" si="56"/>
        <v/>
      </c>
      <c r="G103" s="21" t="str">
        <f t="shared" si="57"/>
        <v/>
      </c>
      <c r="H103" s="21" t="str">
        <f t="shared" si="58"/>
        <v/>
      </c>
      <c r="I103" s="23">
        <f>N(Cadastro!$R103)</f>
        <v>0</v>
      </c>
      <c r="J103" s="23">
        <f>N(Cadastro!$S103)</f>
        <v>0</v>
      </c>
      <c r="K103" s="23">
        <f>N(Cadastro!$T103)</f>
        <v>0</v>
      </c>
      <c r="L103" s="23">
        <f>N(Cadastro!$U103)</f>
        <v>0</v>
      </c>
      <c r="M103" s="21" t="str">
        <f t="shared" si="59"/>
        <v/>
      </c>
      <c r="N103" s="21" t="str">
        <f t="shared" si="60"/>
        <v/>
      </c>
      <c r="O103" s="21" t="str">
        <f t="shared" si="61"/>
        <v/>
      </c>
      <c r="P103" s="21" t="str">
        <f t="shared" si="62"/>
        <v/>
      </c>
      <c r="Q103" s="21" t="str">
        <f t="shared" si="63"/>
        <v/>
      </c>
      <c r="R103" s="21" t="str">
        <f t="shared" si="64"/>
        <v/>
      </c>
      <c r="S103" s="21" t="str">
        <f t="shared" si="65"/>
        <v/>
      </c>
      <c r="T103" s="19" t="str">
        <f t="shared" si="66"/>
        <v/>
      </c>
      <c r="U103" s="21" t="str">
        <f t="shared" si="67"/>
        <v/>
      </c>
      <c r="V103" s="19" t="str">
        <f t="shared" si="68"/>
        <v/>
      </c>
      <c r="W103" s="19" t="str">
        <f t="shared" si="69"/>
        <v/>
      </c>
      <c r="X103" s="21">
        <f t="shared" si="70"/>
        <v>0</v>
      </c>
      <c r="Y103" s="21">
        <f t="shared" si="71"/>
        <v>0</v>
      </c>
    </row>
    <row r="104" spans="1:25" x14ac:dyDescent="0.3">
      <c r="A104" s="21" t="str">
        <f>IF(Cadastro!$B104="","",Cadastro!$B104)</f>
        <v/>
      </c>
      <c r="B104" s="21" t="str">
        <f>IF(Cadastro!$C104="","",Cadastro!$C104)</f>
        <v/>
      </c>
      <c r="C104" s="19" t="str">
        <f t="shared" si="54"/>
        <v/>
      </c>
      <c r="D104" s="19" t="str">
        <f t="shared" si="55"/>
        <v/>
      </c>
      <c r="E104" s="23">
        <f>N(Cadastro!$F104)</f>
        <v>0</v>
      </c>
      <c r="F104" s="21" t="str">
        <f t="shared" si="56"/>
        <v/>
      </c>
      <c r="G104" s="21" t="str">
        <f t="shared" si="57"/>
        <v/>
      </c>
      <c r="H104" s="21" t="str">
        <f t="shared" si="58"/>
        <v/>
      </c>
      <c r="I104" s="23">
        <f>N(Cadastro!$R104)</f>
        <v>0</v>
      </c>
      <c r="J104" s="23">
        <f>N(Cadastro!$S104)</f>
        <v>0</v>
      </c>
      <c r="K104" s="23">
        <f>N(Cadastro!$T104)</f>
        <v>0</v>
      </c>
      <c r="L104" s="23">
        <f>N(Cadastro!$U104)</f>
        <v>0</v>
      </c>
      <c r="M104" s="21" t="str">
        <f t="shared" si="59"/>
        <v/>
      </c>
      <c r="N104" s="21" t="str">
        <f t="shared" si="60"/>
        <v/>
      </c>
      <c r="O104" s="21" t="str">
        <f t="shared" si="61"/>
        <v/>
      </c>
      <c r="P104" s="21" t="str">
        <f t="shared" si="62"/>
        <v/>
      </c>
      <c r="Q104" s="21" t="str">
        <f t="shared" si="63"/>
        <v/>
      </c>
      <c r="R104" s="21" t="str">
        <f t="shared" si="64"/>
        <v/>
      </c>
      <c r="S104" s="21" t="str">
        <f t="shared" si="65"/>
        <v/>
      </c>
      <c r="T104" s="19" t="str">
        <f t="shared" si="66"/>
        <v/>
      </c>
      <c r="U104" s="21" t="str">
        <f t="shared" si="67"/>
        <v/>
      </c>
      <c r="V104" s="19" t="str">
        <f t="shared" si="68"/>
        <v/>
      </c>
      <c r="W104" s="19" t="str">
        <f t="shared" si="69"/>
        <v/>
      </c>
      <c r="X104" s="21">
        <f t="shared" si="70"/>
        <v>0</v>
      </c>
      <c r="Y104" s="21">
        <f t="shared" si="71"/>
        <v>0</v>
      </c>
    </row>
    <row r="105" spans="1:25" x14ac:dyDescent="0.3">
      <c r="A105" s="21" t="str">
        <f>IF(Cadastro!$B105="","",Cadastro!$B105)</f>
        <v/>
      </c>
      <c r="B105" s="21" t="str">
        <f>IF(Cadastro!$C105="","",Cadastro!$C105)</f>
        <v/>
      </c>
      <c r="C105" s="19" t="str">
        <f t="shared" si="54"/>
        <v/>
      </c>
      <c r="D105" s="19" t="str">
        <f t="shared" si="55"/>
        <v/>
      </c>
      <c r="E105" s="23">
        <f>N(Cadastro!$F105)</f>
        <v>0</v>
      </c>
      <c r="F105" s="21" t="str">
        <f t="shared" si="56"/>
        <v/>
      </c>
      <c r="G105" s="21" t="str">
        <f t="shared" si="57"/>
        <v/>
      </c>
      <c r="H105" s="21" t="str">
        <f t="shared" si="58"/>
        <v/>
      </c>
      <c r="I105" s="23">
        <f>N(Cadastro!$R105)</f>
        <v>0</v>
      </c>
      <c r="J105" s="23">
        <f>N(Cadastro!$S105)</f>
        <v>0</v>
      </c>
      <c r="K105" s="23">
        <f>N(Cadastro!$T105)</f>
        <v>0</v>
      </c>
      <c r="L105" s="23">
        <f>N(Cadastro!$U105)</f>
        <v>0</v>
      </c>
      <c r="M105" s="21" t="str">
        <f t="shared" si="59"/>
        <v/>
      </c>
      <c r="N105" s="21" t="str">
        <f t="shared" si="60"/>
        <v/>
      </c>
      <c r="O105" s="21" t="str">
        <f t="shared" si="61"/>
        <v/>
      </c>
      <c r="P105" s="21" t="str">
        <f t="shared" si="62"/>
        <v/>
      </c>
      <c r="Q105" s="21" t="str">
        <f t="shared" si="63"/>
        <v/>
      </c>
      <c r="R105" s="21" t="str">
        <f t="shared" si="64"/>
        <v/>
      </c>
      <c r="S105" s="21" t="str">
        <f t="shared" si="65"/>
        <v/>
      </c>
      <c r="T105" s="19" t="str">
        <f t="shared" si="66"/>
        <v/>
      </c>
      <c r="U105" s="21" t="str">
        <f t="shared" si="67"/>
        <v/>
      </c>
      <c r="V105" s="19" t="str">
        <f t="shared" si="68"/>
        <v/>
      </c>
      <c r="W105" s="19" t="str">
        <f t="shared" si="69"/>
        <v/>
      </c>
      <c r="X105" s="21">
        <f t="shared" si="70"/>
        <v>0</v>
      </c>
      <c r="Y105" s="21">
        <f t="shared" si="71"/>
        <v>0</v>
      </c>
    </row>
    <row r="106" spans="1:25" x14ac:dyDescent="0.3">
      <c r="A106" s="21" t="str">
        <f>IF(Cadastro!$B106="","",Cadastro!$B106)</f>
        <v/>
      </c>
      <c r="B106" s="21" t="str">
        <f>IF(Cadastro!$C106="","",Cadastro!$C106)</f>
        <v/>
      </c>
      <c r="C106" s="19" t="str">
        <f t="shared" si="54"/>
        <v/>
      </c>
      <c r="D106" s="19" t="str">
        <f t="shared" si="55"/>
        <v/>
      </c>
      <c r="E106" s="23">
        <f>N(Cadastro!$F106)</f>
        <v>0</v>
      </c>
      <c r="F106" s="21" t="str">
        <f t="shared" si="56"/>
        <v/>
      </c>
      <c r="G106" s="21" t="str">
        <f t="shared" si="57"/>
        <v/>
      </c>
      <c r="H106" s="21" t="str">
        <f t="shared" si="58"/>
        <v/>
      </c>
      <c r="I106" s="23">
        <f>N(Cadastro!$R106)</f>
        <v>0</v>
      </c>
      <c r="J106" s="23">
        <f>N(Cadastro!$S106)</f>
        <v>0</v>
      </c>
      <c r="K106" s="23">
        <f>N(Cadastro!$T106)</f>
        <v>0</v>
      </c>
      <c r="L106" s="23">
        <f>N(Cadastro!$U106)</f>
        <v>0</v>
      </c>
      <c r="M106" s="21" t="str">
        <f t="shared" si="59"/>
        <v/>
      </c>
      <c r="N106" s="21" t="str">
        <f t="shared" si="60"/>
        <v/>
      </c>
      <c r="O106" s="21" t="str">
        <f t="shared" si="61"/>
        <v/>
      </c>
      <c r="P106" s="21" t="str">
        <f t="shared" si="62"/>
        <v/>
      </c>
      <c r="Q106" s="21" t="str">
        <f t="shared" si="63"/>
        <v/>
      </c>
      <c r="R106" s="21" t="str">
        <f t="shared" si="64"/>
        <v/>
      </c>
      <c r="S106" s="21" t="str">
        <f t="shared" si="65"/>
        <v/>
      </c>
      <c r="T106" s="19" t="str">
        <f t="shared" si="66"/>
        <v/>
      </c>
      <c r="U106" s="21" t="str">
        <f t="shared" si="67"/>
        <v/>
      </c>
      <c r="V106" s="19" t="str">
        <f t="shared" si="68"/>
        <v/>
      </c>
      <c r="W106" s="19" t="str">
        <f t="shared" si="69"/>
        <v/>
      </c>
      <c r="X106" s="21">
        <f t="shared" si="70"/>
        <v>0</v>
      </c>
      <c r="Y106" s="21">
        <f t="shared" si="71"/>
        <v>0</v>
      </c>
    </row>
    <row r="107" spans="1:25" x14ac:dyDescent="0.3">
      <c r="A107" s="21" t="str">
        <f>IF(Cadastro!$B107="","",Cadastro!$B107)</f>
        <v/>
      </c>
      <c r="B107" s="21" t="str">
        <f>IF(Cadastro!$C107="","",Cadastro!$C107)</f>
        <v/>
      </c>
      <c r="C107" s="19" t="str">
        <f t="shared" si="54"/>
        <v/>
      </c>
      <c r="D107" s="19" t="str">
        <f t="shared" si="55"/>
        <v/>
      </c>
      <c r="E107" s="23">
        <f>N(Cadastro!$F107)</f>
        <v>0</v>
      </c>
      <c r="F107" s="21" t="str">
        <f t="shared" si="56"/>
        <v/>
      </c>
      <c r="G107" s="21" t="str">
        <f t="shared" si="57"/>
        <v/>
      </c>
      <c r="H107" s="21" t="str">
        <f t="shared" si="58"/>
        <v/>
      </c>
      <c r="I107" s="23">
        <f>N(Cadastro!$R107)</f>
        <v>0</v>
      </c>
      <c r="J107" s="23">
        <f>N(Cadastro!$S107)</f>
        <v>0</v>
      </c>
      <c r="K107" s="23">
        <f>N(Cadastro!$T107)</f>
        <v>0</v>
      </c>
      <c r="L107" s="23">
        <f>N(Cadastro!$U107)</f>
        <v>0</v>
      </c>
      <c r="M107" s="21" t="str">
        <f t="shared" si="59"/>
        <v/>
      </c>
      <c r="N107" s="21" t="str">
        <f t="shared" si="60"/>
        <v/>
      </c>
      <c r="O107" s="21" t="str">
        <f t="shared" si="61"/>
        <v/>
      </c>
      <c r="P107" s="21" t="str">
        <f t="shared" si="62"/>
        <v/>
      </c>
      <c r="Q107" s="21" t="str">
        <f t="shared" si="63"/>
        <v/>
      </c>
      <c r="R107" s="21" t="str">
        <f t="shared" si="64"/>
        <v/>
      </c>
      <c r="S107" s="21" t="str">
        <f t="shared" si="65"/>
        <v/>
      </c>
      <c r="T107" s="19" t="str">
        <f t="shared" si="66"/>
        <v/>
      </c>
      <c r="U107" s="21" t="str">
        <f t="shared" si="67"/>
        <v/>
      </c>
      <c r="V107" s="19" t="str">
        <f t="shared" si="68"/>
        <v/>
      </c>
      <c r="W107" s="19" t="str">
        <f t="shared" si="69"/>
        <v/>
      </c>
      <c r="X107" s="21">
        <f t="shared" si="70"/>
        <v>0</v>
      </c>
      <c r="Y107" s="21">
        <f t="shared" si="71"/>
        <v>0</v>
      </c>
    </row>
    <row r="108" spans="1:25" x14ac:dyDescent="0.3">
      <c r="A108" s="21" t="str">
        <f>IF(Cadastro!$B108="","",Cadastro!$B108)</f>
        <v/>
      </c>
      <c r="B108" s="21" t="str">
        <f>IF(Cadastro!$C108="","",Cadastro!$C108)</f>
        <v/>
      </c>
      <c r="C108" s="19" t="str">
        <f t="shared" si="54"/>
        <v/>
      </c>
      <c r="D108" s="19" t="str">
        <f t="shared" si="55"/>
        <v/>
      </c>
      <c r="E108" s="23">
        <f>N(Cadastro!$F108)</f>
        <v>0</v>
      </c>
      <c r="F108" s="21" t="str">
        <f t="shared" si="56"/>
        <v/>
      </c>
      <c r="G108" s="21" t="str">
        <f t="shared" si="57"/>
        <v/>
      </c>
      <c r="H108" s="21" t="str">
        <f t="shared" si="58"/>
        <v/>
      </c>
      <c r="I108" s="23">
        <f>N(Cadastro!$R108)</f>
        <v>0</v>
      </c>
      <c r="J108" s="23">
        <f>N(Cadastro!$S108)</f>
        <v>0</v>
      </c>
      <c r="K108" s="23">
        <f>N(Cadastro!$T108)</f>
        <v>0</v>
      </c>
      <c r="L108" s="23">
        <f>N(Cadastro!$U108)</f>
        <v>0</v>
      </c>
      <c r="M108" s="21" t="str">
        <f t="shared" si="59"/>
        <v/>
      </c>
      <c r="N108" s="21" t="str">
        <f t="shared" si="60"/>
        <v/>
      </c>
      <c r="O108" s="21" t="str">
        <f t="shared" si="61"/>
        <v/>
      </c>
      <c r="P108" s="21" t="str">
        <f t="shared" si="62"/>
        <v/>
      </c>
      <c r="Q108" s="21" t="str">
        <f t="shared" si="63"/>
        <v/>
      </c>
      <c r="R108" s="21" t="str">
        <f t="shared" si="64"/>
        <v/>
      </c>
      <c r="S108" s="21" t="str">
        <f t="shared" si="65"/>
        <v/>
      </c>
      <c r="T108" s="19" t="str">
        <f t="shared" si="66"/>
        <v/>
      </c>
      <c r="U108" s="21" t="str">
        <f t="shared" si="67"/>
        <v/>
      </c>
      <c r="V108" s="19" t="str">
        <f t="shared" si="68"/>
        <v/>
      </c>
      <c r="W108" s="19" t="str">
        <f t="shared" si="69"/>
        <v/>
      </c>
      <c r="X108" s="21">
        <f t="shared" si="70"/>
        <v>0</v>
      </c>
      <c r="Y108" s="21">
        <f t="shared" si="71"/>
        <v>0</v>
      </c>
    </row>
    <row r="109" spans="1:25" x14ac:dyDescent="0.3">
      <c r="A109" s="21" t="str">
        <f>IF(Cadastro!$B109="","",Cadastro!$B109)</f>
        <v/>
      </c>
      <c r="B109" s="21" t="str">
        <f>IF(Cadastro!$C109="","",Cadastro!$C109)</f>
        <v/>
      </c>
      <c r="C109" s="19" t="str">
        <f t="shared" si="54"/>
        <v/>
      </c>
      <c r="D109" s="19" t="str">
        <f t="shared" si="55"/>
        <v/>
      </c>
      <c r="E109" s="23">
        <f>N(Cadastro!$F109)</f>
        <v>0</v>
      </c>
      <c r="F109" s="21" t="str">
        <f t="shared" si="56"/>
        <v/>
      </c>
      <c r="G109" s="21" t="str">
        <f t="shared" si="57"/>
        <v/>
      </c>
      <c r="H109" s="21" t="str">
        <f t="shared" si="58"/>
        <v/>
      </c>
      <c r="I109" s="23">
        <f>N(Cadastro!$R109)</f>
        <v>0</v>
      </c>
      <c r="J109" s="23">
        <f>N(Cadastro!$S109)</f>
        <v>0</v>
      </c>
      <c r="K109" s="23">
        <f>N(Cadastro!$T109)</f>
        <v>0</v>
      </c>
      <c r="L109" s="23">
        <f>N(Cadastro!$U109)</f>
        <v>0</v>
      </c>
      <c r="M109" s="21" t="str">
        <f t="shared" si="59"/>
        <v/>
      </c>
      <c r="N109" s="21" t="str">
        <f t="shared" si="60"/>
        <v/>
      </c>
      <c r="O109" s="21" t="str">
        <f t="shared" si="61"/>
        <v/>
      </c>
      <c r="P109" s="21" t="str">
        <f t="shared" si="62"/>
        <v/>
      </c>
      <c r="Q109" s="21" t="str">
        <f t="shared" si="63"/>
        <v/>
      </c>
      <c r="R109" s="21" t="str">
        <f t="shared" si="64"/>
        <v/>
      </c>
      <c r="S109" s="21" t="str">
        <f t="shared" si="65"/>
        <v/>
      </c>
      <c r="T109" s="19" t="str">
        <f t="shared" si="66"/>
        <v/>
      </c>
      <c r="U109" s="21" t="str">
        <f t="shared" si="67"/>
        <v/>
      </c>
      <c r="V109" s="19" t="str">
        <f t="shared" si="68"/>
        <v/>
      </c>
      <c r="W109" s="19" t="str">
        <f t="shared" si="69"/>
        <v/>
      </c>
      <c r="X109" s="21">
        <f t="shared" si="70"/>
        <v>0</v>
      </c>
      <c r="Y109" s="21">
        <f t="shared" si="71"/>
        <v>0</v>
      </c>
    </row>
    <row r="110" spans="1:25" x14ac:dyDescent="0.3">
      <c r="A110" s="21" t="str">
        <f>IF(Cadastro!$B110="","",Cadastro!$B110)</f>
        <v/>
      </c>
      <c r="B110" s="21" t="str">
        <f>IF(Cadastro!$C110="","",Cadastro!$C110)</f>
        <v/>
      </c>
      <c r="C110" s="19" t="str">
        <f t="shared" si="54"/>
        <v/>
      </c>
      <c r="D110" s="19" t="str">
        <f t="shared" si="55"/>
        <v/>
      </c>
      <c r="E110" s="23">
        <f>N(Cadastro!$F110)</f>
        <v>0</v>
      </c>
      <c r="F110" s="21" t="str">
        <f t="shared" si="56"/>
        <v/>
      </c>
      <c r="G110" s="21" t="str">
        <f t="shared" si="57"/>
        <v/>
      </c>
      <c r="H110" s="21" t="str">
        <f t="shared" si="58"/>
        <v/>
      </c>
      <c r="I110" s="23">
        <f>N(Cadastro!$R110)</f>
        <v>0</v>
      </c>
      <c r="J110" s="23">
        <f>N(Cadastro!$S110)</f>
        <v>0</v>
      </c>
      <c r="K110" s="23">
        <f>N(Cadastro!$T110)</f>
        <v>0</v>
      </c>
      <c r="L110" s="23">
        <f>N(Cadastro!$U110)</f>
        <v>0</v>
      </c>
      <c r="M110" s="21" t="str">
        <f t="shared" si="59"/>
        <v/>
      </c>
      <c r="N110" s="21" t="str">
        <f t="shared" si="60"/>
        <v/>
      </c>
      <c r="O110" s="21" t="str">
        <f t="shared" si="61"/>
        <v/>
      </c>
      <c r="P110" s="21" t="str">
        <f t="shared" si="62"/>
        <v/>
      </c>
      <c r="Q110" s="21" t="str">
        <f t="shared" si="63"/>
        <v/>
      </c>
      <c r="R110" s="21" t="str">
        <f t="shared" si="64"/>
        <v/>
      </c>
      <c r="S110" s="21" t="str">
        <f t="shared" si="65"/>
        <v/>
      </c>
      <c r="T110" s="19" t="str">
        <f t="shared" si="66"/>
        <v/>
      </c>
      <c r="U110" s="21" t="str">
        <f t="shared" si="67"/>
        <v/>
      </c>
      <c r="V110" s="19" t="str">
        <f t="shared" si="68"/>
        <v/>
      </c>
      <c r="W110" s="19" t="str">
        <f t="shared" si="69"/>
        <v/>
      </c>
      <c r="X110" s="21">
        <f t="shared" si="70"/>
        <v>0</v>
      </c>
      <c r="Y110" s="21">
        <f t="shared" si="71"/>
        <v>0</v>
      </c>
    </row>
    <row r="111" spans="1:25" x14ac:dyDescent="0.3">
      <c r="A111" s="21" t="str">
        <f>IF(Cadastro!$B111="","",Cadastro!$B111)</f>
        <v/>
      </c>
      <c r="B111" s="21" t="str">
        <f>IF(Cadastro!$C111="","",Cadastro!$C111)</f>
        <v/>
      </c>
      <c r="C111" s="19" t="str">
        <f t="shared" si="54"/>
        <v/>
      </c>
      <c r="D111" s="19" t="str">
        <f t="shared" si="55"/>
        <v/>
      </c>
      <c r="E111" s="23">
        <f>N(Cadastro!$F111)</f>
        <v>0</v>
      </c>
      <c r="F111" s="21" t="str">
        <f t="shared" si="56"/>
        <v/>
      </c>
      <c r="G111" s="21" t="str">
        <f t="shared" si="57"/>
        <v/>
      </c>
      <c r="H111" s="21" t="str">
        <f t="shared" si="58"/>
        <v/>
      </c>
      <c r="I111" s="23">
        <f>N(Cadastro!$R111)</f>
        <v>0</v>
      </c>
      <c r="J111" s="23">
        <f>N(Cadastro!$S111)</f>
        <v>0</v>
      </c>
      <c r="K111" s="23">
        <f>N(Cadastro!$T111)</f>
        <v>0</v>
      </c>
      <c r="L111" s="23">
        <f>N(Cadastro!$U111)</f>
        <v>0</v>
      </c>
      <c r="M111" s="21" t="str">
        <f t="shared" si="59"/>
        <v/>
      </c>
      <c r="N111" s="21" t="str">
        <f t="shared" si="60"/>
        <v/>
      </c>
      <c r="O111" s="21" t="str">
        <f t="shared" si="61"/>
        <v/>
      </c>
      <c r="P111" s="21" t="str">
        <f t="shared" si="62"/>
        <v/>
      </c>
      <c r="Q111" s="21" t="str">
        <f t="shared" si="63"/>
        <v/>
      </c>
      <c r="R111" s="21" t="str">
        <f t="shared" si="64"/>
        <v/>
      </c>
      <c r="S111" s="21" t="str">
        <f t="shared" si="65"/>
        <v/>
      </c>
      <c r="T111" s="19" t="str">
        <f t="shared" si="66"/>
        <v/>
      </c>
      <c r="U111" s="21" t="str">
        <f t="shared" si="67"/>
        <v/>
      </c>
      <c r="V111" s="19" t="str">
        <f t="shared" si="68"/>
        <v/>
      </c>
      <c r="W111" s="19" t="str">
        <f t="shared" si="69"/>
        <v/>
      </c>
      <c r="X111" s="21">
        <f t="shared" si="70"/>
        <v>0</v>
      </c>
      <c r="Y111" s="21">
        <f t="shared" si="71"/>
        <v>0</v>
      </c>
    </row>
    <row r="112" spans="1:25" x14ac:dyDescent="0.3">
      <c r="A112" s="21" t="str">
        <f>IF(Cadastro!$B112="","",Cadastro!$B112)</f>
        <v/>
      </c>
      <c r="B112" s="21" t="str">
        <f>IF(Cadastro!$C112="","",Cadastro!$C112)</f>
        <v/>
      </c>
      <c r="C112" s="19" t="str">
        <f t="shared" si="54"/>
        <v/>
      </c>
      <c r="D112" s="19" t="str">
        <f t="shared" si="55"/>
        <v/>
      </c>
      <c r="E112" s="23">
        <f>N(Cadastro!$F112)</f>
        <v>0</v>
      </c>
      <c r="F112" s="21" t="str">
        <f t="shared" si="56"/>
        <v/>
      </c>
      <c r="G112" s="21" t="str">
        <f t="shared" si="57"/>
        <v/>
      </c>
      <c r="H112" s="21" t="str">
        <f t="shared" si="58"/>
        <v/>
      </c>
      <c r="I112" s="23">
        <f>N(Cadastro!$R112)</f>
        <v>0</v>
      </c>
      <c r="J112" s="23">
        <f>N(Cadastro!$S112)</f>
        <v>0</v>
      </c>
      <c r="K112" s="23">
        <f>N(Cadastro!$T112)</f>
        <v>0</v>
      </c>
      <c r="L112" s="23">
        <f>N(Cadastro!$U112)</f>
        <v>0</v>
      </c>
      <c r="M112" s="21" t="str">
        <f t="shared" si="59"/>
        <v/>
      </c>
      <c r="N112" s="21" t="str">
        <f t="shared" si="60"/>
        <v/>
      </c>
      <c r="O112" s="21" t="str">
        <f t="shared" si="61"/>
        <v/>
      </c>
      <c r="P112" s="21" t="str">
        <f t="shared" si="62"/>
        <v/>
      </c>
      <c r="Q112" s="21" t="str">
        <f t="shared" si="63"/>
        <v/>
      </c>
      <c r="R112" s="21" t="str">
        <f t="shared" si="64"/>
        <v/>
      </c>
      <c r="S112" s="21" t="str">
        <f t="shared" si="65"/>
        <v/>
      </c>
      <c r="T112" s="19" t="str">
        <f t="shared" si="66"/>
        <v/>
      </c>
      <c r="U112" s="21" t="str">
        <f t="shared" si="67"/>
        <v/>
      </c>
      <c r="V112" s="19" t="str">
        <f t="shared" si="68"/>
        <v/>
      </c>
      <c r="W112" s="19" t="str">
        <f t="shared" si="69"/>
        <v/>
      </c>
      <c r="X112" s="21">
        <f t="shared" si="70"/>
        <v>0</v>
      </c>
      <c r="Y112" s="21">
        <f t="shared" si="71"/>
        <v>0</v>
      </c>
    </row>
    <row r="113" spans="1:25" x14ac:dyDescent="0.3">
      <c r="A113" s="21" t="str">
        <f>IF(Cadastro!$B113="","",Cadastro!$B113)</f>
        <v/>
      </c>
      <c r="B113" s="21" t="str">
        <f>IF(Cadastro!$C113="","",Cadastro!$C113)</f>
        <v/>
      </c>
      <c r="C113" s="19" t="str">
        <f t="shared" si="54"/>
        <v/>
      </c>
      <c r="D113" s="19" t="str">
        <f t="shared" si="55"/>
        <v/>
      </c>
      <c r="E113" s="23">
        <f>N(Cadastro!$F113)</f>
        <v>0</v>
      </c>
      <c r="F113" s="21" t="str">
        <f t="shared" si="56"/>
        <v/>
      </c>
      <c r="G113" s="21" t="str">
        <f t="shared" si="57"/>
        <v/>
      </c>
      <c r="H113" s="21" t="str">
        <f t="shared" si="58"/>
        <v/>
      </c>
      <c r="I113" s="23">
        <f>N(Cadastro!$R113)</f>
        <v>0</v>
      </c>
      <c r="J113" s="23">
        <f>N(Cadastro!$S113)</f>
        <v>0</v>
      </c>
      <c r="K113" s="23">
        <f>N(Cadastro!$T113)</f>
        <v>0</v>
      </c>
      <c r="L113" s="23">
        <f>N(Cadastro!$U113)</f>
        <v>0</v>
      </c>
      <c r="M113" s="21" t="str">
        <f t="shared" si="59"/>
        <v/>
      </c>
      <c r="N113" s="21" t="str">
        <f t="shared" si="60"/>
        <v/>
      </c>
      <c r="O113" s="21" t="str">
        <f t="shared" si="61"/>
        <v/>
      </c>
      <c r="P113" s="21" t="str">
        <f t="shared" si="62"/>
        <v/>
      </c>
      <c r="Q113" s="21" t="str">
        <f t="shared" si="63"/>
        <v/>
      </c>
      <c r="R113" s="21" t="str">
        <f t="shared" si="64"/>
        <v/>
      </c>
      <c r="S113" s="21" t="str">
        <f t="shared" si="65"/>
        <v/>
      </c>
      <c r="T113" s="19" t="str">
        <f t="shared" si="66"/>
        <v/>
      </c>
      <c r="U113" s="21" t="str">
        <f t="shared" si="67"/>
        <v/>
      </c>
      <c r="V113" s="19" t="str">
        <f t="shared" si="68"/>
        <v/>
      </c>
      <c r="W113" s="19" t="str">
        <f t="shared" si="69"/>
        <v/>
      </c>
      <c r="X113" s="21">
        <f t="shared" si="70"/>
        <v>0</v>
      </c>
      <c r="Y113" s="21">
        <f t="shared" si="71"/>
        <v>0</v>
      </c>
    </row>
    <row r="114" spans="1:25" x14ac:dyDescent="0.3">
      <c r="A114" s="21" t="str">
        <f>IF(Cadastro!$B114="","",Cadastro!$B114)</f>
        <v/>
      </c>
      <c r="B114" s="21" t="str">
        <f>IF(Cadastro!$C114="","",Cadastro!$C114)</f>
        <v/>
      </c>
      <c r="C114" s="19" t="str">
        <f t="shared" si="54"/>
        <v/>
      </c>
      <c r="D114" s="19" t="str">
        <f t="shared" si="55"/>
        <v/>
      </c>
      <c r="E114" s="23">
        <f>N(Cadastro!$F114)</f>
        <v>0</v>
      </c>
      <c r="F114" s="21" t="str">
        <f t="shared" si="56"/>
        <v/>
      </c>
      <c r="G114" s="21" t="str">
        <f t="shared" si="57"/>
        <v/>
      </c>
      <c r="H114" s="21" t="str">
        <f t="shared" si="58"/>
        <v/>
      </c>
      <c r="I114" s="23">
        <f>N(Cadastro!$R114)</f>
        <v>0</v>
      </c>
      <c r="J114" s="23">
        <f>N(Cadastro!$S114)</f>
        <v>0</v>
      </c>
      <c r="K114" s="23">
        <f>N(Cadastro!$T114)</f>
        <v>0</v>
      </c>
      <c r="L114" s="23">
        <f>N(Cadastro!$U114)</f>
        <v>0</v>
      </c>
      <c r="M114" s="21" t="str">
        <f t="shared" si="59"/>
        <v/>
      </c>
      <c r="N114" s="21" t="str">
        <f t="shared" si="60"/>
        <v/>
      </c>
      <c r="O114" s="21" t="str">
        <f t="shared" si="61"/>
        <v/>
      </c>
      <c r="P114" s="21" t="str">
        <f t="shared" si="62"/>
        <v/>
      </c>
      <c r="Q114" s="21" t="str">
        <f t="shared" si="63"/>
        <v/>
      </c>
      <c r="R114" s="21" t="str">
        <f t="shared" si="64"/>
        <v/>
      </c>
      <c r="S114" s="21" t="str">
        <f t="shared" si="65"/>
        <v/>
      </c>
      <c r="T114" s="19" t="str">
        <f t="shared" si="66"/>
        <v/>
      </c>
      <c r="U114" s="21" t="str">
        <f t="shared" si="67"/>
        <v/>
      </c>
      <c r="V114" s="19" t="str">
        <f t="shared" si="68"/>
        <v/>
      </c>
      <c r="W114" s="19" t="str">
        <f t="shared" si="69"/>
        <v/>
      </c>
      <c r="X114" s="21">
        <f t="shared" si="70"/>
        <v>0</v>
      </c>
      <c r="Y114" s="21">
        <f t="shared" si="71"/>
        <v>0</v>
      </c>
    </row>
    <row r="115" spans="1:25" x14ac:dyDescent="0.3">
      <c r="A115" s="21" t="str">
        <f>IF(Cadastro!$B115="","",Cadastro!$B115)</f>
        <v/>
      </c>
      <c r="B115" s="21" t="str">
        <f>IF(Cadastro!$C115="","",Cadastro!$C115)</f>
        <v/>
      </c>
      <c r="C115" s="19" t="str">
        <f t="shared" si="54"/>
        <v/>
      </c>
      <c r="D115" s="19" t="str">
        <f t="shared" si="55"/>
        <v/>
      </c>
      <c r="E115" s="23">
        <f>N(Cadastro!$F115)</f>
        <v>0</v>
      </c>
      <c r="F115" s="21" t="str">
        <f t="shared" si="56"/>
        <v/>
      </c>
      <c r="G115" s="21" t="str">
        <f t="shared" si="57"/>
        <v/>
      </c>
      <c r="H115" s="21" t="str">
        <f t="shared" si="58"/>
        <v/>
      </c>
      <c r="I115" s="23">
        <f>N(Cadastro!$R115)</f>
        <v>0</v>
      </c>
      <c r="J115" s="23">
        <f>N(Cadastro!$S115)</f>
        <v>0</v>
      </c>
      <c r="K115" s="23">
        <f>N(Cadastro!$T115)</f>
        <v>0</v>
      </c>
      <c r="L115" s="23">
        <f>N(Cadastro!$U115)</f>
        <v>0</v>
      </c>
      <c r="M115" s="21" t="str">
        <f t="shared" si="59"/>
        <v/>
      </c>
      <c r="N115" s="21" t="str">
        <f t="shared" si="60"/>
        <v/>
      </c>
      <c r="O115" s="21" t="str">
        <f t="shared" si="61"/>
        <v/>
      </c>
      <c r="P115" s="21" t="str">
        <f t="shared" si="62"/>
        <v/>
      </c>
      <c r="Q115" s="21" t="str">
        <f t="shared" si="63"/>
        <v/>
      </c>
      <c r="R115" s="21" t="str">
        <f t="shared" si="64"/>
        <v/>
      </c>
      <c r="S115" s="21" t="str">
        <f t="shared" si="65"/>
        <v/>
      </c>
      <c r="T115" s="19" t="str">
        <f t="shared" si="66"/>
        <v/>
      </c>
      <c r="U115" s="21" t="str">
        <f t="shared" si="67"/>
        <v/>
      </c>
      <c r="V115" s="19" t="str">
        <f t="shared" si="68"/>
        <v/>
      </c>
      <c r="W115" s="19" t="str">
        <f t="shared" si="69"/>
        <v/>
      </c>
      <c r="X115" s="21">
        <f t="shared" si="70"/>
        <v>0</v>
      </c>
      <c r="Y115" s="21">
        <f t="shared" si="71"/>
        <v>0</v>
      </c>
    </row>
    <row r="116" spans="1:25" x14ac:dyDescent="0.3">
      <c r="A116" s="21" t="str">
        <f>IF(Cadastro!$B116="","",Cadastro!$B116)</f>
        <v/>
      </c>
      <c r="B116" s="21" t="str">
        <f>IF(Cadastro!$C116="","",Cadastro!$C116)</f>
        <v/>
      </c>
      <c r="C116" s="19" t="str">
        <f t="shared" si="54"/>
        <v/>
      </c>
      <c r="D116" s="19" t="str">
        <f t="shared" si="55"/>
        <v/>
      </c>
      <c r="E116" s="23">
        <f>N(Cadastro!$F116)</f>
        <v>0</v>
      </c>
      <c r="F116" s="21" t="str">
        <f t="shared" si="56"/>
        <v/>
      </c>
      <c r="G116" s="21" t="str">
        <f t="shared" si="57"/>
        <v/>
      </c>
      <c r="H116" s="21" t="str">
        <f t="shared" si="58"/>
        <v/>
      </c>
      <c r="I116" s="23">
        <f>N(Cadastro!$R116)</f>
        <v>0</v>
      </c>
      <c r="J116" s="23">
        <f>N(Cadastro!$S116)</f>
        <v>0</v>
      </c>
      <c r="K116" s="23">
        <f>N(Cadastro!$T116)</f>
        <v>0</v>
      </c>
      <c r="L116" s="23">
        <f>N(Cadastro!$U116)</f>
        <v>0</v>
      </c>
      <c r="M116" s="21" t="str">
        <f t="shared" si="59"/>
        <v/>
      </c>
      <c r="N116" s="21" t="str">
        <f t="shared" si="60"/>
        <v/>
      </c>
      <c r="O116" s="21" t="str">
        <f t="shared" si="61"/>
        <v/>
      </c>
      <c r="P116" s="21" t="str">
        <f t="shared" si="62"/>
        <v/>
      </c>
      <c r="Q116" s="21" t="str">
        <f t="shared" si="63"/>
        <v/>
      </c>
      <c r="R116" s="21" t="str">
        <f t="shared" si="64"/>
        <v/>
      </c>
      <c r="S116" s="21" t="str">
        <f t="shared" si="65"/>
        <v/>
      </c>
      <c r="T116" s="19" t="str">
        <f t="shared" si="66"/>
        <v/>
      </c>
      <c r="U116" s="21" t="str">
        <f t="shared" si="67"/>
        <v/>
      </c>
      <c r="V116" s="19" t="str">
        <f t="shared" si="68"/>
        <v/>
      </c>
      <c r="W116" s="19" t="str">
        <f t="shared" si="69"/>
        <v/>
      </c>
      <c r="X116" s="21">
        <f t="shared" si="70"/>
        <v>0</v>
      </c>
      <c r="Y116" s="21">
        <f t="shared" si="71"/>
        <v>0</v>
      </c>
    </row>
    <row r="117" spans="1:25" x14ac:dyDescent="0.3">
      <c r="A117" s="21" t="str">
        <f>IF(Cadastro!$B117="","",Cadastro!$B117)</f>
        <v/>
      </c>
      <c r="B117" s="21" t="str">
        <f>IF(Cadastro!$C117="","",Cadastro!$C117)</f>
        <v/>
      </c>
      <c r="C117" s="19" t="str">
        <f t="shared" si="54"/>
        <v/>
      </c>
      <c r="D117" s="19" t="str">
        <f t="shared" si="55"/>
        <v/>
      </c>
      <c r="E117" s="23">
        <f>N(Cadastro!$F117)</f>
        <v>0</v>
      </c>
      <c r="F117" s="21" t="str">
        <f t="shared" si="56"/>
        <v/>
      </c>
      <c r="G117" s="21" t="str">
        <f t="shared" si="57"/>
        <v/>
      </c>
      <c r="H117" s="21" t="str">
        <f t="shared" si="58"/>
        <v/>
      </c>
      <c r="I117" s="23">
        <f>N(Cadastro!$R117)</f>
        <v>0</v>
      </c>
      <c r="J117" s="23">
        <f>N(Cadastro!$S117)</f>
        <v>0</v>
      </c>
      <c r="K117" s="23">
        <f>N(Cadastro!$T117)</f>
        <v>0</v>
      </c>
      <c r="L117" s="23">
        <f>N(Cadastro!$U117)</f>
        <v>0</v>
      </c>
      <c r="M117" s="21" t="str">
        <f t="shared" si="59"/>
        <v/>
      </c>
      <c r="N117" s="21" t="str">
        <f t="shared" si="60"/>
        <v/>
      </c>
      <c r="O117" s="21" t="str">
        <f t="shared" si="61"/>
        <v/>
      </c>
      <c r="P117" s="21" t="str">
        <f t="shared" si="62"/>
        <v/>
      </c>
      <c r="Q117" s="21" t="str">
        <f t="shared" si="63"/>
        <v/>
      </c>
      <c r="R117" s="21" t="str">
        <f t="shared" si="64"/>
        <v/>
      </c>
      <c r="S117" s="21" t="str">
        <f t="shared" si="65"/>
        <v/>
      </c>
      <c r="T117" s="19" t="str">
        <f t="shared" si="66"/>
        <v/>
      </c>
      <c r="U117" s="21" t="str">
        <f t="shared" si="67"/>
        <v/>
      </c>
      <c r="V117" s="19" t="str">
        <f t="shared" si="68"/>
        <v/>
      </c>
      <c r="W117" s="19" t="str">
        <f t="shared" si="69"/>
        <v/>
      </c>
      <c r="X117" s="21">
        <f t="shared" si="70"/>
        <v>0</v>
      </c>
      <c r="Y117" s="21">
        <f t="shared" si="71"/>
        <v>0</v>
      </c>
    </row>
    <row r="118" spans="1:25" x14ac:dyDescent="0.3">
      <c r="A118" s="21" t="str">
        <f>IF(Cadastro!$B118="","",Cadastro!$B118)</f>
        <v/>
      </c>
      <c r="B118" s="21" t="str">
        <f>IF(Cadastro!$C118="","",Cadastro!$C118)</f>
        <v/>
      </c>
      <c r="C118" s="19" t="str">
        <f t="shared" si="54"/>
        <v/>
      </c>
      <c r="D118" s="19" t="str">
        <f t="shared" si="55"/>
        <v/>
      </c>
      <c r="E118" s="23">
        <f>N(Cadastro!$F118)</f>
        <v>0</v>
      </c>
      <c r="F118" s="21" t="str">
        <f t="shared" si="56"/>
        <v/>
      </c>
      <c r="G118" s="21" t="str">
        <f t="shared" si="57"/>
        <v/>
      </c>
      <c r="H118" s="21" t="str">
        <f t="shared" si="58"/>
        <v/>
      </c>
      <c r="I118" s="23">
        <f>N(Cadastro!$R118)</f>
        <v>0</v>
      </c>
      <c r="J118" s="23">
        <f>N(Cadastro!$S118)</f>
        <v>0</v>
      </c>
      <c r="K118" s="23">
        <f>N(Cadastro!$T118)</f>
        <v>0</v>
      </c>
      <c r="L118" s="23">
        <f>N(Cadastro!$U118)</f>
        <v>0</v>
      </c>
      <c r="M118" s="21" t="str">
        <f t="shared" si="59"/>
        <v/>
      </c>
      <c r="N118" s="21" t="str">
        <f t="shared" si="60"/>
        <v/>
      </c>
      <c r="O118" s="21" t="str">
        <f t="shared" si="61"/>
        <v/>
      </c>
      <c r="P118" s="21" t="str">
        <f t="shared" si="62"/>
        <v/>
      </c>
      <c r="Q118" s="21" t="str">
        <f t="shared" si="63"/>
        <v/>
      </c>
      <c r="R118" s="21" t="str">
        <f t="shared" si="64"/>
        <v/>
      </c>
      <c r="S118" s="21" t="str">
        <f t="shared" si="65"/>
        <v/>
      </c>
      <c r="T118" s="19" t="str">
        <f t="shared" si="66"/>
        <v/>
      </c>
      <c r="U118" s="21" t="str">
        <f t="shared" si="67"/>
        <v/>
      </c>
      <c r="V118" s="19" t="str">
        <f t="shared" si="68"/>
        <v/>
      </c>
      <c r="W118" s="19" t="str">
        <f t="shared" si="69"/>
        <v/>
      </c>
      <c r="X118" s="21">
        <f t="shared" si="70"/>
        <v>0</v>
      </c>
      <c r="Y118" s="21">
        <f t="shared" si="71"/>
        <v>0</v>
      </c>
    </row>
    <row r="119" spans="1:25" x14ac:dyDescent="0.3">
      <c r="A119" s="21" t="str">
        <f>IF(Cadastro!$B119="","",Cadastro!$B119)</f>
        <v/>
      </c>
      <c r="B119" s="21" t="str">
        <f>IF(Cadastro!$C119="","",Cadastro!$C119)</f>
        <v/>
      </c>
      <c r="C119" s="19" t="str">
        <f t="shared" si="54"/>
        <v/>
      </c>
      <c r="D119" s="19" t="str">
        <f t="shared" si="55"/>
        <v/>
      </c>
      <c r="E119" s="23">
        <f>N(Cadastro!$F119)</f>
        <v>0</v>
      </c>
      <c r="F119" s="21" t="str">
        <f t="shared" si="56"/>
        <v/>
      </c>
      <c r="G119" s="21" t="str">
        <f t="shared" si="57"/>
        <v/>
      </c>
      <c r="H119" s="21" t="str">
        <f t="shared" si="58"/>
        <v/>
      </c>
      <c r="I119" s="23">
        <f>N(Cadastro!$R119)</f>
        <v>0</v>
      </c>
      <c r="J119" s="23">
        <f>N(Cadastro!$S119)</f>
        <v>0</v>
      </c>
      <c r="K119" s="23">
        <f>N(Cadastro!$T119)</f>
        <v>0</v>
      </c>
      <c r="L119" s="23">
        <f>N(Cadastro!$U119)</f>
        <v>0</v>
      </c>
      <c r="M119" s="21" t="str">
        <f t="shared" si="59"/>
        <v/>
      </c>
      <c r="N119" s="21" t="str">
        <f t="shared" si="60"/>
        <v/>
      </c>
      <c r="O119" s="21" t="str">
        <f t="shared" si="61"/>
        <v/>
      </c>
      <c r="P119" s="21" t="str">
        <f t="shared" si="62"/>
        <v/>
      </c>
      <c r="Q119" s="21" t="str">
        <f t="shared" si="63"/>
        <v/>
      </c>
      <c r="R119" s="21" t="str">
        <f t="shared" si="64"/>
        <v/>
      </c>
      <c r="S119" s="21" t="str">
        <f t="shared" si="65"/>
        <v/>
      </c>
      <c r="T119" s="19" t="str">
        <f t="shared" si="66"/>
        <v/>
      </c>
      <c r="U119" s="21" t="str">
        <f t="shared" si="67"/>
        <v/>
      </c>
      <c r="V119" s="19" t="str">
        <f t="shared" si="68"/>
        <v/>
      </c>
      <c r="W119" s="19" t="str">
        <f t="shared" si="69"/>
        <v/>
      </c>
      <c r="X119" s="21">
        <f t="shared" si="70"/>
        <v>0</v>
      </c>
      <c r="Y119" s="21">
        <f t="shared" si="71"/>
        <v>0</v>
      </c>
    </row>
    <row r="120" spans="1:25" x14ac:dyDescent="0.3">
      <c r="A120" s="21" t="str">
        <f>IF(Cadastro!$B120="","",Cadastro!$B120)</f>
        <v/>
      </c>
      <c r="B120" s="21" t="str">
        <f>IF(Cadastro!$C120="","",Cadastro!$C120)</f>
        <v/>
      </c>
      <c r="C120" s="19" t="str">
        <f t="shared" si="54"/>
        <v/>
      </c>
      <c r="D120" s="19" t="str">
        <f t="shared" si="55"/>
        <v/>
      </c>
      <c r="E120" s="23">
        <f>N(Cadastro!$F120)</f>
        <v>0</v>
      </c>
      <c r="F120" s="21" t="str">
        <f t="shared" si="56"/>
        <v/>
      </c>
      <c r="G120" s="21" t="str">
        <f t="shared" si="57"/>
        <v/>
      </c>
      <c r="H120" s="21" t="str">
        <f t="shared" si="58"/>
        <v/>
      </c>
      <c r="I120" s="23">
        <f>N(Cadastro!$R120)</f>
        <v>0</v>
      </c>
      <c r="J120" s="23">
        <f>N(Cadastro!$S120)</f>
        <v>0</v>
      </c>
      <c r="K120" s="23">
        <f>N(Cadastro!$T120)</f>
        <v>0</v>
      </c>
      <c r="L120" s="23">
        <f>N(Cadastro!$U120)</f>
        <v>0</v>
      </c>
      <c r="M120" s="21" t="str">
        <f t="shared" si="59"/>
        <v/>
      </c>
      <c r="N120" s="21" t="str">
        <f t="shared" si="60"/>
        <v/>
      </c>
      <c r="O120" s="21" t="str">
        <f t="shared" si="61"/>
        <v/>
      </c>
      <c r="P120" s="21" t="str">
        <f t="shared" si="62"/>
        <v/>
      </c>
      <c r="Q120" s="21" t="str">
        <f t="shared" si="63"/>
        <v/>
      </c>
      <c r="R120" s="21" t="str">
        <f t="shared" si="64"/>
        <v/>
      </c>
      <c r="S120" s="21" t="str">
        <f t="shared" si="65"/>
        <v/>
      </c>
      <c r="T120" s="19" t="str">
        <f t="shared" si="66"/>
        <v/>
      </c>
      <c r="U120" s="21" t="str">
        <f t="shared" si="67"/>
        <v/>
      </c>
      <c r="V120" s="19" t="str">
        <f t="shared" si="68"/>
        <v/>
      </c>
      <c r="W120" s="19" t="str">
        <f t="shared" si="69"/>
        <v/>
      </c>
      <c r="X120" s="21">
        <f t="shared" si="70"/>
        <v>0</v>
      </c>
      <c r="Y120" s="21">
        <f t="shared" si="71"/>
        <v>0</v>
      </c>
    </row>
    <row r="121" spans="1:25" x14ac:dyDescent="0.3">
      <c r="A121" s="21" t="str">
        <f>IF(Cadastro!$B121="","",Cadastro!$B121)</f>
        <v/>
      </c>
      <c r="B121" s="21" t="str">
        <f>IF(Cadastro!$C121="","",Cadastro!$C121)</f>
        <v/>
      </c>
      <c r="C121" s="19" t="str">
        <f t="shared" si="54"/>
        <v/>
      </c>
      <c r="D121" s="19" t="str">
        <f t="shared" si="55"/>
        <v/>
      </c>
      <c r="E121" s="23">
        <f>N(Cadastro!$F121)</f>
        <v>0</v>
      </c>
      <c r="F121" s="21" t="str">
        <f t="shared" si="56"/>
        <v/>
      </c>
      <c r="G121" s="21" t="str">
        <f t="shared" si="57"/>
        <v/>
      </c>
      <c r="H121" s="21" t="str">
        <f t="shared" si="58"/>
        <v/>
      </c>
      <c r="I121" s="23">
        <f>N(Cadastro!$R121)</f>
        <v>0</v>
      </c>
      <c r="J121" s="23">
        <f>N(Cadastro!$S121)</f>
        <v>0</v>
      </c>
      <c r="K121" s="23">
        <f>N(Cadastro!$T121)</f>
        <v>0</v>
      </c>
      <c r="L121" s="23">
        <f>N(Cadastro!$U121)</f>
        <v>0</v>
      </c>
      <c r="M121" s="21" t="str">
        <f t="shared" si="59"/>
        <v/>
      </c>
      <c r="N121" s="21" t="str">
        <f t="shared" si="60"/>
        <v/>
      </c>
      <c r="O121" s="21" t="str">
        <f t="shared" si="61"/>
        <v/>
      </c>
      <c r="P121" s="21" t="str">
        <f t="shared" si="62"/>
        <v/>
      </c>
      <c r="Q121" s="21" t="str">
        <f t="shared" si="63"/>
        <v/>
      </c>
      <c r="R121" s="21" t="str">
        <f t="shared" si="64"/>
        <v/>
      </c>
      <c r="S121" s="21" t="str">
        <f t="shared" si="65"/>
        <v/>
      </c>
      <c r="T121" s="19" t="str">
        <f t="shared" si="66"/>
        <v/>
      </c>
      <c r="U121" s="21" t="str">
        <f t="shared" si="67"/>
        <v/>
      </c>
      <c r="V121" s="19" t="str">
        <f t="shared" si="68"/>
        <v/>
      </c>
      <c r="W121" s="19" t="str">
        <f t="shared" si="69"/>
        <v/>
      </c>
      <c r="X121" s="21">
        <f t="shared" si="70"/>
        <v>0</v>
      </c>
      <c r="Y121" s="21">
        <f t="shared" si="71"/>
        <v>0</v>
      </c>
    </row>
    <row r="122" spans="1:25" x14ac:dyDescent="0.3">
      <c r="A122" s="21" t="str">
        <f>IF(Cadastro!$B122="","",Cadastro!$B122)</f>
        <v/>
      </c>
      <c r="B122" s="21" t="str">
        <f>IF(Cadastro!$C122="","",Cadastro!$C122)</f>
        <v/>
      </c>
      <c r="C122" s="19" t="str">
        <f t="shared" si="54"/>
        <v/>
      </c>
      <c r="D122" s="19" t="str">
        <f t="shared" si="55"/>
        <v/>
      </c>
      <c r="E122" s="23">
        <f>N(Cadastro!$F122)</f>
        <v>0</v>
      </c>
      <c r="F122" s="21" t="str">
        <f t="shared" si="56"/>
        <v/>
      </c>
      <c r="G122" s="21" t="str">
        <f t="shared" si="57"/>
        <v/>
      </c>
      <c r="H122" s="21" t="str">
        <f t="shared" si="58"/>
        <v/>
      </c>
      <c r="I122" s="23">
        <f>N(Cadastro!$R122)</f>
        <v>0</v>
      </c>
      <c r="J122" s="23">
        <f>N(Cadastro!$S122)</f>
        <v>0</v>
      </c>
      <c r="K122" s="23">
        <f>N(Cadastro!$T122)</f>
        <v>0</v>
      </c>
      <c r="L122" s="23">
        <f>N(Cadastro!$U122)</f>
        <v>0</v>
      </c>
      <c r="M122" s="21" t="str">
        <f t="shared" si="59"/>
        <v/>
      </c>
      <c r="N122" s="21" t="str">
        <f t="shared" si="60"/>
        <v/>
      </c>
      <c r="O122" s="21" t="str">
        <f t="shared" si="61"/>
        <v/>
      </c>
      <c r="P122" s="21" t="str">
        <f t="shared" si="62"/>
        <v/>
      </c>
      <c r="Q122" s="21" t="str">
        <f t="shared" si="63"/>
        <v/>
      </c>
      <c r="R122" s="21" t="str">
        <f t="shared" si="64"/>
        <v/>
      </c>
      <c r="S122" s="21" t="str">
        <f t="shared" si="65"/>
        <v/>
      </c>
      <c r="T122" s="19" t="str">
        <f t="shared" si="66"/>
        <v/>
      </c>
      <c r="U122" s="21" t="str">
        <f t="shared" si="67"/>
        <v/>
      </c>
      <c r="V122" s="19" t="str">
        <f t="shared" si="68"/>
        <v/>
      </c>
      <c r="W122" s="19" t="str">
        <f t="shared" si="69"/>
        <v/>
      </c>
      <c r="X122" s="21">
        <f t="shared" si="70"/>
        <v>0</v>
      </c>
      <c r="Y122" s="21">
        <f t="shared" si="71"/>
        <v>0</v>
      </c>
    </row>
    <row r="123" spans="1:25" x14ac:dyDescent="0.3">
      <c r="A123" s="21" t="str">
        <f>IF(Cadastro!$B123="","",Cadastro!$B123)</f>
        <v/>
      </c>
      <c r="B123" s="21" t="str">
        <f>IF(Cadastro!$C123="","",Cadastro!$C123)</f>
        <v/>
      </c>
      <c r="C123" s="19" t="str">
        <f t="shared" si="54"/>
        <v/>
      </c>
      <c r="D123" s="19" t="str">
        <f t="shared" si="55"/>
        <v/>
      </c>
      <c r="E123" s="23">
        <f>N(Cadastro!$F123)</f>
        <v>0</v>
      </c>
      <c r="F123" s="21" t="str">
        <f t="shared" si="56"/>
        <v/>
      </c>
      <c r="G123" s="21" t="str">
        <f t="shared" si="57"/>
        <v/>
      </c>
      <c r="H123" s="21" t="str">
        <f t="shared" si="58"/>
        <v/>
      </c>
      <c r="I123" s="23">
        <f>N(Cadastro!$R123)</f>
        <v>0</v>
      </c>
      <c r="J123" s="23">
        <f>N(Cadastro!$S123)</f>
        <v>0</v>
      </c>
      <c r="K123" s="23">
        <f>N(Cadastro!$T123)</f>
        <v>0</v>
      </c>
      <c r="L123" s="23">
        <f>N(Cadastro!$U123)</f>
        <v>0</v>
      </c>
      <c r="M123" s="21" t="str">
        <f t="shared" si="59"/>
        <v/>
      </c>
      <c r="N123" s="21" t="str">
        <f t="shared" si="60"/>
        <v/>
      </c>
      <c r="O123" s="21" t="str">
        <f t="shared" si="61"/>
        <v/>
      </c>
      <c r="P123" s="21" t="str">
        <f t="shared" si="62"/>
        <v/>
      </c>
      <c r="Q123" s="21" t="str">
        <f t="shared" si="63"/>
        <v/>
      </c>
      <c r="R123" s="21" t="str">
        <f t="shared" si="64"/>
        <v/>
      </c>
      <c r="S123" s="21" t="str">
        <f t="shared" si="65"/>
        <v/>
      </c>
      <c r="T123" s="19" t="str">
        <f t="shared" si="66"/>
        <v/>
      </c>
      <c r="U123" s="21" t="str">
        <f t="shared" si="67"/>
        <v/>
      </c>
      <c r="V123" s="19" t="str">
        <f t="shared" si="68"/>
        <v/>
      </c>
      <c r="W123" s="19" t="str">
        <f t="shared" si="69"/>
        <v/>
      </c>
      <c r="X123" s="21">
        <f t="shared" si="70"/>
        <v>0</v>
      </c>
      <c r="Y123" s="21">
        <f t="shared" si="71"/>
        <v>0</v>
      </c>
    </row>
    <row r="124" spans="1:25" x14ac:dyDescent="0.3">
      <c r="A124" s="21" t="str">
        <f>IF(Cadastro!$B124="","",Cadastro!$B124)</f>
        <v/>
      </c>
      <c r="B124" s="21" t="str">
        <f>IF(Cadastro!$C124="","",Cadastro!$C124)</f>
        <v/>
      </c>
      <c r="C124" s="19" t="str">
        <f t="shared" si="54"/>
        <v/>
      </c>
      <c r="D124" s="19" t="str">
        <f t="shared" si="55"/>
        <v/>
      </c>
      <c r="E124" s="23">
        <f>N(Cadastro!$F124)</f>
        <v>0</v>
      </c>
      <c r="F124" s="21" t="str">
        <f t="shared" si="56"/>
        <v/>
      </c>
      <c r="G124" s="21" t="str">
        <f t="shared" si="57"/>
        <v/>
      </c>
      <c r="H124" s="21" t="str">
        <f t="shared" si="58"/>
        <v/>
      </c>
      <c r="I124" s="23">
        <f>N(Cadastro!$R124)</f>
        <v>0</v>
      </c>
      <c r="J124" s="23">
        <f>N(Cadastro!$S124)</f>
        <v>0</v>
      </c>
      <c r="K124" s="23">
        <f>N(Cadastro!$T124)</f>
        <v>0</v>
      </c>
      <c r="L124" s="23">
        <f>N(Cadastro!$U124)</f>
        <v>0</v>
      </c>
      <c r="M124" s="21" t="str">
        <f t="shared" si="59"/>
        <v/>
      </c>
      <c r="N124" s="21" t="str">
        <f t="shared" si="60"/>
        <v/>
      </c>
      <c r="O124" s="21" t="str">
        <f t="shared" si="61"/>
        <v/>
      </c>
      <c r="P124" s="21" t="str">
        <f t="shared" si="62"/>
        <v/>
      </c>
      <c r="Q124" s="21" t="str">
        <f t="shared" si="63"/>
        <v/>
      </c>
      <c r="R124" s="21" t="str">
        <f t="shared" si="64"/>
        <v/>
      </c>
      <c r="S124" s="21" t="str">
        <f t="shared" si="65"/>
        <v/>
      </c>
      <c r="T124" s="19" t="str">
        <f t="shared" si="66"/>
        <v/>
      </c>
      <c r="U124" s="21" t="str">
        <f t="shared" si="67"/>
        <v/>
      </c>
      <c r="V124" s="19" t="str">
        <f t="shared" si="68"/>
        <v/>
      </c>
      <c r="W124" s="19" t="str">
        <f t="shared" si="69"/>
        <v/>
      </c>
      <c r="X124" s="21">
        <f t="shared" si="70"/>
        <v>0</v>
      </c>
      <c r="Y124" s="21">
        <f t="shared" si="71"/>
        <v>0</v>
      </c>
    </row>
    <row r="125" spans="1:25" x14ac:dyDescent="0.3">
      <c r="A125" s="21" t="str">
        <f>IF(Cadastro!$B125="","",Cadastro!$B125)</f>
        <v/>
      </c>
      <c r="B125" s="21" t="str">
        <f>IF(Cadastro!$C125="","",Cadastro!$C125)</f>
        <v/>
      </c>
      <c r="C125" s="19" t="str">
        <f t="shared" si="54"/>
        <v/>
      </c>
      <c r="D125" s="19" t="str">
        <f t="shared" si="55"/>
        <v/>
      </c>
      <c r="E125" s="23">
        <f>N(Cadastro!$F125)</f>
        <v>0</v>
      </c>
      <c r="F125" s="21" t="str">
        <f t="shared" si="56"/>
        <v/>
      </c>
      <c r="G125" s="21" t="str">
        <f t="shared" si="57"/>
        <v/>
      </c>
      <c r="H125" s="21" t="str">
        <f t="shared" si="58"/>
        <v/>
      </c>
      <c r="I125" s="23">
        <f>N(Cadastro!$R125)</f>
        <v>0</v>
      </c>
      <c r="J125" s="23">
        <f>N(Cadastro!$S125)</f>
        <v>0</v>
      </c>
      <c r="K125" s="23">
        <f>N(Cadastro!$T125)</f>
        <v>0</v>
      </c>
      <c r="L125" s="23">
        <f>N(Cadastro!$U125)</f>
        <v>0</v>
      </c>
      <c r="M125" s="21" t="str">
        <f t="shared" si="59"/>
        <v/>
      </c>
      <c r="N125" s="21" t="str">
        <f t="shared" si="60"/>
        <v/>
      </c>
      <c r="O125" s="21" t="str">
        <f t="shared" si="61"/>
        <v/>
      </c>
      <c r="P125" s="21" t="str">
        <f t="shared" si="62"/>
        <v/>
      </c>
      <c r="Q125" s="21" t="str">
        <f t="shared" si="63"/>
        <v/>
      </c>
      <c r="R125" s="21" t="str">
        <f t="shared" si="64"/>
        <v/>
      </c>
      <c r="S125" s="21" t="str">
        <f t="shared" si="65"/>
        <v/>
      </c>
      <c r="T125" s="19" t="str">
        <f t="shared" si="66"/>
        <v/>
      </c>
      <c r="U125" s="21" t="str">
        <f t="shared" si="67"/>
        <v/>
      </c>
      <c r="V125" s="19" t="str">
        <f t="shared" si="68"/>
        <v/>
      </c>
      <c r="W125" s="19" t="str">
        <f t="shared" si="69"/>
        <v/>
      </c>
      <c r="X125" s="21">
        <f t="shared" si="70"/>
        <v>0</v>
      </c>
      <c r="Y125" s="21">
        <f t="shared" si="71"/>
        <v>0</v>
      </c>
    </row>
    <row r="126" spans="1:25" x14ac:dyDescent="0.3">
      <c r="A126" s="21" t="str">
        <f>IF(Cadastro!$B126="","",Cadastro!$B126)</f>
        <v/>
      </c>
      <c r="B126" s="21" t="str">
        <f>IF(Cadastro!$C126="","",Cadastro!$C126)</f>
        <v/>
      </c>
      <c r="C126" s="19" t="str">
        <f t="shared" si="54"/>
        <v/>
      </c>
      <c r="D126" s="19" t="str">
        <f t="shared" si="55"/>
        <v/>
      </c>
      <c r="E126" s="23">
        <f>N(Cadastro!$F126)</f>
        <v>0</v>
      </c>
      <c r="F126" s="21" t="str">
        <f t="shared" si="56"/>
        <v/>
      </c>
      <c r="G126" s="21" t="str">
        <f t="shared" si="57"/>
        <v/>
      </c>
      <c r="H126" s="21" t="str">
        <f t="shared" si="58"/>
        <v/>
      </c>
      <c r="I126" s="23">
        <f>N(Cadastro!$R126)</f>
        <v>0</v>
      </c>
      <c r="J126" s="23">
        <f>N(Cadastro!$S126)</f>
        <v>0</v>
      </c>
      <c r="K126" s="23">
        <f>N(Cadastro!$T126)</f>
        <v>0</v>
      </c>
      <c r="L126" s="23">
        <f>N(Cadastro!$U126)</f>
        <v>0</v>
      </c>
      <c r="M126" s="21" t="str">
        <f t="shared" si="59"/>
        <v/>
      </c>
      <c r="N126" s="21" t="str">
        <f t="shared" si="60"/>
        <v/>
      </c>
      <c r="O126" s="21" t="str">
        <f t="shared" si="61"/>
        <v/>
      </c>
      <c r="P126" s="21" t="str">
        <f t="shared" si="62"/>
        <v/>
      </c>
      <c r="Q126" s="21" t="str">
        <f t="shared" si="63"/>
        <v/>
      </c>
      <c r="R126" s="21" t="str">
        <f t="shared" si="64"/>
        <v/>
      </c>
      <c r="S126" s="21" t="str">
        <f t="shared" si="65"/>
        <v/>
      </c>
      <c r="T126" s="19" t="str">
        <f t="shared" si="66"/>
        <v/>
      </c>
      <c r="U126" s="21" t="str">
        <f t="shared" si="67"/>
        <v/>
      </c>
      <c r="V126" s="19" t="str">
        <f t="shared" si="68"/>
        <v/>
      </c>
      <c r="W126" s="19" t="str">
        <f t="shared" si="69"/>
        <v/>
      </c>
      <c r="X126" s="21">
        <f t="shared" si="70"/>
        <v>0</v>
      </c>
      <c r="Y126" s="21">
        <f t="shared" si="71"/>
        <v>0</v>
      </c>
    </row>
    <row r="127" spans="1:25" x14ac:dyDescent="0.3">
      <c r="A127" s="21" t="str">
        <f>IF(Cadastro!$B127="","",Cadastro!$B127)</f>
        <v/>
      </c>
      <c r="B127" s="21" t="str">
        <f>IF(Cadastro!$C127="","",Cadastro!$C127)</f>
        <v/>
      </c>
      <c r="C127" s="19" t="str">
        <f t="shared" si="54"/>
        <v/>
      </c>
      <c r="D127" s="19" t="str">
        <f t="shared" si="55"/>
        <v/>
      </c>
      <c r="E127" s="23">
        <f>N(Cadastro!$F127)</f>
        <v>0</v>
      </c>
      <c r="F127" s="21" t="str">
        <f t="shared" si="56"/>
        <v/>
      </c>
      <c r="G127" s="21" t="str">
        <f t="shared" si="57"/>
        <v/>
      </c>
      <c r="H127" s="21" t="str">
        <f t="shared" si="58"/>
        <v/>
      </c>
      <c r="I127" s="23">
        <f>N(Cadastro!$R127)</f>
        <v>0</v>
      </c>
      <c r="J127" s="23">
        <f>N(Cadastro!$S127)</f>
        <v>0</v>
      </c>
      <c r="K127" s="23">
        <f>N(Cadastro!$T127)</f>
        <v>0</v>
      </c>
      <c r="L127" s="23">
        <f>N(Cadastro!$U127)</f>
        <v>0</v>
      </c>
      <c r="M127" s="21" t="str">
        <f t="shared" si="59"/>
        <v/>
      </c>
      <c r="N127" s="21" t="str">
        <f t="shared" si="60"/>
        <v/>
      </c>
      <c r="O127" s="21" t="str">
        <f t="shared" si="61"/>
        <v/>
      </c>
      <c r="P127" s="21" t="str">
        <f t="shared" si="62"/>
        <v/>
      </c>
      <c r="Q127" s="21" t="str">
        <f t="shared" si="63"/>
        <v/>
      </c>
      <c r="R127" s="21" t="str">
        <f t="shared" si="64"/>
        <v/>
      </c>
      <c r="S127" s="21" t="str">
        <f t="shared" si="65"/>
        <v/>
      </c>
      <c r="T127" s="19" t="str">
        <f t="shared" si="66"/>
        <v/>
      </c>
      <c r="U127" s="21" t="str">
        <f t="shared" si="67"/>
        <v/>
      </c>
      <c r="V127" s="19" t="str">
        <f t="shared" si="68"/>
        <v/>
      </c>
      <c r="W127" s="19" t="str">
        <f t="shared" si="69"/>
        <v/>
      </c>
      <c r="X127" s="21">
        <f t="shared" si="70"/>
        <v>0</v>
      </c>
      <c r="Y127" s="21">
        <f t="shared" si="71"/>
        <v>0</v>
      </c>
    </row>
    <row r="128" spans="1:25" x14ac:dyDescent="0.3">
      <c r="A128" s="21" t="str">
        <f>IF(Cadastro!$B128="","",Cadastro!$B128)</f>
        <v/>
      </c>
      <c r="B128" s="21" t="str">
        <f>IF(Cadastro!$C128="","",Cadastro!$C128)</f>
        <v/>
      </c>
      <c r="C128" s="19" t="str">
        <f t="shared" si="54"/>
        <v/>
      </c>
      <c r="D128" s="19" t="str">
        <f t="shared" si="55"/>
        <v/>
      </c>
      <c r="E128" s="23">
        <f>N(Cadastro!$F128)</f>
        <v>0</v>
      </c>
      <c r="F128" s="21" t="str">
        <f t="shared" si="56"/>
        <v/>
      </c>
      <c r="G128" s="21" t="str">
        <f t="shared" si="57"/>
        <v/>
      </c>
      <c r="H128" s="21" t="str">
        <f t="shared" si="58"/>
        <v/>
      </c>
      <c r="I128" s="23">
        <f>N(Cadastro!$R128)</f>
        <v>0</v>
      </c>
      <c r="J128" s="23">
        <f>N(Cadastro!$S128)</f>
        <v>0</v>
      </c>
      <c r="K128" s="23">
        <f>N(Cadastro!$T128)</f>
        <v>0</v>
      </c>
      <c r="L128" s="23">
        <f>N(Cadastro!$U128)</f>
        <v>0</v>
      </c>
      <c r="M128" s="21" t="str">
        <f t="shared" si="59"/>
        <v/>
      </c>
      <c r="N128" s="21" t="str">
        <f t="shared" si="60"/>
        <v/>
      </c>
      <c r="O128" s="21" t="str">
        <f t="shared" si="61"/>
        <v/>
      </c>
      <c r="P128" s="21" t="str">
        <f t="shared" si="62"/>
        <v/>
      </c>
      <c r="Q128" s="21" t="str">
        <f t="shared" si="63"/>
        <v/>
      </c>
      <c r="R128" s="21" t="str">
        <f t="shared" si="64"/>
        <v/>
      </c>
      <c r="S128" s="21" t="str">
        <f t="shared" si="65"/>
        <v/>
      </c>
      <c r="T128" s="19" t="str">
        <f t="shared" si="66"/>
        <v/>
      </c>
      <c r="U128" s="21" t="str">
        <f t="shared" si="67"/>
        <v/>
      </c>
      <c r="V128" s="19" t="str">
        <f t="shared" si="68"/>
        <v/>
      </c>
      <c r="W128" s="19" t="str">
        <f t="shared" si="69"/>
        <v/>
      </c>
      <c r="X128" s="21">
        <f t="shared" si="70"/>
        <v>0</v>
      </c>
      <c r="Y128" s="21">
        <f t="shared" si="71"/>
        <v>0</v>
      </c>
    </row>
    <row r="129" spans="1:25" x14ac:dyDescent="0.3">
      <c r="A129" s="21" t="str">
        <f>IF(Cadastro!$B129="","",Cadastro!$B129)</f>
        <v/>
      </c>
      <c r="B129" s="21" t="str">
        <f>IF(Cadastro!$C129="","",Cadastro!$C129)</f>
        <v/>
      </c>
      <c r="C129" s="19" t="str">
        <f t="shared" si="54"/>
        <v/>
      </c>
      <c r="D129" s="19" t="str">
        <f t="shared" si="55"/>
        <v/>
      </c>
      <c r="E129" s="23">
        <f>N(Cadastro!$F129)</f>
        <v>0</v>
      </c>
      <c r="F129" s="21" t="str">
        <f t="shared" si="56"/>
        <v/>
      </c>
      <c r="G129" s="21" t="str">
        <f t="shared" si="57"/>
        <v/>
      </c>
      <c r="H129" s="21" t="str">
        <f t="shared" si="58"/>
        <v/>
      </c>
      <c r="I129" s="23">
        <f>N(Cadastro!$R129)</f>
        <v>0</v>
      </c>
      <c r="J129" s="23">
        <f>N(Cadastro!$S129)</f>
        <v>0</v>
      </c>
      <c r="K129" s="23">
        <f>N(Cadastro!$T129)</f>
        <v>0</v>
      </c>
      <c r="L129" s="23">
        <f>N(Cadastro!$U129)</f>
        <v>0</v>
      </c>
      <c r="M129" s="21" t="str">
        <f t="shared" si="59"/>
        <v/>
      </c>
      <c r="N129" s="21" t="str">
        <f t="shared" si="60"/>
        <v/>
      </c>
      <c r="O129" s="21" t="str">
        <f t="shared" si="61"/>
        <v/>
      </c>
      <c r="P129" s="21" t="str">
        <f t="shared" si="62"/>
        <v/>
      </c>
      <c r="Q129" s="21" t="str">
        <f t="shared" si="63"/>
        <v/>
      </c>
      <c r="R129" s="21" t="str">
        <f t="shared" si="64"/>
        <v/>
      </c>
      <c r="S129" s="21" t="str">
        <f t="shared" si="65"/>
        <v/>
      </c>
      <c r="T129" s="19" t="str">
        <f t="shared" si="66"/>
        <v/>
      </c>
      <c r="U129" s="21" t="str">
        <f t="shared" si="67"/>
        <v/>
      </c>
      <c r="V129" s="19" t="str">
        <f t="shared" si="68"/>
        <v/>
      </c>
      <c r="W129" s="19" t="str">
        <f t="shared" si="69"/>
        <v/>
      </c>
      <c r="X129" s="21">
        <f t="shared" si="70"/>
        <v>0</v>
      </c>
      <c r="Y129" s="21">
        <f t="shared" si="71"/>
        <v>0</v>
      </c>
    </row>
    <row r="130" spans="1:25" x14ac:dyDescent="0.3">
      <c r="A130" s="21" t="str">
        <f>IF(Cadastro!$B130="","",Cadastro!$B130)</f>
        <v/>
      </c>
      <c r="B130" s="21" t="str">
        <f>IF(Cadastro!$C130="","",Cadastro!$C130)</f>
        <v/>
      </c>
      <c r="C130" s="19" t="str">
        <f t="shared" si="54"/>
        <v/>
      </c>
      <c r="D130" s="19" t="str">
        <f t="shared" si="55"/>
        <v/>
      </c>
      <c r="E130" s="23">
        <f>N(Cadastro!$F130)</f>
        <v>0</v>
      </c>
      <c r="F130" s="21" t="str">
        <f t="shared" si="56"/>
        <v/>
      </c>
      <c r="G130" s="21" t="str">
        <f t="shared" si="57"/>
        <v/>
      </c>
      <c r="H130" s="21" t="str">
        <f t="shared" si="58"/>
        <v/>
      </c>
      <c r="I130" s="23">
        <f>N(Cadastro!$R130)</f>
        <v>0</v>
      </c>
      <c r="J130" s="23">
        <f>N(Cadastro!$S130)</f>
        <v>0</v>
      </c>
      <c r="K130" s="23">
        <f>N(Cadastro!$T130)</f>
        <v>0</v>
      </c>
      <c r="L130" s="23">
        <f>N(Cadastro!$U130)</f>
        <v>0</v>
      </c>
      <c r="M130" s="21" t="str">
        <f t="shared" si="59"/>
        <v/>
      </c>
      <c r="N130" s="21" t="str">
        <f t="shared" si="60"/>
        <v/>
      </c>
      <c r="O130" s="21" t="str">
        <f t="shared" si="61"/>
        <v/>
      </c>
      <c r="P130" s="21" t="str">
        <f t="shared" si="62"/>
        <v/>
      </c>
      <c r="Q130" s="21" t="str">
        <f t="shared" si="63"/>
        <v/>
      </c>
      <c r="R130" s="21" t="str">
        <f t="shared" si="64"/>
        <v/>
      </c>
      <c r="S130" s="21" t="str">
        <f t="shared" si="65"/>
        <v/>
      </c>
      <c r="T130" s="19" t="str">
        <f t="shared" si="66"/>
        <v/>
      </c>
      <c r="U130" s="21" t="str">
        <f t="shared" si="67"/>
        <v/>
      </c>
      <c r="V130" s="19" t="str">
        <f t="shared" si="68"/>
        <v/>
      </c>
      <c r="W130" s="19" t="str">
        <f t="shared" si="69"/>
        <v/>
      </c>
      <c r="X130" s="21">
        <f t="shared" si="70"/>
        <v>0</v>
      </c>
      <c r="Y130" s="21">
        <f t="shared" si="71"/>
        <v>0</v>
      </c>
    </row>
    <row r="131" spans="1:25" x14ac:dyDescent="0.3">
      <c r="A131" s="21" t="str">
        <f>IF(Cadastro!$B131="","",Cadastro!$B131)</f>
        <v/>
      </c>
      <c r="B131" s="21" t="str">
        <f>IF(Cadastro!$C131="","",Cadastro!$C131)</f>
        <v/>
      </c>
      <c r="C131" s="19" t="str">
        <f t="shared" si="54"/>
        <v/>
      </c>
      <c r="D131" s="19" t="str">
        <f t="shared" si="55"/>
        <v/>
      </c>
      <c r="E131" s="23">
        <f>N(Cadastro!$F131)</f>
        <v>0</v>
      </c>
      <c r="F131" s="21" t="str">
        <f t="shared" si="56"/>
        <v/>
      </c>
      <c r="G131" s="21" t="str">
        <f t="shared" si="57"/>
        <v/>
      </c>
      <c r="H131" s="21" t="str">
        <f t="shared" si="58"/>
        <v/>
      </c>
      <c r="I131" s="23">
        <f>N(Cadastro!$R131)</f>
        <v>0</v>
      </c>
      <c r="J131" s="23">
        <f>N(Cadastro!$S131)</f>
        <v>0</v>
      </c>
      <c r="K131" s="23">
        <f>N(Cadastro!$T131)</f>
        <v>0</v>
      </c>
      <c r="L131" s="23">
        <f>N(Cadastro!$U131)</f>
        <v>0</v>
      </c>
      <c r="M131" s="21" t="str">
        <f t="shared" si="59"/>
        <v/>
      </c>
      <c r="N131" s="21" t="str">
        <f t="shared" si="60"/>
        <v/>
      </c>
      <c r="O131" s="21" t="str">
        <f t="shared" si="61"/>
        <v/>
      </c>
      <c r="P131" s="21" t="str">
        <f t="shared" si="62"/>
        <v/>
      </c>
      <c r="Q131" s="21" t="str">
        <f t="shared" si="63"/>
        <v/>
      </c>
      <c r="R131" s="21" t="str">
        <f t="shared" si="64"/>
        <v/>
      </c>
      <c r="S131" s="21" t="str">
        <f t="shared" si="65"/>
        <v/>
      </c>
      <c r="T131" s="19" t="str">
        <f t="shared" si="66"/>
        <v/>
      </c>
      <c r="U131" s="21" t="str">
        <f t="shared" si="67"/>
        <v/>
      </c>
      <c r="V131" s="19" t="str">
        <f t="shared" si="68"/>
        <v/>
      </c>
      <c r="W131" s="19" t="str">
        <f t="shared" si="69"/>
        <v/>
      </c>
      <c r="X131" s="21">
        <f t="shared" si="70"/>
        <v>0</v>
      </c>
      <c r="Y131" s="21">
        <f t="shared" si="71"/>
        <v>0</v>
      </c>
    </row>
    <row r="132" spans="1:25" x14ac:dyDescent="0.3">
      <c r="A132" s="21" t="str">
        <f>IF(Cadastro!$B132="","",Cadastro!$B132)</f>
        <v/>
      </c>
      <c r="B132" s="21" t="str">
        <f>IF(Cadastro!$C132="","",Cadastro!$C132)</f>
        <v/>
      </c>
      <c r="C132" s="19" t="str">
        <f t="shared" si="54"/>
        <v/>
      </c>
      <c r="D132" s="19" t="str">
        <f t="shared" si="55"/>
        <v/>
      </c>
      <c r="E132" s="23">
        <f>N(Cadastro!$F132)</f>
        <v>0</v>
      </c>
      <c r="F132" s="21" t="str">
        <f t="shared" si="56"/>
        <v/>
      </c>
      <c r="G132" s="21" t="str">
        <f t="shared" si="57"/>
        <v/>
      </c>
      <c r="H132" s="21" t="str">
        <f t="shared" si="58"/>
        <v/>
      </c>
      <c r="I132" s="23">
        <f>N(Cadastro!$R132)</f>
        <v>0</v>
      </c>
      <c r="J132" s="23">
        <f>N(Cadastro!$S132)</f>
        <v>0</v>
      </c>
      <c r="K132" s="23">
        <f>N(Cadastro!$T132)</f>
        <v>0</v>
      </c>
      <c r="L132" s="23">
        <f>N(Cadastro!$U132)</f>
        <v>0</v>
      </c>
      <c r="M132" s="21" t="str">
        <f t="shared" si="59"/>
        <v/>
      </c>
      <c r="N132" s="21" t="str">
        <f t="shared" si="60"/>
        <v/>
      </c>
      <c r="O132" s="21" t="str">
        <f t="shared" si="61"/>
        <v/>
      </c>
      <c r="P132" s="21" t="str">
        <f t="shared" si="62"/>
        <v/>
      </c>
      <c r="Q132" s="21" t="str">
        <f t="shared" si="63"/>
        <v/>
      </c>
      <c r="R132" s="21" t="str">
        <f t="shared" si="64"/>
        <v/>
      </c>
      <c r="S132" s="21" t="str">
        <f t="shared" si="65"/>
        <v/>
      </c>
      <c r="T132" s="19" t="str">
        <f t="shared" si="66"/>
        <v/>
      </c>
      <c r="U132" s="21" t="str">
        <f t="shared" si="67"/>
        <v/>
      </c>
      <c r="V132" s="19" t="str">
        <f t="shared" si="68"/>
        <v/>
      </c>
      <c r="W132" s="19" t="str">
        <f t="shared" si="69"/>
        <v/>
      </c>
      <c r="X132" s="21">
        <f t="shared" si="70"/>
        <v>0</v>
      </c>
      <c r="Y132" s="21">
        <f t="shared" si="71"/>
        <v>0</v>
      </c>
    </row>
    <row r="133" spans="1:25" x14ac:dyDescent="0.3">
      <c r="A133" s="21" t="str">
        <f>IF(Cadastro!$B133="","",Cadastro!$B133)</f>
        <v/>
      </c>
      <c r="B133" s="21" t="str">
        <f>IF(Cadastro!$C133="","",Cadastro!$C133)</f>
        <v/>
      </c>
      <c r="C133" s="19" t="str">
        <f t="shared" ref="C133:C154" si="72">IF($B133="","",IFERROR(INDEX(Prod_Desc,MATCH($B133,Prod_Cod,0)),"PRODUTO NÃO CADASTRADO"))</f>
        <v/>
      </c>
      <c r="D133" s="19" t="str">
        <f t="shared" ref="D133:D154" si="73">IF($B133="","",IFERROR(INDEX(Prod_Tipo,MATCH($B133,Prod_Cod,0)),"NÃO CLASSIFICADO"))</f>
        <v/>
      </c>
      <c r="E133" s="23">
        <f>N(Cadastro!$F133)</f>
        <v>0</v>
      </c>
      <c r="F133" s="21" t="str">
        <f t="shared" ref="F133:F154" si="74">IF($A133="","",SUMIFS(SC_Qtd,SC_Cham,$A133,SC_Prod,$B133))</f>
        <v/>
      </c>
      <c r="G133" s="21" t="str">
        <f t="shared" ref="G133:G154" si="75">IF($A133="","",SUMIFS(OC_Qtd,OC_Cham,$A133,OC_Prod,$B133))</f>
        <v/>
      </c>
      <c r="H133" s="21" t="str">
        <f t="shared" ref="H133:H154" si="76">IF($A133="","",SUMIFS(Ent_Qtd,Ent_Cham,$A133,Ent_Prod,$B133))</f>
        <v/>
      </c>
      <c r="I133" s="23">
        <f>N(Cadastro!$R133)</f>
        <v>0</v>
      </c>
      <c r="J133" s="23">
        <f>N(Cadastro!$S133)</f>
        <v>0</v>
      </c>
      <c r="K133" s="23">
        <f>N(Cadastro!$T133)</f>
        <v>0</v>
      </c>
      <c r="L133" s="23">
        <f>N(Cadastro!$U133)</f>
        <v>0</v>
      </c>
      <c r="M133" s="21" t="str">
        <f t="shared" ref="M133:M154" si="77">IF($A133="","",N($F133)-N($E133))</f>
        <v/>
      </c>
      <c r="N133" s="21" t="str">
        <f t="shared" ref="N133:N154" si="78">IF($A133="","",N($G133)-N($F133))</f>
        <v/>
      </c>
      <c r="O133" s="21" t="str">
        <f t="shared" ref="O133:O154" si="79">IF($A133="","",N($H133)-N($G133))</f>
        <v/>
      </c>
      <c r="P133" s="21" t="str">
        <f t="shared" ref="P133:P154" si="80">IF($A133="","",N($I133)-N($H133))</f>
        <v/>
      </c>
      <c r="Q133" s="21" t="str">
        <f t="shared" ref="Q133:Q154" si="81">IF($A133="","",N($J133)-N($I133))</f>
        <v/>
      </c>
      <c r="R133" s="21" t="str">
        <f t="shared" ref="R133:R154" si="82">IF($A133="","",N($K133)-N($J133))</f>
        <v/>
      </c>
      <c r="S133" s="21" t="str">
        <f t="shared" ref="S133:S154" si="83">IF($A133="","",N($L133)-N($K133))</f>
        <v/>
      </c>
      <c r="T133" s="19" t="str">
        <f t="shared" ref="T133:T154" si="84">IF($A133="","",IF(AND($X133&gt;2,$M133&lt;&gt;0),"DIVERGÊNCIA NA SOLICITAÇÃO",IF(AND($X133&gt;3,$N133&lt;&gt;0),"DIVERGÊNCIA NA COMPRA",IF(AND($X133&gt;4,$O133&lt;&gt;0),"MATERIAL NÃO RECEBIDO",IF(AND($X133&gt;5,$P133&lt;&gt;0),"MATERIAL NÃO LIBERADO",IF(AND($X133&gt;8,$Q133&lt;&gt;0),"MATERIAL NÃO INSTALADO",IF(AND($X133&gt;9,$R133&lt;&gt;0),"INSTALADO SEM IP",IF(AND($X133&gt;10,$S133&lt;&gt;0),"IP NÃO INCLUÍDO NO VMS",IF(OR($M133&lt;&gt;0,$N133&lt;&gt;0,$O133&lt;&gt;0,$P133&lt;&gt;0,$Q133&lt;&gt;0,$R133&lt;&gt;0,$S133&lt;&gt;0),"EM DIA COM A ETAPA","OK")))))))))</f>
        <v/>
      </c>
      <c r="U133" s="21" t="str">
        <f t="shared" ref="U133:U154" si="85">IF($A133="","",MAX(N($E133)-N($L133),0))</f>
        <v/>
      </c>
      <c r="V133" s="19" t="str">
        <f t="shared" ref="V133:V154" si="86">IF($A133="","",IFERROR(INDEX(Proj_Unid,MATCH($A133,Proj_Cham,0)),""))</f>
        <v/>
      </c>
      <c r="W133" s="19" t="str">
        <f t="shared" ref="W133:W154" si="87">IF($A133="","",IFERROR(INDEX(Proj_Rotulo,MATCH($A133,Proj_Cham,0)),""))</f>
        <v/>
      </c>
      <c r="X133" s="21">
        <f t="shared" ref="X133:X154" si="88">IF($A133="",0,IFERROR(INDEX(Proj_OrdEtapa,MATCH($A133,Proj_Cham,0)),0))</f>
        <v>0</v>
      </c>
      <c r="Y133" s="21">
        <f t="shared" ref="Y133:Y154" si="89">IF(OR($T133="",$T133="OK",$T133="EM DIA COM A ETAPA"),0,1)</f>
        <v>0</v>
      </c>
    </row>
    <row r="134" spans="1:25" x14ac:dyDescent="0.3">
      <c r="A134" s="21" t="str">
        <f>IF(Cadastro!$B134="","",Cadastro!$B134)</f>
        <v/>
      </c>
      <c r="B134" s="21" t="str">
        <f>IF(Cadastro!$C134="","",Cadastro!$C134)</f>
        <v/>
      </c>
      <c r="C134" s="19" t="str">
        <f t="shared" si="72"/>
        <v/>
      </c>
      <c r="D134" s="19" t="str">
        <f t="shared" si="73"/>
        <v/>
      </c>
      <c r="E134" s="23">
        <f>N(Cadastro!$F134)</f>
        <v>0</v>
      </c>
      <c r="F134" s="21" t="str">
        <f t="shared" si="74"/>
        <v/>
      </c>
      <c r="G134" s="21" t="str">
        <f t="shared" si="75"/>
        <v/>
      </c>
      <c r="H134" s="21" t="str">
        <f t="shared" si="76"/>
        <v/>
      </c>
      <c r="I134" s="23">
        <f>N(Cadastro!$R134)</f>
        <v>0</v>
      </c>
      <c r="J134" s="23">
        <f>N(Cadastro!$S134)</f>
        <v>0</v>
      </c>
      <c r="K134" s="23">
        <f>N(Cadastro!$T134)</f>
        <v>0</v>
      </c>
      <c r="L134" s="23">
        <f>N(Cadastro!$U134)</f>
        <v>0</v>
      </c>
      <c r="M134" s="21" t="str">
        <f t="shared" si="77"/>
        <v/>
      </c>
      <c r="N134" s="21" t="str">
        <f t="shared" si="78"/>
        <v/>
      </c>
      <c r="O134" s="21" t="str">
        <f t="shared" si="79"/>
        <v/>
      </c>
      <c r="P134" s="21" t="str">
        <f t="shared" si="80"/>
        <v/>
      </c>
      <c r="Q134" s="21" t="str">
        <f t="shared" si="81"/>
        <v/>
      </c>
      <c r="R134" s="21" t="str">
        <f t="shared" si="82"/>
        <v/>
      </c>
      <c r="S134" s="21" t="str">
        <f t="shared" si="83"/>
        <v/>
      </c>
      <c r="T134" s="19" t="str">
        <f t="shared" si="84"/>
        <v/>
      </c>
      <c r="U134" s="21" t="str">
        <f t="shared" si="85"/>
        <v/>
      </c>
      <c r="V134" s="19" t="str">
        <f t="shared" si="86"/>
        <v/>
      </c>
      <c r="W134" s="19" t="str">
        <f t="shared" si="87"/>
        <v/>
      </c>
      <c r="X134" s="21">
        <f t="shared" si="88"/>
        <v>0</v>
      </c>
      <c r="Y134" s="21">
        <f t="shared" si="89"/>
        <v>0</v>
      </c>
    </row>
    <row r="135" spans="1:25" x14ac:dyDescent="0.3">
      <c r="A135" s="21" t="str">
        <f>IF(Cadastro!$B135="","",Cadastro!$B135)</f>
        <v/>
      </c>
      <c r="B135" s="21" t="str">
        <f>IF(Cadastro!$C135="","",Cadastro!$C135)</f>
        <v/>
      </c>
      <c r="C135" s="19" t="str">
        <f t="shared" si="72"/>
        <v/>
      </c>
      <c r="D135" s="19" t="str">
        <f t="shared" si="73"/>
        <v/>
      </c>
      <c r="E135" s="23">
        <f>N(Cadastro!$F135)</f>
        <v>0</v>
      </c>
      <c r="F135" s="21" t="str">
        <f t="shared" si="74"/>
        <v/>
      </c>
      <c r="G135" s="21" t="str">
        <f t="shared" si="75"/>
        <v/>
      </c>
      <c r="H135" s="21" t="str">
        <f t="shared" si="76"/>
        <v/>
      </c>
      <c r="I135" s="23">
        <f>N(Cadastro!$R135)</f>
        <v>0</v>
      </c>
      <c r="J135" s="23">
        <f>N(Cadastro!$S135)</f>
        <v>0</v>
      </c>
      <c r="K135" s="23">
        <f>N(Cadastro!$T135)</f>
        <v>0</v>
      </c>
      <c r="L135" s="23">
        <f>N(Cadastro!$U135)</f>
        <v>0</v>
      </c>
      <c r="M135" s="21" t="str">
        <f t="shared" si="77"/>
        <v/>
      </c>
      <c r="N135" s="21" t="str">
        <f t="shared" si="78"/>
        <v/>
      </c>
      <c r="O135" s="21" t="str">
        <f t="shared" si="79"/>
        <v/>
      </c>
      <c r="P135" s="21" t="str">
        <f t="shared" si="80"/>
        <v/>
      </c>
      <c r="Q135" s="21" t="str">
        <f t="shared" si="81"/>
        <v/>
      </c>
      <c r="R135" s="21" t="str">
        <f t="shared" si="82"/>
        <v/>
      </c>
      <c r="S135" s="21" t="str">
        <f t="shared" si="83"/>
        <v/>
      </c>
      <c r="T135" s="19" t="str">
        <f t="shared" si="84"/>
        <v/>
      </c>
      <c r="U135" s="21" t="str">
        <f t="shared" si="85"/>
        <v/>
      </c>
      <c r="V135" s="19" t="str">
        <f t="shared" si="86"/>
        <v/>
      </c>
      <c r="W135" s="19" t="str">
        <f t="shared" si="87"/>
        <v/>
      </c>
      <c r="X135" s="21">
        <f t="shared" si="88"/>
        <v>0</v>
      </c>
      <c r="Y135" s="21">
        <f t="shared" si="89"/>
        <v>0</v>
      </c>
    </row>
    <row r="136" spans="1:25" x14ac:dyDescent="0.3">
      <c r="A136" s="21" t="str">
        <f>IF(Cadastro!$B136="","",Cadastro!$B136)</f>
        <v/>
      </c>
      <c r="B136" s="21" t="str">
        <f>IF(Cadastro!$C136="","",Cadastro!$C136)</f>
        <v/>
      </c>
      <c r="C136" s="19" t="str">
        <f t="shared" si="72"/>
        <v/>
      </c>
      <c r="D136" s="19" t="str">
        <f t="shared" si="73"/>
        <v/>
      </c>
      <c r="E136" s="23">
        <f>N(Cadastro!$F136)</f>
        <v>0</v>
      </c>
      <c r="F136" s="21" t="str">
        <f t="shared" si="74"/>
        <v/>
      </c>
      <c r="G136" s="21" t="str">
        <f t="shared" si="75"/>
        <v/>
      </c>
      <c r="H136" s="21" t="str">
        <f t="shared" si="76"/>
        <v/>
      </c>
      <c r="I136" s="23">
        <f>N(Cadastro!$R136)</f>
        <v>0</v>
      </c>
      <c r="J136" s="23">
        <f>N(Cadastro!$S136)</f>
        <v>0</v>
      </c>
      <c r="K136" s="23">
        <f>N(Cadastro!$T136)</f>
        <v>0</v>
      </c>
      <c r="L136" s="23">
        <f>N(Cadastro!$U136)</f>
        <v>0</v>
      </c>
      <c r="M136" s="21" t="str">
        <f t="shared" si="77"/>
        <v/>
      </c>
      <c r="N136" s="21" t="str">
        <f t="shared" si="78"/>
        <v/>
      </c>
      <c r="O136" s="21" t="str">
        <f t="shared" si="79"/>
        <v/>
      </c>
      <c r="P136" s="21" t="str">
        <f t="shared" si="80"/>
        <v/>
      </c>
      <c r="Q136" s="21" t="str">
        <f t="shared" si="81"/>
        <v/>
      </c>
      <c r="R136" s="21" t="str">
        <f t="shared" si="82"/>
        <v/>
      </c>
      <c r="S136" s="21" t="str">
        <f t="shared" si="83"/>
        <v/>
      </c>
      <c r="T136" s="19" t="str">
        <f t="shared" si="84"/>
        <v/>
      </c>
      <c r="U136" s="21" t="str">
        <f t="shared" si="85"/>
        <v/>
      </c>
      <c r="V136" s="19" t="str">
        <f t="shared" si="86"/>
        <v/>
      </c>
      <c r="W136" s="19" t="str">
        <f t="shared" si="87"/>
        <v/>
      </c>
      <c r="X136" s="21">
        <f t="shared" si="88"/>
        <v>0</v>
      </c>
      <c r="Y136" s="21">
        <f t="shared" si="89"/>
        <v>0</v>
      </c>
    </row>
    <row r="137" spans="1:25" x14ac:dyDescent="0.3">
      <c r="A137" s="21" t="str">
        <f>IF(Cadastro!$B137="","",Cadastro!$B137)</f>
        <v/>
      </c>
      <c r="B137" s="21" t="str">
        <f>IF(Cadastro!$C137="","",Cadastro!$C137)</f>
        <v/>
      </c>
      <c r="C137" s="19" t="str">
        <f t="shared" si="72"/>
        <v/>
      </c>
      <c r="D137" s="19" t="str">
        <f t="shared" si="73"/>
        <v/>
      </c>
      <c r="E137" s="23">
        <f>N(Cadastro!$F137)</f>
        <v>0</v>
      </c>
      <c r="F137" s="21" t="str">
        <f t="shared" si="74"/>
        <v/>
      </c>
      <c r="G137" s="21" t="str">
        <f t="shared" si="75"/>
        <v/>
      </c>
      <c r="H137" s="21" t="str">
        <f t="shared" si="76"/>
        <v/>
      </c>
      <c r="I137" s="23">
        <f>N(Cadastro!$R137)</f>
        <v>0</v>
      </c>
      <c r="J137" s="23">
        <f>N(Cadastro!$S137)</f>
        <v>0</v>
      </c>
      <c r="K137" s="23">
        <f>N(Cadastro!$T137)</f>
        <v>0</v>
      </c>
      <c r="L137" s="23">
        <f>N(Cadastro!$U137)</f>
        <v>0</v>
      </c>
      <c r="M137" s="21" t="str">
        <f t="shared" si="77"/>
        <v/>
      </c>
      <c r="N137" s="21" t="str">
        <f t="shared" si="78"/>
        <v/>
      </c>
      <c r="O137" s="21" t="str">
        <f t="shared" si="79"/>
        <v/>
      </c>
      <c r="P137" s="21" t="str">
        <f t="shared" si="80"/>
        <v/>
      </c>
      <c r="Q137" s="21" t="str">
        <f t="shared" si="81"/>
        <v/>
      </c>
      <c r="R137" s="21" t="str">
        <f t="shared" si="82"/>
        <v/>
      </c>
      <c r="S137" s="21" t="str">
        <f t="shared" si="83"/>
        <v/>
      </c>
      <c r="T137" s="19" t="str">
        <f t="shared" si="84"/>
        <v/>
      </c>
      <c r="U137" s="21" t="str">
        <f t="shared" si="85"/>
        <v/>
      </c>
      <c r="V137" s="19" t="str">
        <f t="shared" si="86"/>
        <v/>
      </c>
      <c r="W137" s="19" t="str">
        <f t="shared" si="87"/>
        <v/>
      </c>
      <c r="X137" s="21">
        <f t="shared" si="88"/>
        <v>0</v>
      </c>
      <c r="Y137" s="21">
        <f t="shared" si="89"/>
        <v>0</v>
      </c>
    </row>
    <row r="138" spans="1:25" x14ac:dyDescent="0.3">
      <c r="A138" s="21" t="str">
        <f>IF(Cadastro!$B138="","",Cadastro!$B138)</f>
        <v/>
      </c>
      <c r="B138" s="21" t="str">
        <f>IF(Cadastro!$C138="","",Cadastro!$C138)</f>
        <v/>
      </c>
      <c r="C138" s="19" t="str">
        <f t="shared" si="72"/>
        <v/>
      </c>
      <c r="D138" s="19" t="str">
        <f t="shared" si="73"/>
        <v/>
      </c>
      <c r="E138" s="23">
        <f>N(Cadastro!$F138)</f>
        <v>0</v>
      </c>
      <c r="F138" s="21" t="str">
        <f t="shared" si="74"/>
        <v/>
      </c>
      <c r="G138" s="21" t="str">
        <f t="shared" si="75"/>
        <v/>
      </c>
      <c r="H138" s="21" t="str">
        <f t="shared" si="76"/>
        <v/>
      </c>
      <c r="I138" s="23">
        <f>N(Cadastro!$R138)</f>
        <v>0</v>
      </c>
      <c r="J138" s="23">
        <f>N(Cadastro!$S138)</f>
        <v>0</v>
      </c>
      <c r="K138" s="23">
        <f>N(Cadastro!$T138)</f>
        <v>0</v>
      </c>
      <c r="L138" s="23">
        <f>N(Cadastro!$U138)</f>
        <v>0</v>
      </c>
      <c r="M138" s="21" t="str">
        <f t="shared" si="77"/>
        <v/>
      </c>
      <c r="N138" s="21" t="str">
        <f t="shared" si="78"/>
        <v/>
      </c>
      <c r="O138" s="21" t="str">
        <f t="shared" si="79"/>
        <v/>
      </c>
      <c r="P138" s="21" t="str">
        <f t="shared" si="80"/>
        <v/>
      </c>
      <c r="Q138" s="21" t="str">
        <f t="shared" si="81"/>
        <v/>
      </c>
      <c r="R138" s="21" t="str">
        <f t="shared" si="82"/>
        <v/>
      </c>
      <c r="S138" s="21" t="str">
        <f t="shared" si="83"/>
        <v/>
      </c>
      <c r="T138" s="19" t="str">
        <f t="shared" si="84"/>
        <v/>
      </c>
      <c r="U138" s="21" t="str">
        <f t="shared" si="85"/>
        <v/>
      </c>
      <c r="V138" s="19" t="str">
        <f t="shared" si="86"/>
        <v/>
      </c>
      <c r="W138" s="19" t="str">
        <f t="shared" si="87"/>
        <v/>
      </c>
      <c r="X138" s="21">
        <f t="shared" si="88"/>
        <v>0</v>
      </c>
      <c r="Y138" s="21">
        <f t="shared" si="89"/>
        <v>0</v>
      </c>
    </row>
    <row r="139" spans="1:25" x14ac:dyDescent="0.3">
      <c r="A139" s="21" t="str">
        <f>IF(Cadastro!$B139="","",Cadastro!$B139)</f>
        <v/>
      </c>
      <c r="B139" s="21" t="str">
        <f>IF(Cadastro!$C139="","",Cadastro!$C139)</f>
        <v/>
      </c>
      <c r="C139" s="19" t="str">
        <f t="shared" si="72"/>
        <v/>
      </c>
      <c r="D139" s="19" t="str">
        <f t="shared" si="73"/>
        <v/>
      </c>
      <c r="E139" s="23">
        <f>N(Cadastro!$F139)</f>
        <v>0</v>
      </c>
      <c r="F139" s="21" t="str">
        <f t="shared" si="74"/>
        <v/>
      </c>
      <c r="G139" s="21" t="str">
        <f t="shared" si="75"/>
        <v/>
      </c>
      <c r="H139" s="21" t="str">
        <f t="shared" si="76"/>
        <v/>
      </c>
      <c r="I139" s="23">
        <f>N(Cadastro!$R139)</f>
        <v>0</v>
      </c>
      <c r="J139" s="23">
        <f>N(Cadastro!$S139)</f>
        <v>0</v>
      </c>
      <c r="K139" s="23">
        <f>N(Cadastro!$T139)</f>
        <v>0</v>
      </c>
      <c r="L139" s="23">
        <f>N(Cadastro!$U139)</f>
        <v>0</v>
      </c>
      <c r="M139" s="21" t="str">
        <f t="shared" si="77"/>
        <v/>
      </c>
      <c r="N139" s="21" t="str">
        <f t="shared" si="78"/>
        <v/>
      </c>
      <c r="O139" s="21" t="str">
        <f t="shared" si="79"/>
        <v/>
      </c>
      <c r="P139" s="21" t="str">
        <f t="shared" si="80"/>
        <v/>
      </c>
      <c r="Q139" s="21" t="str">
        <f t="shared" si="81"/>
        <v/>
      </c>
      <c r="R139" s="21" t="str">
        <f t="shared" si="82"/>
        <v/>
      </c>
      <c r="S139" s="21" t="str">
        <f t="shared" si="83"/>
        <v/>
      </c>
      <c r="T139" s="19" t="str">
        <f t="shared" si="84"/>
        <v/>
      </c>
      <c r="U139" s="21" t="str">
        <f t="shared" si="85"/>
        <v/>
      </c>
      <c r="V139" s="19" t="str">
        <f t="shared" si="86"/>
        <v/>
      </c>
      <c r="W139" s="19" t="str">
        <f t="shared" si="87"/>
        <v/>
      </c>
      <c r="X139" s="21">
        <f t="shared" si="88"/>
        <v>0</v>
      </c>
      <c r="Y139" s="21">
        <f t="shared" si="89"/>
        <v>0</v>
      </c>
    </row>
    <row r="140" spans="1:25" x14ac:dyDescent="0.3">
      <c r="A140" s="21" t="str">
        <f>IF(Cadastro!$B140="","",Cadastro!$B140)</f>
        <v/>
      </c>
      <c r="B140" s="21" t="str">
        <f>IF(Cadastro!$C140="","",Cadastro!$C140)</f>
        <v/>
      </c>
      <c r="C140" s="19" t="str">
        <f t="shared" si="72"/>
        <v/>
      </c>
      <c r="D140" s="19" t="str">
        <f t="shared" si="73"/>
        <v/>
      </c>
      <c r="E140" s="23">
        <f>N(Cadastro!$F140)</f>
        <v>0</v>
      </c>
      <c r="F140" s="21" t="str">
        <f t="shared" si="74"/>
        <v/>
      </c>
      <c r="G140" s="21" t="str">
        <f t="shared" si="75"/>
        <v/>
      </c>
      <c r="H140" s="21" t="str">
        <f t="shared" si="76"/>
        <v/>
      </c>
      <c r="I140" s="23">
        <f>N(Cadastro!$R140)</f>
        <v>0</v>
      </c>
      <c r="J140" s="23">
        <f>N(Cadastro!$S140)</f>
        <v>0</v>
      </c>
      <c r="K140" s="23">
        <f>N(Cadastro!$T140)</f>
        <v>0</v>
      </c>
      <c r="L140" s="23">
        <f>N(Cadastro!$U140)</f>
        <v>0</v>
      </c>
      <c r="M140" s="21" t="str">
        <f t="shared" si="77"/>
        <v/>
      </c>
      <c r="N140" s="21" t="str">
        <f t="shared" si="78"/>
        <v/>
      </c>
      <c r="O140" s="21" t="str">
        <f t="shared" si="79"/>
        <v/>
      </c>
      <c r="P140" s="21" t="str">
        <f t="shared" si="80"/>
        <v/>
      </c>
      <c r="Q140" s="21" t="str">
        <f t="shared" si="81"/>
        <v/>
      </c>
      <c r="R140" s="21" t="str">
        <f t="shared" si="82"/>
        <v/>
      </c>
      <c r="S140" s="21" t="str">
        <f t="shared" si="83"/>
        <v/>
      </c>
      <c r="T140" s="19" t="str">
        <f t="shared" si="84"/>
        <v/>
      </c>
      <c r="U140" s="21" t="str">
        <f t="shared" si="85"/>
        <v/>
      </c>
      <c r="V140" s="19" t="str">
        <f t="shared" si="86"/>
        <v/>
      </c>
      <c r="W140" s="19" t="str">
        <f t="shared" si="87"/>
        <v/>
      </c>
      <c r="X140" s="21">
        <f t="shared" si="88"/>
        <v>0</v>
      </c>
      <c r="Y140" s="21">
        <f t="shared" si="89"/>
        <v>0</v>
      </c>
    </row>
    <row r="141" spans="1:25" x14ac:dyDescent="0.3">
      <c r="A141" s="21" t="str">
        <f>IF(Cadastro!$B141="","",Cadastro!$B141)</f>
        <v/>
      </c>
      <c r="B141" s="21" t="str">
        <f>IF(Cadastro!$C141="","",Cadastro!$C141)</f>
        <v/>
      </c>
      <c r="C141" s="19" t="str">
        <f t="shared" si="72"/>
        <v/>
      </c>
      <c r="D141" s="19" t="str">
        <f t="shared" si="73"/>
        <v/>
      </c>
      <c r="E141" s="23">
        <f>N(Cadastro!$F141)</f>
        <v>0</v>
      </c>
      <c r="F141" s="21" t="str">
        <f t="shared" si="74"/>
        <v/>
      </c>
      <c r="G141" s="21" t="str">
        <f t="shared" si="75"/>
        <v/>
      </c>
      <c r="H141" s="21" t="str">
        <f t="shared" si="76"/>
        <v/>
      </c>
      <c r="I141" s="23">
        <f>N(Cadastro!$R141)</f>
        <v>0</v>
      </c>
      <c r="J141" s="23">
        <f>N(Cadastro!$S141)</f>
        <v>0</v>
      </c>
      <c r="K141" s="23">
        <f>N(Cadastro!$T141)</f>
        <v>0</v>
      </c>
      <c r="L141" s="23">
        <f>N(Cadastro!$U141)</f>
        <v>0</v>
      </c>
      <c r="M141" s="21" t="str">
        <f t="shared" si="77"/>
        <v/>
      </c>
      <c r="N141" s="21" t="str">
        <f t="shared" si="78"/>
        <v/>
      </c>
      <c r="O141" s="21" t="str">
        <f t="shared" si="79"/>
        <v/>
      </c>
      <c r="P141" s="21" t="str">
        <f t="shared" si="80"/>
        <v/>
      </c>
      <c r="Q141" s="21" t="str">
        <f t="shared" si="81"/>
        <v/>
      </c>
      <c r="R141" s="21" t="str">
        <f t="shared" si="82"/>
        <v/>
      </c>
      <c r="S141" s="21" t="str">
        <f t="shared" si="83"/>
        <v/>
      </c>
      <c r="T141" s="19" t="str">
        <f t="shared" si="84"/>
        <v/>
      </c>
      <c r="U141" s="21" t="str">
        <f t="shared" si="85"/>
        <v/>
      </c>
      <c r="V141" s="19" t="str">
        <f t="shared" si="86"/>
        <v/>
      </c>
      <c r="W141" s="19" t="str">
        <f t="shared" si="87"/>
        <v/>
      </c>
      <c r="X141" s="21">
        <f t="shared" si="88"/>
        <v>0</v>
      </c>
      <c r="Y141" s="21">
        <f t="shared" si="89"/>
        <v>0</v>
      </c>
    </row>
    <row r="142" spans="1:25" x14ac:dyDescent="0.3">
      <c r="A142" s="21" t="str">
        <f>IF(Cadastro!$B142="","",Cadastro!$B142)</f>
        <v/>
      </c>
      <c r="B142" s="21" t="str">
        <f>IF(Cadastro!$C142="","",Cadastro!$C142)</f>
        <v/>
      </c>
      <c r="C142" s="19" t="str">
        <f t="shared" si="72"/>
        <v/>
      </c>
      <c r="D142" s="19" t="str">
        <f t="shared" si="73"/>
        <v/>
      </c>
      <c r="E142" s="23">
        <f>N(Cadastro!$F142)</f>
        <v>0</v>
      </c>
      <c r="F142" s="21" t="str">
        <f t="shared" si="74"/>
        <v/>
      </c>
      <c r="G142" s="21" t="str">
        <f t="shared" si="75"/>
        <v/>
      </c>
      <c r="H142" s="21" t="str">
        <f t="shared" si="76"/>
        <v/>
      </c>
      <c r="I142" s="23">
        <f>N(Cadastro!$R142)</f>
        <v>0</v>
      </c>
      <c r="J142" s="23">
        <f>N(Cadastro!$S142)</f>
        <v>0</v>
      </c>
      <c r="K142" s="23">
        <f>N(Cadastro!$T142)</f>
        <v>0</v>
      </c>
      <c r="L142" s="23">
        <f>N(Cadastro!$U142)</f>
        <v>0</v>
      </c>
      <c r="M142" s="21" t="str">
        <f t="shared" si="77"/>
        <v/>
      </c>
      <c r="N142" s="21" t="str">
        <f t="shared" si="78"/>
        <v/>
      </c>
      <c r="O142" s="21" t="str">
        <f t="shared" si="79"/>
        <v/>
      </c>
      <c r="P142" s="21" t="str">
        <f t="shared" si="80"/>
        <v/>
      </c>
      <c r="Q142" s="21" t="str">
        <f t="shared" si="81"/>
        <v/>
      </c>
      <c r="R142" s="21" t="str">
        <f t="shared" si="82"/>
        <v/>
      </c>
      <c r="S142" s="21" t="str">
        <f t="shared" si="83"/>
        <v/>
      </c>
      <c r="T142" s="19" t="str">
        <f t="shared" si="84"/>
        <v/>
      </c>
      <c r="U142" s="21" t="str">
        <f t="shared" si="85"/>
        <v/>
      </c>
      <c r="V142" s="19" t="str">
        <f t="shared" si="86"/>
        <v/>
      </c>
      <c r="W142" s="19" t="str">
        <f t="shared" si="87"/>
        <v/>
      </c>
      <c r="X142" s="21">
        <f t="shared" si="88"/>
        <v>0</v>
      </c>
      <c r="Y142" s="21">
        <f t="shared" si="89"/>
        <v>0</v>
      </c>
    </row>
    <row r="143" spans="1:25" x14ac:dyDescent="0.3">
      <c r="A143" s="21" t="str">
        <f>IF(Cadastro!$B143="","",Cadastro!$B143)</f>
        <v/>
      </c>
      <c r="B143" s="21" t="str">
        <f>IF(Cadastro!$C143="","",Cadastro!$C143)</f>
        <v/>
      </c>
      <c r="C143" s="19" t="str">
        <f t="shared" si="72"/>
        <v/>
      </c>
      <c r="D143" s="19" t="str">
        <f t="shared" si="73"/>
        <v/>
      </c>
      <c r="E143" s="23">
        <f>N(Cadastro!$F143)</f>
        <v>0</v>
      </c>
      <c r="F143" s="21" t="str">
        <f t="shared" si="74"/>
        <v/>
      </c>
      <c r="G143" s="21" t="str">
        <f t="shared" si="75"/>
        <v/>
      </c>
      <c r="H143" s="21" t="str">
        <f t="shared" si="76"/>
        <v/>
      </c>
      <c r="I143" s="23">
        <f>N(Cadastro!$R143)</f>
        <v>0</v>
      </c>
      <c r="J143" s="23">
        <f>N(Cadastro!$S143)</f>
        <v>0</v>
      </c>
      <c r="K143" s="23">
        <f>N(Cadastro!$T143)</f>
        <v>0</v>
      </c>
      <c r="L143" s="23">
        <f>N(Cadastro!$U143)</f>
        <v>0</v>
      </c>
      <c r="M143" s="21" t="str">
        <f t="shared" si="77"/>
        <v/>
      </c>
      <c r="N143" s="21" t="str">
        <f t="shared" si="78"/>
        <v/>
      </c>
      <c r="O143" s="21" t="str">
        <f t="shared" si="79"/>
        <v/>
      </c>
      <c r="P143" s="21" t="str">
        <f t="shared" si="80"/>
        <v/>
      </c>
      <c r="Q143" s="21" t="str">
        <f t="shared" si="81"/>
        <v/>
      </c>
      <c r="R143" s="21" t="str">
        <f t="shared" si="82"/>
        <v/>
      </c>
      <c r="S143" s="21" t="str">
        <f t="shared" si="83"/>
        <v/>
      </c>
      <c r="T143" s="19" t="str">
        <f t="shared" si="84"/>
        <v/>
      </c>
      <c r="U143" s="21" t="str">
        <f t="shared" si="85"/>
        <v/>
      </c>
      <c r="V143" s="19" t="str">
        <f t="shared" si="86"/>
        <v/>
      </c>
      <c r="W143" s="19" t="str">
        <f t="shared" si="87"/>
        <v/>
      </c>
      <c r="X143" s="21">
        <f t="shared" si="88"/>
        <v>0</v>
      </c>
      <c r="Y143" s="21">
        <f t="shared" si="89"/>
        <v>0</v>
      </c>
    </row>
    <row r="144" spans="1:25" x14ac:dyDescent="0.3">
      <c r="A144" s="21" t="str">
        <f>IF(Cadastro!$B144="","",Cadastro!$B144)</f>
        <v/>
      </c>
      <c r="B144" s="21" t="str">
        <f>IF(Cadastro!$C144="","",Cadastro!$C144)</f>
        <v/>
      </c>
      <c r="C144" s="19" t="str">
        <f t="shared" si="72"/>
        <v/>
      </c>
      <c r="D144" s="19" t="str">
        <f t="shared" si="73"/>
        <v/>
      </c>
      <c r="E144" s="23">
        <f>N(Cadastro!$F144)</f>
        <v>0</v>
      </c>
      <c r="F144" s="21" t="str">
        <f t="shared" si="74"/>
        <v/>
      </c>
      <c r="G144" s="21" t="str">
        <f t="shared" si="75"/>
        <v/>
      </c>
      <c r="H144" s="21" t="str">
        <f t="shared" si="76"/>
        <v/>
      </c>
      <c r="I144" s="23">
        <f>N(Cadastro!$R144)</f>
        <v>0</v>
      </c>
      <c r="J144" s="23">
        <f>N(Cadastro!$S144)</f>
        <v>0</v>
      </c>
      <c r="K144" s="23">
        <f>N(Cadastro!$T144)</f>
        <v>0</v>
      </c>
      <c r="L144" s="23">
        <f>N(Cadastro!$U144)</f>
        <v>0</v>
      </c>
      <c r="M144" s="21" t="str">
        <f t="shared" si="77"/>
        <v/>
      </c>
      <c r="N144" s="21" t="str">
        <f t="shared" si="78"/>
        <v/>
      </c>
      <c r="O144" s="21" t="str">
        <f t="shared" si="79"/>
        <v/>
      </c>
      <c r="P144" s="21" t="str">
        <f t="shared" si="80"/>
        <v/>
      </c>
      <c r="Q144" s="21" t="str">
        <f t="shared" si="81"/>
        <v/>
      </c>
      <c r="R144" s="21" t="str">
        <f t="shared" si="82"/>
        <v/>
      </c>
      <c r="S144" s="21" t="str">
        <f t="shared" si="83"/>
        <v/>
      </c>
      <c r="T144" s="19" t="str">
        <f t="shared" si="84"/>
        <v/>
      </c>
      <c r="U144" s="21" t="str">
        <f t="shared" si="85"/>
        <v/>
      </c>
      <c r="V144" s="19" t="str">
        <f t="shared" si="86"/>
        <v/>
      </c>
      <c r="W144" s="19" t="str">
        <f t="shared" si="87"/>
        <v/>
      </c>
      <c r="X144" s="21">
        <f t="shared" si="88"/>
        <v>0</v>
      </c>
      <c r="Y144" s="21">
        <f t="shared" si="89"/>
        <v>0</v>
      </c>
    </row>
    <row r="145" spans="1:25" x14ac:dyDescent="0.3">
      <c r="A145" s="21" t="str">
        <f>IF(Cadastro!$B145="","",Cadastro!$B145)</f>
        <v/>
      </c>
      <c r="B145" s="21" t="str">
        <f>IF(Cadastro!$C145="","",Cadastro!$C145)</f>
        <v/>
      </c>
      <c r="C145" s="19" t="str">
        <f t="shared" si="72"/>
        <v/>
      </c>
      <c r="D145" s="19" t="str">
        <f t="shared" si="73"/>
        <v/>
      </c>
      <c r="E145" s="23">
        <f>N(Cadastro!$F145)</f>
        <v>0</v>
      </c>
      <c r="F145" s="21" t="str">
        <f t="shared" si="74"/>
        <v/>
      </c>
      <c r="G145" s="21" t="str">
        <f t="shared" si="75"/>
        <v/>
      </c>
      <c r="H145" s="21" t="str">
        <f t="shared" si="76"/>
        <v/>
      </c>
      <c r="I145" s="23">
        <f>N(Cadastro!$R145)</f>
        <v>0</v>
      </c>
      <c r="J145" s="23">
        <f>N(Cadastro!$S145)</f>
        <v>0</v>
      </c>
      <c r="K145" s="23">
        <f>N(Cadastro!$T145)</f>
        <v>0</v>
      </c>
      <c r="L145" s="23">
        <f>N(Cadastro!$U145)</f>
        <v>0</v>
      </c>
      <c r="M145" s="21" t="str">
        <f t="shared" si="77"/>
        <v/>
      </c>
      <c r="N145" s="21" t="str">
        <f t="shared" si="78"/>
        <v/>
      </c>
      <c r="O145" s="21" t="str">
        <f t="shared" si="79"/>
        <v/>
      </c>
      <c r="P145" s="21" t="str">
        <f t="shared" si="80"/>
        <v/>
      </c>
      <c r="Q145" s="21" t="str">
        <f t="shared" si="81"/>
        <v/>
      </c>
      <c r="R145" s="21" t="str">
        <f t="shared" si="82"/>
        <v/>
      </c>
      <c r="S145" s="21" t="str">
        <f t="shared" si="83"/>
        <v/>
      </c>
      <c r="T145" s="19" t="str">
        <f t="shared" si="84"/>
        <v/>
      </c>
      <c r="U145" s="21" t="str">
        <f t="shared" si="85"/>
        <v/>
      </c>
      <c r="V145" s="19" t="str">
        <f t="shared" si="86"/>
        <v/>
      </c>
      <c r="W145" s="19" t="str">
        <f t="shared" si="87"/>
        <v/>
      </c>
      <c r="X145" s="21">
        <f t="shared" si="88"/>
        <v>0</v>
      </c>
      <c r="Y145" s="21">
        <f t="shared" si="89"/>
        <v>0</v>
      </c>
    </row>
    <row r="146" spans="1:25" x14ac:dyDescent="0.3">
      <c r="A146" s="21" t="str">
        <f>IF(Cadastro!$B146="","",Cadastro!$B146)</f>
        <v/>
      </c>
      <c r="B146" s="21" t="str">
        <f>IF(Cadastro!$C146="","",Cadastro!$C146)</f>
        <v/>
      </c>
      <c r="C146" s="19" t="str">
        <f t="shared" si="72"/>
        <v/>
      </c>
      <c r="D146" s="19" t="str">
        <f t="shared" si="73"/>
        <v/>
      </c>
      <c r="E146" s="23">
        <f>N(Cadastro!$F146)</f>
        <v>0</v>
      </c>
      <c r="F146" s="21" t="str">
        <f t="shared" si="74"/>
        <v/>
      </c>
      <c r="G146" s="21" t="str">
        <f t="shared" si="75"/>
        <v/>
      </c>
      <c r="H146" s="21" t="str">
        <f t="shared" si="76"/>
        <v/>
      </c>
      <c r="I146" s="23">
        <f>N(Cadastro!$R146)</f>
        <v>0</v>
      </c>
      <c r="J146" s="23">
        <f>N(Cadastro!$S146)</f>
        <v>0</v>
      </c>
      <c r="K146" s="23">
        <f>N(Cadastro!$T146)</f>
        <v>0</v>
      </c>
      <c r="L146" s="23">
        <f>N(Cadastro!$U146)</f>
        <v>0</v>
      </c>
      <c r="M146" s="21" t="str">
        <f t="shared" si="77"/>
        <v/>
      </c>
      <c r="N146" s="21" t="str">
        <f t="shared" si="78"/>
        <v/>
      </c>
      <c r="O146" s="21" t="str">
        <f t="shared" si="79"/>
        <v/>
      </c>
      <c r="P146" s="21" t="str">
        <f t="shared" si="80"/>
        <v/>
      </c>
      <c r="Q146" s="21" t="str">
        <f t="shared" si="81"/>
        <v/>
      </c>
      <c r="R146" s="21" t="str">
        <f t="shared" si="82"/>
        <v/>
      </c>
      <c r="S146" s="21" t="str">
        <f t="shared" si="83"/>
        <v/>
      </c>
      <c r="T146" s="19" t="str">
        <f t="shared" si="84"/>
        <v/>
      </c>
      <c r="U146" s="21" t="str">
        <f t="shared" si="85"/>
        <v/>
      </c>
      <c r="V146" s="19" t="str">
        <f t="shared" si="86"/>
        <v/>
      </c>
      <c r="W146" s="19" t="str">
        <f t="shared" si="87"/>
        <v/>
      </c>
      <c r="X146" s="21">
        <f t="shared" si="88"/>
        <v>0</v>
      </c>
      <c r="Y146" s="21">
        <f t="shared" si="89"/>
        <v>0</v>
      </c>
    </row>
    <row r="147" spans="1:25" x14ac:dyDescent="0.3">
      <c r="A147" s="21" t="str">
        <f>IF(Cadastro!$B147="","",Cadastro!$B147)</f>
        <v/>
      </c>
      <c r="B147" s="21" t="str">
        <f>IF(Cadastro!$C147="","",Cadastro!$C147)</f>
        <v/>
      </c>
      <c r="C147" s="19" t="str">
        <f t="shared" si="72"/>
        <v/>
      </c>
      <c r="D147" s="19" t="str">
        <f t="shared" si="73"/>
        <v/>
      </c>
      <c r="E147" s="23">
        <f>N(Cadastro!$F147)</f>
        <v>0</v>
      </c>
      <c r="F147" s="21" t="str">
        <f t="shared" si="74"/>
        <v/>
      </c>
      <c r="G147" s="21" t="str">
        <f t="shared" si="75"/>
        <v/>
      </c>
      <c r="H147" s="21" t="str">
        <f t="shared" si="76"/>
        <v/>
      </c>
      <c r="I147" s="23">
        <f>N(Cadastro!$R147)</f>
        <v>0</v>
      </c>
      <c r="J147" s="23">
        <f>N(Cadastro!$S147)</f>
        <v>0</v>
      </c>
      <c r="K147" s="23">
        <f>N(Cadastro!$T147)</f>
        <v>0</v>
      </c>
      <c r="L147" s="23">
        <f>N(Cadastro!$U147)</f>
        <v>0</v>
      </c>
      <c r="M147" s="21" t="str">
        <f t="shared" si="77"/>
        <v/>
      </c>
      <c r="N147" s="21" t="str">
        <f t="shared" si="78"/>
        <v/>
      </c>
      <c r="O147" s="21" t="str">
        <f t="shared" si="79"/>
        <v/>
      </c>
      <c r="P147" s="21" t="str">
        <f t="shared" si="80"/>
        <v/>
      </c>
      <c r="Q147" s="21" t="str">
        <f t="shared" si="81"/>
        <v/>
      </c>
      <c r="R147" s="21" t="str">
        <f t="shared" si="82"/>
        <v/>
      </c>
      <c r="S147" s="21" t="str">
        <f t="shared" si="83"/>
        <v/>
      </c>
      <c r="T147" s="19" t="str">
        <f t="shared" si="84"/>
        <v/>
      </c>
      <c r="U147" s="21" t="str">
        <f t="shared" si="85"/>
        <v/>
      </c>
      <c r="V147" s="19" t="str">
        <f t="shared" si="86"/>
        <v/>
      </c>
      <c r="W147" s="19" t="str">
        <f t="shared" si="87"/>
        <v/>
      </c>
      <c r="X147" s="21">
        <f t="shared" si="88"/>
        <v>0</v>
      </c>
      <c r="Y147" s="21">
        <f t="shared" si="89"/>
        <v>0</v>
      </c>
    </row>
    <row r="148" spans="1:25" x14ac:dyDescent="0.3">
      <c r="A148" s="21" t="str">
        <f>IF(Cadastro!$B148="","",Cadastro!$B148)</f>
        <v/>
      </c>
      <c r="B148" s="21" t="str">
        <f>IF(Cadastro!$C148="","",Cadastro!$C148)</f>
        <v/>
      </c>
      <c r="C148" s="19" t="str">
        <f t="shared" si="72"/>
        <v/>
      </c>
      <c r="D148" s="19" t="str">
        <f t="shared" si="73"/>
        <v/>
      </c>
      <c r="E148" s="23">
        <f>N(Cadastro!$F148)</f>
        <v>0</v>
      </c>
      <c r="F148" s="21" t="str">
        <f t="shared" si="74"/>
        <v/>
      </c>
      <c r="G148" s="21" t="str">
        <f t="shared" si="75"/>
        <v/>
      </c>
      <c r="H148" s="21" t="str">
        <f t="shared" si="76"/>
        <v/>
      </c>
      <c r="I148" s="23">
        <f>N(Cadastro!$R148)</f>
        <v>0</v>
      </c>
      <c r="J148" s="23">
        <f>N(Cadastro!$S148)</f>
        <v>0</v>
      </c>
      <c r="K148" s="23">
        <f>N(Cadastro!$T148)</f>
        <v>0</v>
      </c>
      <c r="L148" s="23">
        <f>N(Cadastro!$U148)</f>
        <v>0</v>
      </c>
      <c r="M148" s="21" t="str">
        <f t="shared" si="77"/>
        <v/>
      </c>
      <c r="N148" s="21" t="str">
        <f t="shared" si="78"/>
        <v/>
      </c>
      <c r="O148" s="21" t="str">
        <f t="shared" si="79"/>
        <v/>
      </c>
      <c r="P148" s="21" t="str">
        <f t="shared" si="80"/>
        <v/>
      </c>
      <c r="Q148" s="21" t="str">
        <f t="shared" si="81"/>
        <v/>
      </c>
      <c r="R148" s="21" t="str">
        <f t="shared" si="82"/>
        <v/>
      </c>
      <c r="S148" s="21" t="str">
        <f t="shared" si="83"/>
        <v/>
      </c>
      <c r="T148" s="19" t="str">
        <f t="shared" si="84"/>
        <v/>
      </c>
      <c r="U148" s="21" t="str">
        <f t="shared" si="85"/>
        <v/>
      </c>
      <c r="V148" s="19" t="str">
        <f t="shared" si="86"/>
        <v/>
      </c>
      <c r="W148" s="19" t="str">
        <f t="shared" si="87"/>
        <v/>
      </c>
      <c r="X148" s="21">
        <f t="shared" si="88"/>
        <v>0</v>
      </c>
      <c r="Y148" s="21">
        <f t="shared" si="89"/>
        <v>0</v>
      </c>
    </row>
    <row r="149" spans="1:25" x14ac:dyDescent="0.3">
      <c r="A149" s="21" t="str">
        <f>IF(Cadastro!$B149="","",Cadastro!$B149)</f>
        <v/>
      </c>
      <c r="B149" s="21" t="str">
        <f>IF(Cadastro!$C149="","",Cadastro!$C149)</f>
        <v/>
      </c>
      <c r="C149" s="19" t="str">
        <f t="shared" si="72"/>
        <v/>
      </c>
      <c r="D149" s="19" t="str">
        <f t="shared" si="73"/>
        <v/>
      </c>
      <c r="E149" s="23">
        <f>N(Cadastro!$F149)</f>
        <v>0</v>
      </c>
      <c r="F149" s="21" t="str">
        <f t="shared" si="74"/>
        <v/>
      </c>
      <c r="G149" s="21" t="str">
        <f t="shared" si="75"/>
        <v/>
      </c>
      <c r="H149" s="21" t="str">
        <f t="shared" si="76"/>
        <v/>
      </c>
      <c r="I149" s="23">
        <f>N(Cadastro!$R149)</f>
        <v>0</v>
      </c>
      <c r="J149" s="23">
        <f>N(Cadastro!$S149)</f>
        <v>0</v>
      </c>
      <c r="K149" s="23">
        <f>N(Cadastro!$T149)</f>
        <v>0</v>
      </c>
      <c r="L149" s="23">
        <f>N(Cadastro!$U149)</f>
        <v>0</v>
      </c>
      <c r="M149" s="21" t="str">
        <f t="shared" si="77"/>
        <v/>
      </c>
      <c r="N149" s="21" t="str">
        <f t="shared" si="78"/>
        <v/>
      </c>
      <c r="O149" s="21" t="str">
        <f t="shared" si="79"/>
        <v/>
      </c>
      <c r="P149" s="21" t="str">
        <f t="shared" si="80"/>
        <v/>
      </c>
      <c r="Q149" s="21" t="str">
        <f t="shared" si="81"/>
        <v/>
      </c>
      <c r="R149" s="21" t="str">
        <f t="shared" si="82"/>
        <v/>
      </c>
      <c r="S149" s="21" t="str">
        <f t="shared" si="83"/>
        <v/>
      </c>
      <c r="T149" s="19" t="str">
        <f t="shared" si="84"/>
        <v/>
      </c>
      <c r="U149" s="21" t="str">
        <f t="shared" si="85"/>
        <v/>
      </c>
      <c r="V149" s="19" t="str">
        <f t="shared" si="86"/>
        <v/>
      </c>
      <c r="W149" s="19" t="str">
        <f t="shared" si="87"/>
        <v/>
      </c>
      <c r="X149" s="21">
        <f t="shared" si="88"/>
        <v>0</v>
      </c>
      <c r="Y149" s="21">
        <f t="shared" si="89"/>
        <v>0</v>
      </c>
    </row>
    <row r="150" spans="1:25" x14ac:dyDescent="0.3">
      <c r="A150" s="21" t="str">
        <f>IF(Cadastro!$B150="","",Cadastro!$B150)</f>
        <v/>
      </c>
      <c r="B150" s="21" t="str">
        <f>IF(Cadastro!$C150="","",Cadastro!$C150)</f>
        <v/>
      </c>
      <c r="C150" s="19" t="str">
        <f t="shared" si="72"/>
        <v/>
      </c>
      <c r="D150" s="19" t="str">
        <f t="shared" si="73"/>
        <v/>
      </c>
      <c r="E150" s="23">
        <f>N(Cadastro!$F150)</f>
        <v>0</v>
      </c>
      <c r="F150" s="21" t="str">
        <f t="shared" si="74"/>
        <v/>
      </c>
      <c r="G150" s="21" t="str">
        <f t="shared" si="75"/>
        <v/>
      </c>
      <c r="H150" s="21" t="str">
        <f t="shared" si="76"/>
        <v/>
      </c>
      <c r="I150" s="23">
        <f>N(Cadastro!$R150)</f>
        <v>0</v>
      </c>
      <c r="J150" s="23">
        <f>N(Cadastro!$S150)</f>
        <v>0</v>
      </c>
      <c r="K150" s="23">
        <f>N(Cadastro!$T150)</f>
        <v>0</v>
      </c>
      <c r="L150" s="23">
        <f>N(Cadastro!$U150)</f>
        <v>0</v>
      </c>
      <c r="M150" s="21" t="str">
        <f t="shared" si="77"/>
        <v/>
      </c>
      <c r="N150" s="21" t="str">
        <f t="shared" si="78"/>
        <v/>
      </c>
      <c r="O150" s="21" t="str">
        <f t="shared" si="79"/>
        <v/>
      </c>
      <c r="P150" s="21" t="str">
        <f t="shared" si="80"/>
        <v/>
      </c>
      <c r="Q150" s="21" t="str">
        <f t="shared" si="81"/>
        <v/>
      </c>
      <c r="R150" s="21" t="str">
        <f t="shared" si="82"/>
        <v/>
      </c>
      <c r="S150" s="21" t="str">
        <f t="shared" si="83"/>
        <v/>
      </c>
      <c r="T150" s="19" t="str">
        <f t="shared" si="84"/>
        <v/>
      </c>
      <c r="U150" s="21" t="str">
        <f t="shared" si="85"/>
        <v/>
      </c>
      <c r="V150" s="19" t="str">
        <f t="shared" si="86"/>
        <v/>
      </c>
      <c r="W150" s="19" t="str">
        <f t="shared" si="87"/>
        <v/>
      </c>
      <c r="X150" s="21">
        <f t="shared" si="88"/>
        <v>0</v>
      </c>
      <c r="Y150" s="21">
        <f t="shared" si="89"/>
        <v>0</v>
      </c>
    </row>
    <row r="151" spans="1:25" x14ac:dyDescent="0.3">
      <c r="A151" s="21" t="str">
        <f>IF(Cadastro!$B151="","",Cadastro!$B151)</f>
        <v/>
      </c>
      <c r="B151" s="21" t="str">
        <f>IF(Cadastro!$C151="","",Cadastro!$C151)</f>
        <v/>
      </c>
      <c r="C151" s="19" t="str">
        <f t="shared" si="72"/>
        <v/>
      </c>
      <c r="D151" s="19" t="str">
        <f t="shared" si="73"/>
        <v/>
      </c>
      <c r="E151" s="23">
        <f>N(Cadastro!$F151)</f>
        <v>0</v>
      </c>
      <c r="F151" s="21" t="str">
        <f t="shared" si="74"/>
        <v/>
      </c>
      <c r="G151" s="21" t="str">
        <f t="shared" si="75"/>
        <v/>
      </c>
      <c r="H151" s="21" t="str">
        <f t="shared" si="76"/>
        <v/>
      </c>
      <c r="I151" s="23">
        <f>N(Cadastro!$R151)</f>
        <v>0</v>
      </c>
      <c r="J151" s="23">
        <f>N(Cadastro!$S151)</f>
        <v>0</v>
      </c>
      <c r="K151" s="23">
        <f>N(Cadastro!$T151)</f>
        <v>0</v>
      </c>
      <c r="L151" s="23">
        <f>N(Cadastro!$U151)</f>
        <v>0</v>
      </c>
      <c r="M151" s="21" t="str">
        <f t="shared" si="77"/>
        <v/>
      </c>
      <c r="N151" s="21" t="str">
        <f t="shared" si="78"/>
        <v/>
      </c>
      <c r="O151" s="21" t="str">
        <f t="shared" si="79"/>
        <v/>
      </c>
      <c r="P151" s="21" t="str">
        <f t="shared" si="80"/>
        <v/>
      </c>
      <c r="Q151" s="21" t="str">
        <f t="shared" si="81"/>
        <v/>
      </c>
      <c r="R151" s="21" t="str">
        <f t="shared" si="82"/>
        <v/>
      </c>
      <c r="S151" s="21" t="str">
        <f t="shared" si="83"/>
        <v/>
      </c>
      <c r="T151" s="19" t="str">
        <f t="shared" si="84"/>
        <v/>
      </c>
      <c r="U151" s="21" t="str">
        <f t="shared" si="85"/>
        <v/>
      </c>
      <c r="V151" s="19" t="str">
        <f t="shared" si="86"/>
        <v/>
      </c>
      <c r="W151" s="19" t="str">
        <f t="shared" si="87"/>
        <v/>
      </c>
      <c r="X151" s="21">
        <f t="shared" si="88"/>
        <v>0</v>
      </c>
      <c r="Y151" s="21">
        <f t="shared" si="89"/>
        <v>0</v>
      </c>
    </row>
    <row r="152" spans="1:25" x14ac:dyDescent="0.3">
      <c r="A152" s="21" t="str">
        <f>IF(Cadastro!$B152="","",Cadastro!$B152)</f>
        <v/>
      </c>
      <c r="B152" s="21" t="str">
        <f>IF(Cadastro!$C152="","",Cadastro!$C152)</f>
        <v/>
      </c>
      <c r="C152" s="19" t="str">
        <f t="shared" si="72"/>
        <v/>
      </c>
      <c r="D152" s="19" t="str">
        <f t="shared" si="73"/>
        <v/>
      </c>
      <c r="E152" s="23">
        <f>N(Cadastro!$F152)</f>
        <v>0</v>
      </c>
      <c r="F152" s="21" t="str">
        <f t="shared" si="74"/>
        <v/>
      </c>
      <c r="G152" s="21" t="str">
        <f t="shared" si="75"/>
        <v/>
      </c>
      <c r="H152" s="21" t="str">
        <f t="shared" si="76"/>
        <v/>
      </c>
      <c r="I152" s="23">
        <f>N(Cadastro!$R152)</f>
        <v>0</v>
      </c>
      <c r="J152" s="23">
        <f>N(Cadastro!$S152)</f>
        <v>0</v>
      </c>
      <c r="K152" s="23">
        <f>N(Cadastro!$T152)</f>
        <v>0</v>
      </c>
      <c r="L152" s="23">
        <f>N(Cadastro!$U152)</f>
        <v>0</v>
      </c>
      <c r="M152" s="21" t="str">
        <f t="shared" si="77"/>
        <v/>
      </c>
      <c r="N152" s="21" t="str">
        <f t="shared" si="78"/>
        <v/>
      </c>
      <c r="O152" s="21" t="str">
        <f t="shared" si="79"/>
        <v/>
      </c>
      <c r="P152" s="21" t="str">
        <f t="shared" si="80"/>
        <v/>
      </c>
      <c r="Q152" s="21" t="str">
        <f t="shared" si="81"/>
        <v/>
      </c>
      <c r="R152" s="21" t="str">
        <f t="shared" si="82"/>
        <v/>
      </c>
      <c r="S152" s="21" t="str">
        <f t="shared" si="83"/>
        <v/>
      </c>
      <c r="T152" s="19" t="str">
        <f t="shared" si="84"/>
        <v/>
      </c>
      <c r="U152" s="21" t="str">
        <f t="shared" si="85"/>
        <v/>
      </c>
      <c r="V152" s="19" t="str">
        <f t="shared" si="86"/>
        <v/>
      </c>
      <c r="W152" s="19" t="str">
        <f t="shared" si="87"/>
        <v/>
      </c>
      <c r="X152" s="21">
        <f t="shared" si="88"/>
        <v>0</v>
      </c>
      <c r="Y152" s="21">
        <f t="shared" si="89"/>
        <v>0</v>
      </c>
    </row>
    <row r="153" spans="1:25" x14ac:dyDescent="0.3">
      <c r="A153" s="21" t="str">
        <f>IF(Cadastro!$B153="","",Cadastro!$B153)</f>
        <v/>
      </c>
      <c r="B153" s="21" t="str">
        <f>IF(Cadastro!$C153="","",Cadastro!$C153)</f>
        <v/>
      </c>
      <c r="C153" s="19" t="str">
        <f t="shared" si="72"/>
        <v/>
      </c>
      <c r="D153" s="19" t="str">
        <f t="shared" si="73"/>
        <v/>
      </c>
      <c r="E153" s="23">
        <f>N(Cadastro!$F153)</f>
        <v>0</v>
      </c>
      <c r="F153" s="21" t="str">
        <f t="shared" si="74"/>
        <v/>
      </c>
      <c r="G153" s="21" t="str">
        <f t="shared" si="75"/>
        <v/>
      </c>
      <c r="H153" s="21" t="str">
        <f t="shared" si="76"/>
        <v/>
      </c>
      <c r="I153" s="23">
        <f>N(Cadastro!$R153)</f>
        <v>0</v>
      </c>
      <c r="J153" s="23">
        <f>N(Cadastro!$S153)</f>
        <v>0</v>
      </c>
      <c r="K153" s="23">
        <f>N(Cadastro!$T153)</f>
        <v>0</v>
      </c>
      <c r="L153" s="23">
        <f>N(Cadastro!$U153)</f>
        <v>0</v>
      </c>
      <c r="M153" s="21" t="str">
        <f t="shared" si="77"/>
        <v/>
      </c>
      <c r="N153" s="21" t="str">
        <f t="shared" si="78"/>
        <v/>
      </c>
      <c r="O153" s="21" t="str">
        <f t="shared" si="79"/>
        <v/>
      </c>
      <c r="P153" s="21" t="str">
        <f t="shared" si="80"/>
        <v/>
      </c>
      <c r="Q153" s="21" t="str">
        <f t="shared" si="81"/>
        <v/>
      </c>
      <c r="R153" s="21" t="str">
        <f t="shared" si="82"/>
        <v/>
      </c>
      <c r="S153" s="21" t="str">
        <f t="shared" si="83"/>
        <v/>
      </c>
      <c r="T153" s="19" t="str">
        <f t="shared" si="84"/>
        <v/>
      </c>
      <c r="U153" s="21" t="str">
        <f t="shared" si="85"/>
        <v/>
      </c>
      <c r="V153" s="19" t="str">
        <f t="shared" si="86"/>
        <v/>
      </c>
      <c r="W153" s="19" t="str">
        <f t="shared" si="87"/>
        <v/>
      </c>
      <c r="X153" s="21">
        <f t="shared" si="88"/>
        <v>0</v>
      </c>
      <c r="Y153" s="21">
        <f t="shared" si="89"/>
        <v>0</v>
      </c>
    </row>
    <row r="154" spans="1:25" x14ac:dyDescent="0.3">
      <c r="A154" s="21" t="str">
        <f>IF(Cadastro!$B154="","",Cadastro!$B154)</f>
        <v/>
      </c>
      <c r="B154" s="21" t="str">
        <f>IF(Cadastro!$C154="","",Cadastro!$C154)</f>
        <v/>
      </c>
      <c r="C154" s="19" t="str">
        <f t="shared" si="72"/>
        <v/>
      </c>
      <c r="D154" s="19" t="str">
        <f t="shared" si="73"/>
        <v/>
      </c>
      <c r="E154" s="23">
        <f>N(Cadastro!$F154)</f>
        <v>0</v>
      </c>
      <c r="F154" s="21" t="str">
        <f t="shared" si="74"/>
        <v/>
      </c>
      <c r="G154" s="21" t="str">
        <f t="shared" si="75"/>
        <v/>
      </c>
      <c r="H154" s="21" t="str">
        <f t="shared" si="76"/>
        <v/>
      </c>
      <c r="I154" s="23">
        <f>N(Cadastro!$R154)</f>
        <v>0</v>
      </c>
      <c r="J154" s="23">
        <f>N(Cadastro!$S154)</f>
        <v>0</v>
      </c>
      <c r="K154" s="23">
        <f>N(Cadastro!$T154)</f>
        <v>0</v>
      </c>
      <c r="L154" s="23">
        <f>N(Cadastro!$U154)</f>
        <v>0</v>
      </c>
      <c r="M154" s="21" t="str">
        <f t="shared" si="77"/>
        <v/>
      </c>
      <c r="N154" s="21" t="str">
        <f t="shared" si="78"/>
        <v/>
      </c>
      <c r="O154" s="21" t="str">
        <f t="shared" si="79"/>
        <v/>
      </c>
      <c r="P154" s="21" t="str">
        <f t="shared" si="80"/>
        <v/>
      </c>
      <c r="Q154" s="21" t="str">
        <f t="shared" si="81"/>
        <v/>
      </c>
      <c r="R154" s="21" t="str">
        <f t="shared" si="82"/>
        <v/>
      </c>
      <c r="S154" s="21" t="str">
        <f t="shared" si="83"/>
        <v/>
      </c>
      <c r="T154" s="19" t="str">
        <f t="shared" si="84"/>
        <v/>
      </c>
      <c r="U154" s="21" t="str">
        <f t="shared" si="85"/>
        <v/>
      </c>
      <c r="V154" s="19" t="str">
        <f t="shared" si="86"/>
        <v/>
      </c>
      <c r="W154" s="19" t="str">
        <f t="shared" si="87"/>
        <v/>
      </c>
      <c r="X154" s="21">
        <f t="shared" si="88"/>
        <v>0</v>
      </c>
      <c r="Y154" s="21">
        <f t="shared" si="89"/>
        <v>0</v>
      </c>
    </row>
  </sheetData>
  <conditionalFormatting sqref="M5:S154">
    <cfRule type="cellIs" dxfId="11" priority="2" operator="notEqual">
      <formula>0</formula>
    </cfRule>
  </conditionalFormatting>
  <conditionalFormatting sqref="T5:T154">
    <cfRule type="expression" dxfId="10" priority="3">
      <formula>OR($T5="OK",$T5="EM DIA COM A ETAPA")</formula>
    </cfRule>
    <cfRule type="expression" dxfId="9" priority="4">
      <formula>AND($T5&lt;&gt;"",$T5&lt;&gt;"OK",$T5&lt;&gt;"EM DIA COM A ETAPA")</formula>
    </cfRule>
  </conditionalFormatting>
  <pageMargins left="0.75" right="0.75" top="1" bottom="1" header="0.511811023622047" footer="0.511811023622047"/>
  <pageSetup paperSize="9" orientation="portrait" horizontalDpi="300" verticalDpi="30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6E8FA3"/>
  </sheetPr>
  <dimension ref="A1:O154"/>
  <sheetViews>
    <sheetView showGridLines="0" zoomScaleNormal="100" workbookViewId="0">
      <pane xSplit="2" ySplit="4" topLeftCell="C5" activePane="bottomRight" state="frozen"/>
      <selection pane="topRight" activeCell="C1" sqref="C1"/>
      <selection pane="bottomLeft" activeCell="A5" sqref="A5"/>
      <selection pane="bottomRight"/>
    </sheetView>
  </sheetViews>
  <sheetFormatPr defaultColWidth="8.6640625" defaultRowHeight="14.4" x14ac:dyDescent="0.3"/>
  <cols>
    <col min="1" max="4" width="14" customWidth="1"/>
    <col min="5" max="5" width="38" customWidth="1"/>
    <col min="6" max="6" width="11" customWidth="1"/>
    <col min="7" max="8" width="13" customWidth="1"/>
    <col min="9" max="9" width="18" customWidth="1"/>
    <col min="10" max="10" width="11" customWidth="1"/>
    <col min="11" max="11" width="10" customWidth="1"/>
    <col min="12" max="12" width="13" customWidth="1"/>
    <col min="13" max="13" width="11" customWidth="1"/>
    <col min="14" max="14" width="10" customWidth="1"/>
    <col min="15" max="15" width="26" customWidth="1"/>
  </cols>
  <sheetData>
    <row r="1" spans="1:15" ht="18" x14ac:dyDescent="0.35">
      <c r="A1" s="12" t="s">
        <v>222</v>
      </c>
    </row>
    <row r="2" spans="1:15" x14ac:dyDescent="0.3">
      <c r="A2" s="15" t="s">
        <v>223</v>
      </c>
    </row>
    <row r="4" spans="1:15" ht="31.5" customHeight="1" x14ac:dyDescent="0.3">
      <c r="A4" s="16" t="s">
        <v>185</v>
      </c>
      <c r="B4" s="16" t="s">
        <v>186</v>
      </c>
      <c r="C4" s="16" t="s">
        <v>34</v>
      </c>
      <c r="D4" s="16" t="s">
        <v>181</v>
      </c>
      <c r="E4" s="16" t="s">
        <v>210</v>
      </c>
      <c r="F4" s="16" t="s">
        <v>187</v>
      </c>
      <c r="G4" s="16" t="s">
        <v>188</v>
      </c>
      <c r="H4" s="16" t="s">
        <v>189</v>
      </c>
      <c r="I4" s="16" t="s">
        <v>190</v>
      </c>
      <c r="J4" s="16" t="s">
        <v>224</v>
      </c>
      <c r="K4" s="16" t="s">
        <v>225</v>
      </c>
      <c r="L4" s="16" t="s">
        <v>226</v>
      </c>
      <c r="M4" s="16" t="s">
        <v>227</v>
      </c>
      <c r="N4" s="16" t="s">
        <v>228</v>
      </c>
      <c r="O4" s="16" t="s">
        <v>229</v>
      </c>
    </row>
    <row r="5" spans="1:15" x14ac:dyDescent="0.3">
      <c r="A5" s="19">
        <f>IF(Cadastro!$G5="","",Cadastro!$G5)</f>
        <v>3136121</v>
      </c>
      <c r="B5" s="19">
        <f>IF(Cadastro!$H5="","",Cadastro!$H5)</f>
        <v>2394628</v>
      </c>
      <c r="C5" s="21">
        <f>IF(Cadastro!$B5="","",Cadastro!$B5)</f>
        <v>440641</v>
      </c>
      <c r="D5" s="21">
        <f>IF(Cadastro!$C5="","",Cadastro!$C5)</f>
        <v>67977</v>
      </c>
      <c r="E5" s="19" t="str">
        <f t="shared" ref="E5:E36" si="0">IF($D5="","",IFERROR(INDEX(Prod_Desc,MATCH($D5,Prod_Cod,0)),"PRODUTO NÃO CADASTRADO"))</f>
        <v>LICENCIAMENTO MONITORAMENTO 04 CAMERAS</v>
      </c>
      <c r="F5" s="23">
        <f>N(Cadastro!$I5)</f>
        <v>5</v>
      </c>
      <c r="G5" s="24">
        <f>N(Cadastro!$J5)</f>
        <v>46141</v>
      </c>
      <c r="H5" s="24">
        <f>N(Cadastro!$K5)</f>
        <v>46161</v>
      </c>
      <c r="I5" s="19" t="str">
        <f>IF(Cadastro!$L5="","",Cadastro!$L5)</f>
        <v>LILIAN</v>
      </c>
      <c r="J5" s="21">
        <f t="shared" ref="J5:J36" si="1">IF($B5="","",SUMIFS(OC_Qtd,OC_SC,$B5,OC_Cham,$C5,OC_Prod,$D5))</f>
        <v>4</v>
      </c>
      <c r="K5" s="21">
        <f t="shared" ref="K5:K36" si="2">IF($B5="","",N($F5)-N($J5))</f>
        <v>1</v>
      </c>
      <c r="L5" s="24">
        <f t="shared" ref="L5:L36" si="3">IF($B5="","",IF(SUMPRODUCT(MAX((OC_SC=$B5)*(OC_Cham=$C5)*(OC_Prod=$D5)*N(OC_Data)))=0,"",SUMPRODUCT(MAX((OC_SC=$B5)*(OC_Cham=$C5)*(OC_Prod=$D5)*N(OC_Data)))))</f>
        <v>46191</v>
      </c>
      <c r="M5" s="21">
        <f t="shared" ref="M5:M36" ca="1" si="4">IF(OR($B5="",N($H5)=0),"",IF(AND($K5&lt;=0,$L5&lt;&gt;""),MAX($L5-$H5,0),MAX(DataRef-$H5,0)))</f>
        <v>99</v>
      </c>
      <c r="N5" s="21">
        <f t="shared" ref="N5:N36" si="5">IF($B5="","",IFERROR(INDEX(Etapa_SLA,MATCH("FLUXO DE SUPRIMENTOS",Lista_Etapas,0)),10))</f>
        <v>10</v>
      </c>
      <c r="O5" s="19" t="str">
        <f t="shared" ref="O5:O36" ca="1" si="6">IF($B5="","",IF(N($H5)=0,"AGUARDANDO ENVIO AO SUPRIMENTOS",IF($J5=0,IF($M5&gt;$N5,"EM COTAÇÃO - ATRASADA","EM COTAÇÃO"),IF($K5&gt;0,IF($M5&gt;$N5,"COMPRA PARCIAL - ATRASADA","COMPRA PARCIAL"),IF($K5&lt;0,"COMPRA ACIMA DA SC",IF($M5&gt;$N5,"CONCLUÍDA COM ATRASO","CONCLUÍDA NO PRAZO"))))))</f>
        <v>COMPRA PARCIAL - ATRASADA</v>
      </c>
    </row>
    <row r="6" spans="1:15" x14ac:dyDescent="0.3">
      <c r="A6" s="19">
        <f>IF(Cadastro!$G6="","",Cadastro!$G6)</f>
        <v>3136121</v>
      </c>
      <c r="B6" s="19">
        <f>IF(Cadastro!$H6="","",Cadastro!$H6)</f>
        <v>2394603</v>
      </c>
      <c r="C6" s="21">
        <f>IF(Cadastro!$B6="","",Cadastro!$B6)</f>
        <v>440641</v>
      </c>
      <c r="D6" s="21">
        <f>IF(Cadastro!$C6="","",Cadastro!$C6)</f>
        <v>63489</v>
      </c>
      <c r="E6" s="19" t="str">
        <f t="shared" si="0"/>
        <v>HFW2431S-S-S2</v>
      </c>
      <c r="F6" s="23">
        <f>N(Cadastro!$I6)</f>
        <v>4</v>
      </c>
      <c r="G6" s="24">
        <f>N(Cadastro!$J6)</f>
        <v>46141</v>
      </c>
      <c r="H6" s="24">
        <f>N(Cadastro!$K6)</f>
        <v>46142</v>
      </c>
      <c r="I6" s="19" t="str">
        <f>IF(Cadastro!$L6="","",Cadastro!$L6)</f>
        <v>LILIAN</v>
      </c>
      <c r="J6" s="21">
        <f t="shared" si="1"/>
        <v>4</v>
      </c>
      <c r="K6" s="21">
        <f t="shared" si="2"/>
        <v>0</v>
      </c>
      <c r="L6" s="24">
        <f t="shared" si="3"/>
        <v>46191</v>
      </c>
      <c r="M6" s="21">
        <f t="shared" si="4"/>
        <v>49</v>
      </c>
      <c r="N6" s="21">
        <f t="shared" si="5"/>
        <v>10</v>
      </c>
      <c r="O6" s="19" t="str">
        <f t="shared" si="6"/>
        <v>CONCLUÍDA COM ATRASO</v>
      </c>
    </row>
    <row r="7" spans="1:15" x14ac:dyDescent="0.3">
      <c r="A7" s="19">
        <f>IF(Cadastro!$G7="","",Cadastro!$G7)</f>
        <v>3221783</v>
      </c>
      <c r="B7" s="19">
        <f>IF(Cadastro!$H7="","",Cadastro!$H7)</f>
        <v>2446440</v>
      </c>
      <c r="C7" s="21">
        <f>IF(Cadastro!$B7="","",Cadastro!$B7)</f>
        <v>123</v>
      </c>
      <c r="D7" s="21">
        <f>IF(Cadastro!$C7="","",Cadastro!$C7)</f>
        <v>105356</v>
      </c>
      <c r="E7" s="19" t="str">
        <f t="shared" si="0"/>
        <v>MODULO VIDEOPORTEIRO EXTERNO</v>
      </c>
      <c r="F7" s="23">
        <f>N(Cadastro!$I7)</f>
        <v>2</v>
      </c>
      <c r="G7" s="24">
        <f>N(Cadastro!$J7)</f>
        <v>46156</v>
      </c>
      <c r="H7" s="24">
        <f>N(Cadastro!$K7)</f>
        <v>46169</v>
      </c>
      <c r="I7" s="19" t="str">
        <f>IF(Cadastro!$L7="","",Cadastro!$L7)</f>
        <v>LILIAN</v>
      </c>
      <c r="J7" s="21">
        <f t="shared" si="1"/>
        <v>2</v>
      </c>
      <c r="K7" s="21">
        <f t="shared" si="2"/>
        <v>0</v>
      </c>
      <c r="L7" s="24">
        <f t="shared" si="3"/>
        <v>46191</v>
      </c>
      <c r="M7" s="21">
        <f t="shared" si="4"/>
        <v>22</v>
      </c>
      <c r="N7" s="21">
        <f t="shared" si="5"/>
        <v>10</v>
      </c>
      <c r="O7" s="19" t="str">
        <f t="shared" si="6"/>
        <v>CONCLUÍDA COM ATRASO</v>
      </c>
    </row>
    <row r="8" spans="1:15" x14ac:dyDescent="0.3">
      <c r="A8" s="19">
        <f>IF(Cadastro!$G8="","",Cadastro!$G8)</f>
        <v>2363577</v>
      </c>
      <c r="B8" s="19">
        <f>IF(Cadastro!$H8="","",Cadastro!$H8)</f>
        <v>1813487</v>
      </c>
      <c r="C8" s="21" t="str">
        <f>IF(Cadastro!$B8="","",Cadastro!$B8)</f>
        <v>N/A01</v>
      </c>
      <c r="D8" s="21">
        <f>IF(Cadastro!$C8="","",Cadastro!$C8)</f>
        <v>86698</v>
      </c>
      <c r="E8" s="19" t="str">
        <f t="shared" si="0"/>
        <v>SD6AL245GB-HNV</v>
      </c>
      <c r="F8" s="23">
        <f>N(Cadastro!$I8)</f>
        <v>1</v>
      </c>
      <c r="G8" s="24">
        <f>N(Cadastro!$J8)</f>
        <v>45861</v>
      </c>
      <c r="H8" s="24">
        <f>N(Cadastro!$K8)</f>
        <v>45891</v>
      </c>
      <c r="I8" s="19" t="str">
        <f>IF(Cadastro!$L8="","",Cadastro!$L8)</f>
        <v/>
      </c>
      <c r="J8" s="21">
        <f t="shared" si="1"/>
        <v>1</v>
      </c>
      <c r="K8" s="21">
        <f t="shared" si="2"/>
        <v>0</v>
      </c>
      <c r="L8" s="24">
        <f t="shared" si="3"/>
        <v>46191</v>
      </c>
      <c r="M8" s="21">
        <f t="shared" si="4"/>
        <v>300</v>
      </c>
      <c r="N8" s="21">
        <f t="shared" si="5"/>
        <v>10</v>
      </c>
      <c r="O8" s="19" t="str">
        <f t="shared" si="6"/>
        <v>CONCLUÍDA COM ATRASO</v>
      </c>
    </row>
    <row r="9" spans="1:15" x14ac:dyDescent="0.3">
      <c r="A9" s="19">
        <f>IF(Cadastro!$G9="","",Cadastro!$G9)</f>
        <v>2363577</v>
      </c>
      <c r="B9" s="19">
        <f>IF(Cadastro!$H9="","",Cadastro!$H9)</f>
        <v>1813492</v>
      </c>
      <c r="C9" s="21" t="str">
        <f>IF(Cadastro!$B9="","",Cadastro!$B9)</f>
        <v>N/A01</v>
      </c>
      <c r="D9" s="21">
        <f>IF(Cadastro!$C9="","",Cadastro!$C9)</f>
        <v>85197</v>
      </c>
      <c r="E9" s="19" t="str">
        <f t="shared" si="0"/>
        <v>PW4D-IZ3</v>
      </c>
      <c r="F9" s="23">
        <f>N(Cadastro!$I9)</f>
        <v>2</v>
      </c>
      <c r="G9" s="24">
        <f>N(Cadastro!$J9)</f>
        <v>45861</v>
      </c>
      <c r="H9" s="24">
        <f>N(Cadastro!$K9)</f>
        <v>45891</v>
      </c>
      <c r="I9" s="19" t="str">
        <f>IF(Cadastro!$L9="","",Cadastro!$L9)</f>
        <v/>
      </c>
      <c r="J9" s="21">
        <f t="shared" si="1"/>
        <v>2</v>
      </c>
      <c r="K9" s="21">
        <f t="shared" si="2"/>
        <v>0</v>
      </c>
      <c r="L9" s="24">
        <f t="shared" si="3"/>
        <v>46191</v>
      </c>
      <c r="M9" s="21">
        <f t="shared" si="4"/>
        <v>300</v>
      </c>
      <c r="N9" s="21">
        <f t="shared" si="5"/>
        <v>10</v>
      </c>
      <c r="O9" s="19" t="str">
        <f t="shared" si="6"/>
        <v>CONCLUÍDA COM ATRASO</v>
      </c>
    </row>
    <row r="10" spans="1:15" x14ac:dyDescent="0.3">
      <c r="A10" s="19">
        <f>IF(Cadastro!$G10="","",Cadastro!$G10)</f>
        <v>2363577</v>
      </c>
      <c r="B10" s="19">
        <f>IF(Cadastro!$H10="","",Cadastro!$H10)</f>
        <v>1813489</v>
      </c>
      <c r="C10" s="21" t="str">
        <f>IF(Cadastro!$B10="","",Cadastro!$B10)</f>
        <v>N/A01</v>
      </c>
      <c r="D10" s="21">
        <f>IF(Cadastro!$C10="","",Cadastro!$C10)</f>
        <v>63490</v>
      </c>
      <c r="E10" s="19" t="str">
        <f t="shared" si="0"/>
        <v>HFW3441T-ZAS</v>
      </c>
      <c r="F10" s="23">
        <f>N(Cadastro!$I10)</f>
        <v>11</v>
      </c>
      <c r="G10" s="24">
        <f>N(Cadastro!$J10)</f>
        <v>45861</v>
      </c>
      <c r="H10" s="24">
        <f>N(Cadastro!$K10)</f>
        <v>45891</v>
      </c>
      <c r="I10" s="19" t="str">
        <f>IF(Cadastro!$L10="","",Cadastro!$L10)</f>
        <v/>
      </c>
      <c r="J10" s="21">
        <f t="shared" si="1"/>
        <v>11</v>
      </c>
      <c r="K10" s="21">
        <f t="shared" si="2"/>
        <v>0</v>
      </c>
      <c r="L10" s="24">
        <f t="shared" si="3"/>
        <v>46191</v>
      </c>
      <c r="M10" s="21">
        <f t="shared" si="4"/>
        <v>300</v>
      </c>
      <c r="N10" s="21">
        <f t="shared" si="5"/>
        <v>10</v>
      </c>
      <c r="O10" s="19" t="str">
        <f t="shared" si="6"/>
        <v>CONCLUÍDA COM ATRASO</v>
      </c>
    </row>
    <row r="11" spans="1:15" x14ac:dyDescent="0.3">
      <c r="A11" s="19">
        <f>IF(Cadastro!$G11="","",Cadastro!$G11)</f>
        <v>2363577</v>
      </c>
      <c r="B11" s="19">
        <f>IF(Cadastro!$H11="","",Cadastro!$H11)</f>
        <v>1813493</v>
      </c>
      <c r="C11" s="21" t="str">
        <f>IF(Cadastro!$B11="","",Cadastro!$B11)</f>
        <v>N/A01</v>
      </c>
      <c r="D11" s="21">
        <f>IF(Cadastro!$C11="","",Cadastro!$C11)</f>
        <v>55721</v>
      </c>
      <c r="E11" s="19" t="str">
        <f t="shared" si="0"/>
        <v>LICENCIAMENTO DIREITOS USO SOFTWARE 7,2 ENTERPRISE PERMANENTE P/SISTEMA MONITORAMENTO</v>
      </c>
      <c r="F11" s="23">
        <f>N(Cadastro!$I11)</f>
        <v>1</v>
      </c>
      <c r="G11" s="24">
        <f>N(Cadastro!$J11)</f>
        <v>45861</v>
      </c>
      <c r="H11" s="24">
        <f>N(Cadastro!$K11)</f>
        <v>45891</v>
      </c>
      <c r="I11" s="19" t="str">
        <f>IF(Cadastro!$L11="","",Cadastro!$L11)</f>
        <v/>
      </c>
      <c r="J11" s="21">
        <f t="shared" si="1"/>
        <v>1</v>
      </c>
      <c r="K11" s="21">
        <f t="shared" si="2"/>
        <v>0</v>
      </c>
      <c r="L11" s="24">
        <f t="shared" si="3"/>
        <v>46191</v>
      </c>
      <c r="M11" s="21">
        <f t="shared" si="4"/>
        <v>300</v>
      </c>
      <c r="N11" s="21">
        <f t="shared" si="5"/>
        <v>10</v>
      </c>
      <c r="O11" s="19" t="str">
        <f t="shared" si="6"/>
        <v>CONCLUÍDA COM ATRASO</v>
      </c>
    </row>
    <row r="12" spans="1:15" x14ac:dyDescent="0.3">
      <c r="A12" s="19">
        <f>IF(Cadastro!$G12="","",Cadastro!$G12)</f>
        <v>2363577</v>
      </c>
      <c r="B12" s="19">
        <f>IF(Cadastro!$H12="","",Cadastro!$H12)</f>
        <v>1813484</v>
      </c>
      <c r="C12" s="21" t="str">
        <f>IF(Cadastro!$B12="","",Cadastro!$B12)</f>
        <v>N/A01</v>
      </c>
      <c r="D12" s="21">
        <f>IF(Cadastro!$C12="","",Cadastro!$C12)</f>
        <v>65153</v>
      </c>
      <c r="E12" s="19" t="str">
        <f t="shared" si="0"/>
        <v>DAHUA TECH/EPC230U</v>
      </c>
      <c r="F12" s="23">
        <f>N(Cadastro!$I12)</f>
        <v>4</v>
      </c>
      <c r="G12" s="24">
        <f>N(Cadastro!$J12)</f>
        <v>45861</v>
      </c>
      <c r="H12" s="24">
        <f>N(Cadastro!$K12)</f>
        <v>45891</v>
      </c>
      <c r="I12" s="19" t="str">
        <f>IF(Cadastro!$L12="","",Cadastro!$L12)</f>
        <v/>
      </c>
      <c r="J12" s="21">
        <f t="shared" si="1"/>
        <v>4</v>
      </c>
      <c r="K12" s="21">
        <f t="shared" si="2"/>
        <v>0</v>
      </c>
      <c r="L12" s="24">
        <f t="shared" si="3"/>
        <v>46191</v>
      </c>
      <c r="M12" s="21">
        <f t="shared" si="4"/>
        <v>300</v>
      </c>
      <c r="N12" s="21">
        <f t="shared" si="5"/>
        <v>10</v>
      </c>
      <c r="O12" s="19" t="str">
        <f t="shared" si="6"/>
        <v>CONCLUÍDA COM ATRASO</v>
      </c>
    </row>
    <row r="13" spans="1:15" x14ac:dyDescent="0.3">
      <c r="A13" s="19">
        <f>IF(Cadastro!$G13="","",Cadastro!$G13)</f>
        <v>3588437</v>
      </c>
      <c r="B13" s="19">
        <f>IF(Cadastro!$H13="","",Cadastro!$H13)</f>
        <v>2721417</v>
      </c>
      <c r="C13" s="21" t="str">
        <f>IF(Cadastro!$B13="","",Cadastro!$B13)</f>
        <v>N/A02</v>
      </c>
      <c r="D13" s="21">
        <f>IF(Cadastro!$C13="","",Cadastro!$C13)</f>
        <v>62900</v>
      </c>
      <c r="E13" s="19" t="str">
        <f t="shared" si="0"/>
        <v>DH-IPC-HFW5241E-Z12E</v>
      </c>
      <c r="F13" s="23">
        <f>N(Cadastro!$I13)</f>
        <v>6</v>
      </c>
      <c r="G13" s="24">
        <f>N(Cadastro!$J13)</f>
        <v>46212</v>
      </c>
      <c r="H13" s="24">
        <f>N(Cadastro!$K13)</f>
        <v>46217</v>
      </c>
      <c r="I13" s="19" t="str">
        <f>IF(Cadastro!$L13="","",Cadastro!$L13)</f>
        <v/>
      </c>
      <c r="J13" s="21">
        <f t="shared" si="1"/>
        <v>6</v>
      </c>
      <c r="K13" s="21">
        <f t="shared" si="2"/>
        <v>0</v>
      </c>
      <c r="L13" s="24">
        <f t="shared" si="3"/>
        <v>46191</v>
      </c>
      <c r="M13" s="21">
        <f t="shared" si="4"/>
        <v>0</v>
      </c>
      <c r="N13" s="21">
        <f t="shared" si="5"/>
        <v>10</v>
      </c>
      <c r="O13" s="19" t="str">
        <f t="shared" si="6"/>
        <v>CONCLUÍDA NO PRAZO</v>
      </c>
    </row>
    <row r="14" spans="1:15" x14ac:dyDescent="0.3">
      <c r="A14" s="19">
        <f>IF(Cadastro!$G14="","",Cadastro!$G14)</f>
        <v>3588437</v>
      </c>
      <c r="B14" s="19">
        <f>IF(Cadastro!$H14="","",Cadastro!$H14)</f>
        <v>2721423</v>
      </c>
      <c r="C14" s="21" t="str">
        <f>IF(Cadastro!$B14="","",Cadastro!$B14)</f>
        <v>N/A02</v>
      </c>
      <c r="D14" s="21">
        <f>IF(Cadastro!$C14="","",Cadastro!$C14)</f>
        <v>67979</v>
      </c>
      <c r="E14" s="19" t="str">
        <f t="shared" si="0"/>
        <v>SOFTWARE GRAVACAO/MONITORAMENTO ADICAO 16 CAMERAS</v>
      </c>
      <c r="F14" s="23">
        <f>N(Cadastro!$I14)</f>
        <v>1</v>
      </c>
      <c r="G14" s="24">
        <f>N(Cadastro!$J14)</f>
        <v>46212</v>
      </c>
      <c r="H14" s="24">
        <f>N(Cadastro!$K14)</f>
        <v>46241</v>
      </c>
      <c r="I14" s="19" t="str">
        <f>IF(Cadastro!$L14="","",Cadastro!$L14)</f>
        <v/>
      </c>
      <c r="J14" s="21">
        <f t="shared" si="1"/>
        <v>1</v>
      </c>
      <c r="K14" s="21">
        <f t="shared" si="2"/>
        <v>0</v>
      </c>
      <c r="L14" s="24">
        <f t="shared" si="3"/>
        <v>46191</v>
      </c>
      <c r="M14" s="21">
        <f t="shared" si="4"/>
        <v>0</v>
      </c>
      <c r="N14" s="21">
        <f t="shared" si="5"/>
        <v>10</v>
      </c>
      <c r="O14" s="19" t="str">
        <f t="shared" si="6"/>
        <v>CONCLUÍDA NO PRAZO</v>
      </c>
    </row>
    <row r="15" spans="1:15" x14ac:dyDescent="0.3">
      <c r="A15" s="19">
        <f>IF(Cadastro!$G15="","",Cadastro!$G15)</f>
        <v>3588437</v>
      </c>
      <c r="B15" s="19">
        <f>IF(Cadastro!$H15="","",Cadastro!$H15)</f>
        <v>2721467</v>
      </c>
      <c r="C15" s="21" t="str">
        <f>IF(Cadastro!$B15="","",Cadastro!$B15)</f>
        <v>N/A02</v>
      </c>
      <c r="D15" s="21">
        <f>IF(Cadastro!$C15="","",Cadastro!$C15)</f>
        <v>54824</v>
      </c>
      <c r="E15" s="19" t="str">
        <f t="shared" si="0"/>
        <v>SD6AL245U-HNI-IR</v>
      </c>
      <c r="F15" s="23">
        <f>N(Cadastro!$I15)</f>
        <v>4</v>
      </c>
      <c r="G15" s="24">
        <f>N(Cadastro!$J15)</f>
        <v>46212</v>
      </c>
      <c r="H15" s="24">
        <f>N(Cadastro!$K15)</f>
        <v>46217</v>
      </c>
      <c r="I15" s="19" t="str">
        <f>IF(Cadastro!$L15="","",Cadastro!$L15)</f>
        <v/>
      </c>
      <c r="J15" s="21">
        <f t="shared" si="1"/>
        <v>4</v>
      </c>
      <c r="K15" s="21">
        <f t="shared" si="2"/>
        <v>0</v>
      </c>
      <c r="L15" s="24">
        <f t="shared" si="3"/>
        <v>46191</v>
      </c>
      <c r="M15" s="21">
        <f t="shared" si="4"/>
        <v>0</v>
      </c>
      <c r="N15" s="21">
        <f t="shared" si="5"/>
        <v>10</v>
      </c>
      <c r="O15" s="19" t="str">
        <f t="shared" si="6"/>
        <v>CONCLUÍDA NO PRAZO</v>
      </c>
    </row>
    <row r="16" spans="1:15" x14ac:dyDescent="0.3">
      <c r="A16" s="19">
        <f>IF(Cadastro!$G16="","",Cadastro!$G16)</f>
        <v>3136206</v>
      </c>
      <c r="B16" s="19">
        <f>IF(Cadastro!$H16="","",Cadastro!$H16)</f>
        <v>2394641</v>
      </c>
      <c r="C16" s="21" t="str">
        <f>IF(Cadastro!$B16="","",Cadastro!$B16)</f>
        <v>N/A13</v>
      </c>
      <c r="D16" s="21">
        <f>IF(Cadastro!$C16="","",Cadastro!$C16)</f>
        <v>63489</v>
      </c>
      <c r="E16" s="19" t="str">
        <f t="shared" si="0"/>
        <v>HFW2431S-S-S2</v>
      </c>
      <c r="F16" s="23">
        <f>N(Cadastro!$I16)</f>
        <v>4</v>
      </c>
      <c r="G16" s="24">
        <f>N(Cadastro!$J16)</f>
        <v>46141</v>
      </c>
      <c r="H16" s="24">
        <f>N(Cadastro!$K16)</f>
        <v>46155</v>
      </c>
      <c r="I16" s="19" t="str">
        <f>IF(Cadastro!$L16="","",Cadastro!$L16)</f>
        <v>PEDRO HENRIQUE</v>
      </c>
      <c r="J16" s="21">
        <f t="shared" si="1"/>
        <v>4</v>
      </c>
      <c r="K16" s="21">
        <f t="shared" si="2"/>
        <v>0</v>
      </c>
      <c r="L16" s="24">
        <f t="shared" si="3"/>
        <v>46191</v>
      </c>
      <c r="M16" s="21">
        <f t="shared" si="4"/>
        <v>36</v>
      </c>
      <c r="N16" s="21">
        <f t="shared" si="5"/>
        <v>10</v>
      </c>
      <c r="O16" s="19" t="str">
        <f t="shared" si="6"/>
        <v>CONCLUÍDA COM ATRASO</v>
      </c>
    </row>
    <row r="17" spans="1:15" x14ac:dyDescent="0.3">
      <c r="A17" s="19">
        <f>IF(Cadastro!$G17="","",Cadastro!$G17)</f>
        <v>3136206</v>
      </c>
      <c r="B17" s="19">
        <f>IF(Cadastro!$H17="","",Cadastro!$H17)</f>
        <v>2394650</v>
      </c>
      <c r="C17" s="21" t="str">
        <f>IF(Cadastro!$B17="","",Cadastro!$B17)</f>
        <v>N/A13</v>
      </c>
      <c r="D17" s="21">
        <f>IF(Cadastro!$C17="","",Cadastro!$C17)</f>
        <v>67977</v>
      </c>
      <c r="E17" s="19" t="str">
        <f t="shared" si="0"/>
        <v>LICENCIAMENTO MONITORAMENTO 04 CAMERAS</v>
      </c>
      <c r="F17" s="23">
        <f>N(Cadastro!$I17)</f>
        <v>1</v>
      </c>
      <c r="G17" s="24">
        <f>N(Cadastro!$J17)</f>
        <v>46141</v>
      </c>
      <c r="H17" s="24">
        <f>N(Cadastro!$K17)</f>
        <v>46203</v>
      </c>
      <c r="I17" s="19" t="str">
        <f>IF(Cadastro!$L17="","",Cadastro!$L17)</f>
        <v>PEDRO HENRIQUE</v>
      </c>
      <c r="J17" s="21">
        <f t="shared" si="1"/>
        <v>1</v>
      </c>
      <c r="K17" s="21">
        <f t="shared" si="2"/>
        <v>0</v>
      </c>
      <c r="L17" s="24">
        <f t="shared" si="3"/>
        <v>46191</v>
      </c>
      <c r="M17" s="21">
        <f t="shared" si="4"/>
        <v>0</v>
      </c>
      <c r="N17" s="21">
        <f t="shared" si="5"/>
        <v>10</v>
      </c>
      <c r="O17" s="19" t="str">
        <f t="shared" si="6"/>
        <v>CONCLUÍDA NO PRAZO</v>
      </c>
    </row>
    <row r="18" spans="1:15" x14ac:dyDescent="0.3">
      <c r="A18" s="19">
        <f>IF(Cadastro!$G18="","",Cadastro!$G18)</f>
        <v>2052105</v>
      </c>
      <c r="B18" s="19">
        <f>IF(Cadastro!$H18="","",Cadastro!$H18)</f>
        <v>1569304</v>
      </c>
      <c r="C18" s="21">
        <f>IF(Cadastro!$B18="","",Cadastro!$B18)</f>
        <v>123</v>
      </c>
      <c r="D18" s="21">
        <f>IF(Cadastro!$C18="","",Cadastro!$C18)</f>
        <v>68184</v>
      </c>
      <c r="E18" s="19" t="str">
        <f t="shared" si="0"/>
        <v>12VCC 2 RS485/RJ45 2179KBPS DAHUA TECH/DHI-ITC413-PW4D-Z1</v>
      </c>
      <c r="F18" s="23">
        <f>N(Cadastro!$I18)</f>
        <v>4</v>
      </c>
      <c r="G18" s="24">
        <f>N(Cadastro!$J18)</f>
        <v>45706</v>
      </c>
      <c r="H18" s="24">
        <f>N(Cadastro!$K18)</f>
        <v>45728</v>
      </c>
      <c r="I18" s="19" t="str">
        <f>IF(Cadastro!$L18="","",Cadastro!$L18)</f>
        <v/>
      </c>
      <c r="J18" s="21">
        <f t="shared" si="1"/>
        <v>4</v>
      </c>
      <c r="K18" s="21">
        <f t="shared" si="2"/>
        <v>0</v>
      </c>
      <c r="L18" s="24">
        <f t="shared" si="3"/>
        <v>46191</v>
      </c>
      <c r="M18" s="21">
        <f t="shared" si="4"/>
        <v>463</v>
      </c>
      <c r="N18" s="21">
        <f t="shared" si="5"/>
        <v>10</v>
      </c>
      <c r="O18" s="19" t="str">
        <f t="shared" si="6"/>
        <v>CONCLUÍDA COM ATRASO</v>
      </c>
    </row>
    <row r="19" spans="1:15" x14ac:dyDescent="0.3">
      <c r="A19" s="19">
        <f>IF(Cadastro!$G19="","",Cadastro!$G19)</f>
        <v>2505152</v>
      </c>
      <c r="B19" s="19">
        <f>IF(Cadastro!$H19="","",Cadastro!$H19)</f>
        <v>1924342</v>
      </c>
      <c r="C19" s="21">
        <f>IF(Cadastro!$B19="","",Cadastro!$B19)</f>
        <v>123</v>
      </c>
      <c r="D19" s="21">
        <f>IF(Cadastro!$C19="","",Cadastro!$C19)</f>
        <v>85197</v>
      </c>
      <c r="E19" s="19" t="str">
        <f t="shared" si="0"/>
        <v>PW4D-IZ3</v>
      </c>
      <c r="F19" s="23">
        <f>N(Cadastro!$I19)</f>
        <v>1</v>
      </c>
      <c r="G19" s="24">
        <f>N(Cadastro!$J19)</f>
        <v>45908</v>
      </c>
      <c r="H19" s="24">
        <f>N(Cadastro!$K19)</f>
        <v>45925</v>
      </c>
      <c r="I19" s="19" t="str">
        <f>IF(Cadastro!$L19="","",Cadastro!$L19)</f>
        <v/>
      </c>
      <c r="J19" s="21">
        <f t="shared" si="1"/>
        <v>1</v>
      </c>
      <c r="K19" s="21">
        <f t="shared" si="2"/>
        <v>0</v>
      </c>
      <c r="L19" s="24">
        <f t="shared" si="3"/>
        <v>46191</v>
      </c>
      <c r="M19" s="21">
        <f t="shared" si="4"/>
        <v>266</v>
      </c>
      <c r="N19" s="21">
        <f t="shared" si="5"/>
        <v>10</v>
      </c>
      <c r="O19" s="19" t="str">
        <f t="shared" si="6"/>
        <v>CONCLUÍDA COM ATRASO</v>
      </c>
    </row>
    <row r="20" spans="1:15" x14ac:dyDescent="0.3">
      <c r="A20" s="19">
        <f>IF(Cadastro!$G20="","",Cadastro!$G20)</f>
        <v>2505152</v>
      </c>
      <c r="B20" s="19">
        <f>IF(Cadastro!$H20="","",Cadastro!$H20)</f>
        <v>1924343</v>
      </c>
      <c r="C20" s="21">
        <f>IF(Cadastro!$B20="","",Cadastro!$B20)</f>
        <v>123</v>
      </c>
      <c r="D20" s="21">
        <f>IF(Cadastro!$C20="","",Cadastro!$C20)</f>
        <v>63490</v>
      </c>
      <c r="E20" s="19" t="str">
        <f t="shared" si="0"/>
        <v>HFW3441T-ZAS</v>
      </c>
      <c r="F20" s="23">
        <f>N(Cadastro!$I20)</f>
        <v>9</v>
      </c>
      <c r="G20" s="24">
        <f>N(Cadastro!$J20)</f>
        <v>45908</v>
      </c>
      <c r="H20" s="24">
        <f>N(Cadastro!$K20)</f>
        <v>45910</v>
      </c>
      <c r="I20" s="19" t="str">
        <f>IF(Cadastro!$L20="","",Cadastro!$L20)</f>
        <v/>
      </c>
      <c r="J20" s="21">
        <f t="shared" si="1"/>
        <v>9</v>
      </c>
      <c r="K20" s="21">
        <f t="shared" si="2"/>
        <v>0</v>
      </c>
      <c r="L20" s="24">
        <f t="shared" si="3"/>
        <v>46191</v>
      </c>
      <c r="M20" s="21">
        <f t="shared" si="4"/>
        <v>281</v>
      </c>
      <c r="N20" s="21">
        <f t="shared" si="5"/>
        <v>10</v>
      </c>
      <c r="O20" s="19" t="str">
        <f t="shared" si="6"/>
        <v>CONCLUÍDA COM ATRASO</v>
      </c>
    </row>
    <row r="21" spans="1:15" x14ac:dyDescent="0.3">
      <c r="A21" s="19">
        <f>IF(Cadastro!$G21="","",Cadastro!$G21)</f>
        <v>2355180</v>
      </c>
      <c r="B21" s="19">
        <f>IF(Cadastro!$H21="","",Cadastro!$H21)</f>
        <v>1806813</v>
      </c>
      <c r="C21" s="21">
        <f>IF(Cadastro!$B21="","",Cadastro!$B21)</f>
        <v>123</v>
      </c>
      <c r="D21" s="21">
        <f>IF(Cadastro!$C21="","",Cadastro!$C21)</f>
        <v>52416</v>
      </c>
      <c r="E21" s="19" t="str">
        <f t="shared" si="0"/>
        <v xml:space="preserve"> 29PORT 24RJ45/4 SFP/1 USB 100-240VCA 43,60X227X442MM HUAWEI/S5735-L24P4XE-A-V2</v>
      </c>
      <c r="F21" s="23">
        <f>N(Cadastro!$I21)</f>
        <v>2</v>
      </c>
      <c r="G21" s="24">
        <f>N(Cadastro!$J21)</f>
        <v>45859</v>
      </c>
      <c r="H21" s="24">
        <f>N(Cadastro!$K21)</f>
        <v>45905</v>
      </c>
      <c r="I21" s="19" t="str">
        <f>IF(Cadastro!$L21="","",Cadastro!$L21)</f>
        <v/>
      </c>
      <c r="J21" s="21">
        <f t="shared" si="1"/>
        <v>2</v>
      </c>
      <c r="K21" s="21">
        <f t="shared" si="2"/>
        <v>0</v>
      </c>
      <c r="L21" s="24">
        <f t="shared" si="3"/>
        <v>46191</v>
      </c>
      <c r="M21" s="21">
        <f t="shared" si="4"/>
        <v>286</v>
      </c>
      <c r="N21" s="21">
        <f t="shared" si="5"/>
        <v>10</v>
      </c>
      <c r="O21" s="19" t="str">
        <f t="shared" si="6"/>
        <v>CONCLUÍDA COM ATRASO</v>
      </c>
    </row>
    <row r="22" spans="1:15" x14ac:dyDescent="0.3">
      <c r="A22" s="19">
        <f>IF(Cadastro!$G22="","",Cadastro!$G22)</f>
        <v>2355180</v>
      </c>
      <c r="B22" s="19">
        <f>IF(Cadastro!$H22="","",Cadastro!$H22)</f>
        <v>1806815</v>
      </c>
      <c r="C22" s="21">
        <f>IF(Cadastro!$B22="","",Cadastro!$B22)</f>
        <v>123</v>
      </c>
      <c r="D22" s="21">
        <f>IF(Cadastro!$C22="","",Cadastro!$C22)</f>
        <v>92927</v>
      </c>
      <c r="E22" s="19" t="str">
        <f t="shared" si="0"/>
        <v>INTERFONE PLASTICO ABS 12VCC C/ACIONAMENTO FECHADURA IP/WIFI DAHUA TECH/DHI-VTH5421E(W)-H</v>
      </c>
      <c r="F22" s="23">
        <f>N(Cadastro!$I22)</f>
        <v>2</v>
      </c>
      <c r="G22" s="24">
        <f>N(Cadastro!$J22)</f>
        <v>45859</v>
      </c>
      <c r="H22" s="24">
        <f>N(Cadastro!$K22)</f>
        <v>45876</v>
      </c>
      <c r="I22" s="19" t="str">
        <f>IF(Cadastro!$L22="","",Cadastro!$L22)</f>
        <v/>
      </c>
      <c r="J22" s="21">
        <f t="shared" si="1"/>
        <v>2</v>
      </c>
      <c r="K22" s="21">
        <f t="shared" si="2"/>
        <v>0</v>
      </c>
      <c r="L22" s="24">
        <f t="shared" si="3"/>
        <v>46191</v>
      </c>
      <c r="M22" s="21">
        <f t="shared" si="4"/>
        <v>315</v>
      </c>
      <c r="N22" s="21">
        <f t="shared" si="5"/>
        <v>10</v>
      </c>
      <c r="O22" s="19" t="str">
        <f t="shared" si="6"/>
        <v>CONCLUÍDA COM ATRASO</v>
      </c>
    </row>
    <row r="23" spans="1:15" x14ac:dyDescent="0.3">
      <c r="A23" s="19">
        <f>IF(Cadastro!$G23="","",Cadastro!$G23)</f>
        <v>2355180</v>
      </c>
      <c r="B23" s="19">
        <f>IF(Cadastro!$H23="","",Cadastro!$H23)</f>
        <v>1806817</v>
      </c>
      <c r="C23" s="21">
        <f>IF(Cadastro!$B23="","",Cadastro!$B23)</f>
        <v>123</v>
      </c>
      <c r="D23" s="21">
        <f>IF(Cadastro!$C23="","",Cadastro!$C23)</f>
        <v>86736</v>
      </c>
      <c r="E23" s="19" t="str">
        <f t="shared" si="0"/>
        <v>UNIDADE CONTROLE ACESSOS ELETR LCD 7POL FACIAL 218X118X24,20MM C/SUPORTE DAHUA TECH/DHI-ASI7213S-W</v>
      </c>
      <c r="F23" s="23">
        <f>N(Cadastro!$I23)</f>
        <v>4</v>
      </c>
      <c r="G23" s="24">
        <f>N(Cadastro!$J23)</f>
        <v>45859</v>
      </c>
      <c r="H23" s="24">
        <f>N(Cadastro!$K23)</f>
        <v>45880</v>
      </c>
      <c r="I23" s="19" t="str">
        <f>IF(Cadastro!$L23="","",Cadastro!$L23)</f>
        <v/>
      </c>
      <c r="J23" s="21">
        <f t="shared" si="1"/>
        <v>4</v>
      </c>
      <c r="K23" s="21">
        <f t="shared" si="2"/>
        <v>0</v>
      </c>
      <c r="L23" s="24">
        <f t="shared" si="3"/>
        <v>46191</v>
      </c>
      <c r="M23" s="21">
        <f t="shared" si="4"/>
        <v>311</v>
      </c>
      <c r="N23" s="21">
        <f t="shared" si="5"/>
        <v>10</v>
      </c>
      <c r="O23" s="19" t="str">
        <f t="shared" si="6"/>
        <v>CONCLUÍDA COM ATRASO</v>
      </c>
    </row>
    <row r="24" spans="1:15" x14ac:dyDescent="0.3">
      <c r="A24" s="19">
        <f>IF(Cadastro!$G24="","",Cadastro!$G24)</f>
        <v>3300203</v>
      </c>
      <c r="B24" s="19">
        <f>IF(Cadastro!$H24="","",Cadastro!$H24)</f>
        <v>2502563</v>
      </c>
      <c r="C24" s="21" t="str">
        <f>IF(Cadastro!$B24="","",Cadastro!$B24)</f>
        <v>N/A59</v>
      </c>
      <c r="D24" s="21">
        <f>IF(Cadastro!$C24="","",Cadastro!$C24)</f>
        <v>63489</v>
      </c>
      <c r="E24" s="19" t="str">
        <f t="shared" si="0"/>
        <v>HFW2431S-S-S2</v>
      </c>
      <c r="F24" s="23">
        <f>N(Cadastro!$I24)</f>
        <v>60</v>
      </c>
      <c r="G24" s="24">
        <f>N(Cadastro!$J24)</f>
        <v>46170</v>
      </c>
      <c r="H24" s="24">
        <f>N(Cadastro!$K24)</f>
        <v>46175</v>
      </c>
      <c r="I24" s="19" t="str">
        <f>IF(Cadastro!$L24="","",Cadastro!$L24)</f>
        <v/>
      </c>
      <c r="J24" s="21">
        <f t="shared" si="1"/>
        <v>60</v>
      </c>
      <c r="K24" s="21">
        <f t="shared" si="2"/>
        <v>0</v>
      </c>
      <c r="L24" s="24">
        <f t="shared" si="3"/>
        <v>46191</v>
      </c>
      <c r="M24" s="21">
        <f t="shared" si="4"/>
        <v>16</v>
      </c>
      <c r="N24" s="21">
        <f t="shared" si="5"/>
        <v>10</v>
      </c>
      <c r="O24" s="19" t="str">
        <f t="shared" si="6"/>
        <v>CONCLUÍDA COM ATRASO</v>
      </c>
    </row>
    <row r="25" spans="1:15" x14ac:dyDescent="0.3">
      <c r="A25" s="19">
        <f>IF(Cadastro!$G25="","",Cadastro!$G25)</f>
        <v>3300203</v>
      </c>
      <c r="B25" s="19">
        <f>IF(Cadastro!$H25="","",Cadastro!$H25)</f>
        <v>2502559</v>
      </c>
      <c r="C25" s="21" t="str">
        <f>IF(Cadastro!$B25="","",Cadastro!$B25)</f>
        <v>N/A59</v>
      </c>
      <c r="D25" s="21">
        <f>IF(Cadastro!$C25="","",Cadastro!$C25)</f>
        <v>54792</v>
      </c>
      <c r="E25" s="19" t="str">
        <f t="shared" si="0"/>
        <v>HDBW2230E-S-S2</v>
      </c>
      <c r="F25" s="23">
        <f>N(Cadastro!$I25)</f>
        <v>130</v>
      </c>
      <c r="G25" s="24">
        <f>N(Cadastro!$J25)</f>
        <v>46170</v>
      </c>
      <c r="H25" s="24">
        <f>N(Cadastro!$K25)</f>
        <v>46174</v>
      </c>
      <c r="I25" s="19" t="str">
        <f>IF(Cadastro!$L25="","",Cadastro!$L25)</f>
        <v/>
      </c>
      <c r="J25" s="21">
        <f t="shared" si="1"/>
        <v>130</v>
      </c>
      <c r="K25" s="21">
        <f t="shared" si="2"/>
        <v>0</v>
      </c>
      <c r="L25" s="24">
        <f t="shared" si="3"/>
        <v>46191</v>
      </c>
      <c r="M25" s="21">
        <f t="shared" si="4"/>
        <v>17</v>
      </c>
      <c r="N25" s="21">
        <f t="shared" si="5"/>
        <v>10</v>
      </c>
      <c r="O25" s="19" t="str">
        <f t="shared" si="6"/>
        <v>CONCLUÍDA COM ATRASO</v>
      </c>
    </row>
    <row r="26" spans="1:15" x14ac:dyDescent="0.3">
      <c r="A26" s="19" t="str">
        <f>IF(Cadastro!$G26="","",Cadastro!$G26)</f>
        <v/>
      </c>
      <c r="B26" s="19" t="str">
        <f>IF(Cadastro!$H26="","",Cadastro!$H26)</f>
        <v/>
      </c>
      <c r="C26" s="21" t="str">
        <f>IF(Cadastro!$B26="","",Cadastro!$B26)</f>
        <v/>
      </c>
      <c r="D26" s="21" t="str">
        <f>IF(Cadastro!$C26="","",Cadastro!$C26)</f>
        <v/>
      </c>
      <c r="E26" s="19" t="str">
        <f t="shared" si="0"/>
        <v/>
      </c>
      <c r="F26" s="23">
        <f>N(Cadastro!$I26)</f>
        <v>0</v>
      </c>
      <c r="G26" s="24">
        <f>N(Cadastro!$J26)</f>
        <v>0</v>
      </c>
      <c r="H26" s="24">
        <f>N(Cadastro!$K26)</f>
        <v>0</v>
      </c>
      <c r="I26" s="19" t="str">
        <f>IF(Cadastro!$L26="","",Cadastro!$L26)</f>
        <v/>
      </c>
      <c r="J26" s="21" t="str">
        <f t="shared" si="1"/>
        <v/>
      </c>
      <c r="K26" s="21" t="str">
        <f t="shared" si="2"/>
        <v/>
      </c>
      <c r="L26" s="24" t="str">
        <f t="shared" si="3"/>
        <v/>
      </c>
      <c r="M26" s="21" t="str">
        <f t="shared" si="4"/>
        <v/>
      </c>
      <c r="N26" s="21" t="str">
        <f t="shared" si="5"/>
        <v/>
      </c>
      <c r="O26" s="19" t="str">
        <f t="shared" si="6"/>
        <v/>
      </c>
    </row>
    <row r="27" spans="1:15" x14ac:dyDescent="0.3">
      <c r="A27" s="19" t="str">
        <f>IF(Cadastro!$G27="","",Cadastro!$G27)</f>
        <v/>
      </c>
      <c r="B27" s="19" t="str">
        <f>IF(Cadastro!$H27="","",Cadastro!$H27)</f>
        <v/>
      </c>
      <c r="C27" s="21" t="str">
        <f>IF(Cadastro!$B27="","",Cadastro!$B27)</f>
        <v/>
      </c>
      <c r="D27" s="21" t="str">
        <f>IF(Cadastro!$C27="","",Cadastro!$C27)</f>
        <v/>
      </c>
      <c r="E27" s="19" t="str">
        <f t="shared" si="0"/>
        <v/>
      </c>
      <c r="F27" s="23">
        <f>N(Cadastro!$I27)</f>
        <v>0</v>
      </c>
      <c r="G27" s="24">
        <f>N(Cadastro!$J27)</f>
        <v>0</v>
      </c>
      <c r="H27" s="24">
        <f>N(Cadastro!$K27)</f>
        <v>0</v>
      </c>
      <c r="I27" s="19" t="str">
        <f>IF(Cadastro!$L27="","",Cadastro!$L27)</f>
        <v/>
      </c>
      <c r="J27" s="21" t="str">
        <f t="shared" si="1"/>
        <v/>
      </c>
      <c r="K27" s="21" t="str">
        <f t="shared" si="2"/>
        <v/>
      </c>
      <c r="L27" s="24" t="str">
        <f t="shared" si="3"/>
        <v/>
      </c>
      <c r="M27" s="21" t="str">
        <f t="shared" si="4"/>
        <v/>
      </c>
      <c r="N27" s="21" t="str">
        <f t="shared" si="5"/>
        <v/>
      </c>
      <c r="O27" s="19" t="str">
        <f t="shared" si="6"/>
        <v/>
      </c>
    </row>
    <row r="28" spans="1:15" x14ac:dyDescent="0.3">
      <c r="A28" s="19" t="str">
        <f>IF(Cadastro!$G28="","",Cadastro!$G28)</f>
        <v/>
      </c>
      <c r="B28" s="19" t="str">
        <f>IF(Cadastro!$H28="","",Cadastro!$H28)</f>
        <v/>
      </c>
      <c r="C28" s="21" t="str">
        <f>IF(Cadastro!$B28="","",Cadastro!$B28)</f>
        <v/>
      </c>
      <c r="D28" s="21" t="str">
        <f>IF(Cadastro!$C28="","",Cadastro!$C28)</f>
        <v/>
      </c>
      <c r="E28" s="19" t="str">
        <f t="shared" si="0"/>
        <v/>
      </c>
      <c r="F28" s="23">
        <f>N(Cadastro!$I28)</f>
        <v>0</v>
      </c>
      <c r="G28" s="24">
        <f>N(Cadastro!$J28)</f>
        <v>0</v>
      </c>
      <c r="H28" s="24">
        <f>N(Cadastro!$K28)</f>
        <v>0</v>
      </c>
      <c r="I28" s="19" t="str">
        <f>IF(Cadastro!$L28="","",Cadastro!$L28)</f>
        <v/>
      </c>
      <c r="J28" s="21" t="str">
        <f t="shared" si="1"/>
        <v/>
      </c>
      <c r="K28" s="21" t="str">
        <f t="shared" si="2"/>
        <v/>
      </c>
      <c r="L28" s="24" t="str">
        <f t="shared" si="3"/>
        <v/>
      </c>
      <c r="M28" s="21" t="str">
        <f t="shared" si="4"/>
        <v/>
      </c>
      <c r="N28" s="21" t="str">
        <f t="shared" si="5"/>
        <v/>
      </c>
      <c r="O28" s="19" t="str">
        <f t="shared" si="6"/>
        <v/>
      </c>
    </row>
    <row r="29" spans="1:15" x14ac:dyDescent="0.3">
      <c r="A29" s="19" t="str">
        <f>IF(Cadastro!$G29="","",Cadastro!$G29)</f>
        <v/>
      </c>
      <c r="B29" s="19" t="str">
        <f>IF(Cadastro!$H29="","",Cadastro!$H29)</f>
        <v/>
      </c>
      <c r="C29" s="21" t="str">
        <f>IF(Cadastro!$B29="","",Cadastro!$B29)</f>
        <v/>
      </c>
      <c r="D29" s="21" t="str">
        <f>IF(Cadastro!$C29="","",Cadastro!$C29)</f>
        <v/>
      </c>
      <c r="E29" s="19" t="str">
        <f t="shared" si="0"/>
        <v/>
      </c>
      <c r="F29" s="23">
        <f>N(Cadastro!$I29)</f>
        <v>0</v>
      </c>
      <c r="G29" s="24">
        <f>N(Cadastro!$J29)</f>
        <v>0</v>
      </c>
      <c r="H29" s="24">
        <f>N(Cadastro!$K29)</f>
        <v>0</v>
      </c>
      <c r="I29" s="19" t="str">
        <f>IF(Cadastro!$L29="","",Cadastro!$L29)</f>
        <v/>
      </c>
      <c r="J29" s="21" t="str">
        <f t="shared" si="1"/>
        <v/>
      </c>
      <c r="K29" s="21" t="str">
        <f t="shared" si="2"/>
        <v/>
      </c>
      <c r="L29" s="24" t="str">
        <f t="shared" si="3"/>
        <v/>
      </c>
      <c r="M29" s="21" t="str">
        <f t="shared" si="4"/>
        <v/>
      </c>
      <c r="N29" s="21" t="str">
        <f t="shared" si="5"/>
        <v/>
      </c>
      <c r="O29" s="19" t="str">
        <f t="shared" si="6"/>
        <v/>
      </c>
    </row>
    <row r="30" spans="1:15" x14ac:dyDescent="0.3">
      <c r="A30" s="19" t="str">
        <f>IF(Cadastro!$G30="","",Cadastro!$G30)</f>
        <v/>
      </c>
      <c r="B30" s="19" t="str">
        <f>IF(Cadastro!$H30="","",Cadastro!$H30)</f>
        <v/>
      </c>
      <c r="C30" s="21" t="str">
        <f>IF(Cadastro!$B30="","",Cadastro!$B30)</f>
        <v/>
      </c>
      <c r="D30" s="21" t="str">
        <f>IF(Cadastro!$C30="","",Cadastro!$C30)</f>
        <v/>
      </c>
      <c r="E30" s="19" t="str">
        <f t="shared" si="0"/>
        <v/>
      </c>
      <c r="F30" s="23">
        <f>N(Cadastro!$I30)</f>
        <v>0</v>
      </c>
      <c r="G30" s="24">
        <f>N(Cadastro!$J30)</f>
        <v>0</v>
      </c>
      <c r="H30" s="24">
        <f>N(Cadastro!$K30)</f>
        <v>0</v>
      </c>
      <c r="I30" s="19" t="str">
        <f>IF(Cadastro!$L30="","",Cadastro!$L30)</f>
        <v/>
      </c>
      <c r="J30" s="21" t="str">
        <f t="shared" si="1"/>
        <v/>
      </c>
      <c r="K30" s="21" t="str">
        <f t="shared" si="2"/>
        <v/>
      </c>
      <c r="L30" s="24" t="str">
        <f t="shared" si="3"/>
        <v/>
      </c>
      <c r="M30" s="21" t="str">
        <f t="shared" si="4"/>
        <v/>
      </c>
      <c r="N30" s="21" t="str">
        <f t="shared" si="5"/>
        <v/>
      </c>
      <c r="O30" s="19" t="str">
        <f t="shared" si="6"/>
        <v/>
      </c>
    </row>
    <row r="31" spans="1:15" x14ac:dyDescent="0.3">
      <c r="A31" s="19" t="str">
        <f>IF(Cadastro!$G31="","",Cadastro!$G31)</f>
        <v/>
      </c>
      <c r="B31" s="19" t="str">
        <f>IF(Cadastro!$H31="","",Cadastro!$H31)</f>
        <v/>
      </c>
      <c r="C31" s="21" t="str">
        <f>IF(Cadastro!$B31="","",Cadastro!$B31)</f>
        <v/>
      </c>
      <c r="D31" s="21" t="str">
        <f>IF(Cadastro!$C31="","",Cadastro!$C31)</f>
        <v/>
      </c>
      <c r="E31" s="19" t="str">
        <f t="shared" si="0"/>
        <v/>
      </c>
      <c r="F31" s="23">
        <f>N(Cadastro!$I31)</f>
        <v>0</v>
      </c>
      <c r="G31" s="24">
        <f>N(Cadastro!$J31)</f>
        <v>0</v>
      </c>
      <c r="H31" s="24">
        <f>N(Cadastro!$K31)</f>
        <v>0</v>
      </c>
      <c r="I31" s="19" t="str">
        <f>IF(Cadastro!$L31="","",Cadastro!$L31)</f>
        <v/>
      </c>
      <c r="J31" s="21" t="str">
        <f t="shared" si="1"/>
        <v/>
      </c>
      <c r="K31" s="21" t="str">
        <f t="shared" si="2"/>
        <v/>
      </c>
      <c r="L31" s="24" t="str">
        <f t="shared" si="3"/>
        <v/>
      </c>
      <c r="M31" s="21" t="str">
        <f t="shared" si="4"/>
        <v/>
      </c>
      <c r="N31" s="21" t="str">
        <f t="shared" si="5"/>
        <v/>
      </c>
      <c r="O31" s="19" t="str">
        <f t="shared" si="6"/>
        <v/>
      </c>
    </row>
    <row r="32" spans="1:15" x14ac:dyDescent="0.3">
      <c r="A32" s="19" t="str">
        <f>IF(Cadastro!$G32="","",Cadastro!$G32)</f>
        <v/>
      </c>
      <c r="B32" s="19" t="str">
        <f>IF(Cadastro!$H32="","",Cadastro!$H32)</f>
        <v/>
      </c>
      <c r="C32" s="21" t="str">
        <f>IF(Cadastro!$B32="","",Cadastro!$B32)</f>
        <v/>
      </c>
      <c r="D32" s="21" t="str">
        <f>IF(Cadastro!$C32="","",Cadastro!$C32)</f>
        <v/>
      </c>
      <c r="E32" s="19" t="str">
        <f t="shared" si="0"/>
        <v/>
      </c>
      <c r="F32" s="23">
        <f>N(Cadastro!$I32)</f>
        <v>0</v>
      </c>
      <c r="G32" s="24">
        <f>N(Cadastro!$J32)</f>
        <v>0</v>
      </c>
      <c r="H32" s="24">
        <f>N(Cadastro!$K32)</f>
        <v>0</v>
      </c>
      <c r="I32" s="19" t="str">
        <f>IF(Cadastro!$L32="","",Cadastro!$L32)</f>
        <v/>
      </c>
      <c r="J32" s="21" t="str">
        <f t="shared" si="1"/>
        <v/>
      </c>
      <c r="K32" s="21" t="str">
        <f t="shared" si="2"/>
        <v/>
      </c>
      <c r="L32" s="24" t="str">
        <f t="shared" si="3"/>
        <v/>
      </c>
      <c r="M32" s="21" t="str">
        <f t="shared" si="4"/>
        <v/>
      </c>
      <c r="N32" s="21" t="str">
        <f t="shared" si="5"/>
        <v/>
      </c>
      <c r="O32" s="19" t="str">
        <f t="shared" si="6"/>
        <v/>
      </c>
    </row>
    <row r="33" spans="1:15" x14ac:dyDescent="0.3">
      <c r="A33" s="19" t="str">
        <f>IF(Cadastro!$G33="","",Cadastro!$G33)</f>
        <v/>
      </c>
      <c r="B33" s="19" t="str">
        <f>IF(Cadastro!$H33="","",Cadastro!$H33)</f>
        <v/>
      </c>
      <c r="C33" s="21" t="str">
        <f>IF(Cadastro!$B33="","",Cadastro!$B33)</f>
        <v/>
      </c>
      <c r="D33" s="21" t="str">
        <f>IF(Cadastro!$C33="","",Cadastro!$C33)</f>
        <v/>
      </c>
      <c r="E33" s="19" t="str">
        <f t="shared" si="0"/>
        <v/>
      </c>
      <c r="F33" s="23">
        <f>N(Cadastro!$I33)</f>
        <v>0</v>
      </c>
      <c r="G33" s="24">
        <f>N(Cadastro!$J33)</f>
        <v>0</v>
      </c>
      <c r="H33" s="24">
        <f>N(Cadastro!$K33)</f>
        <v>0</v>
      </c>
      <c r="I33" s="19" t="str">
        <f>IF(Cadastro!$L33="","",Cadastro!$L33)</f>
        <v/>
      </c>
      <c r="J33" s="21" t="str">
        <f t="shared" si="1"/>
        <v/>
      </c>
      <c r="K33" s="21" t="str">
        <f t="shared" si="2"/>
        <v/>
      </c>
      <c r="L33" s="24" t="str">
        <f t="shared" si="3"/>
        <v/>
      </c>
      <c r="M33" s="21" t="str">
        <f t="shared" si="4"/>
        <v/>
      </c>
      <c r="N33" s="21" t="str">
        <f t="shared" si="5"/>
        <v/>
      </c>
      <c r="O33" s="19" t="str">
        <f t="shared" si="6"/>
        <v/>
      </c>
    </row>
    <row r="34" spans="1:15" x14ac:dyDescent="0.3">
      <c r="A34" s="19" t="str">
        <f>IF(Cadastro!$G34="","",Cadastro!$G34)</f>
        <v/>
      </c>
      <c r="B34" s="19" t="str">
        <f>IF(Cadastro!$H34="","",Cadastro!$H34)</f>
        <v/>
      </c>
      <c r="C34" s="21" t="str">
        <f>IF(Cadastro!$B34="","",Cadastro!$B34)</f>
        <v/>
      </c>
      <c r="D34" s="21" t="str">
        <f>IF(Cadastro!$C34="","",Cadastro!$C34)</f>
        <v/>
      </c>
      <c r="E34" s="19" t="str">
        <f t="shared" si="0"/>
        <v/>
      </c>
      <c r="F34" s="23">
        <f>N(Cadastro!$I34)</f>
        <v>0</v>
      </c>
      <c r="G34" s="24">
        <f>N(Cadastro!$J34)</f>
        <v>0</v>
      </c>
      <c r="H34" s="24">
        <f>N(Cadastro!$K34)</f>
        <v>0</v>
      </c>
      <c r="I34" s="19" t="str">
        <f>IF(Cadastro!$L34="","",Cadastro!$L34)</f>
        <v/>
      </c>
      <c r="J34" s="21" t="str">
        <f t="shared" si="1"/>
        <v/>
      </c>
      <c r="K34" s="21" t="str">
        <f t="shared" si="2"/>
        <v/>
      </c>
      <c r="L34" s="24" t="str">
        <f t="shared" si="3"/>
        <v/>
      </c>
      <c r="M34" s="21" t="str">
        <f t="shared" si="4"/>
        <v/>
      </c>
      <c r="N34" s="21" t="str">
        <f t="shared" si="5"/>
        <v/>
      </c>
      <c r="O34" s="19" t="str">
        <f t="shared" si="6"/>
        <v/>
      </c>
    </row>
    <row r="35" spans="1:15" x14ac:dyDescent="0.3">
      <c r="A35" s="19" t="str">
        <f>IF(Cadastro!$G35="","",Cadastro!$G35)</f>
        <v/>
      </c>
      <c r="B35" s="19" t="str">
        <f>IF(Cadastro!$H35="","",Cadastro!$H35)</f>
        <v/>
      </c>
      <c r="C35" s="21" t="str">
        <f>IF(Cadastro!$B35="","",Cadastro!$B35)</f>
        <v/>
      </c>
      <c r="D35" s="21" t="str">
        <f>IF(Cadastro!$C35="","",Cadastro!$C35)</f>
        <v/>
      </c>
      <c r="E35" s="19" t="str">
        <f t="shared" si="0"/>
        <v/>
      </c>
      <c r="F35" s="23">
        <f>N(Cadastro!$I35)</f>
        <v>0</v>
      </c>
      <c r="G35" s="24">
        <f>N(Cadastro!$J35)</f>
        <v>0</v>
      </c>
      <c r="H35" s="24">
        <f>N(Cadastro!$K35)</f>
        <v>0</v>
      </c>
      <c r="I35" s="19" t="str">
        <f>IF(Cadastro!$L35="","",Cadastro!$L35)</f>
        <v/>
      </c>
      <c r="J35" s="21" t="str">
        <f t="shared" si="1"/>
        <v/>
      </c>
      <c r="K35" s="21" t="str">
        <f t="shared" si="2"/>
        <v/>
      </c>
      <c r="L35" s="24" t="str">
        <f t="shared" si="3"/>
        <v/>
      </c>
      <c r="M35" s="21" t="str">
        <f t="shared" si="4"/>
        <v/>
      </c>
      <c r="N35" s="21" t="str">
        <f t="shared" si="5"/>
        <v/>
      </c>
      <c r="O35" s="19" t="str">
        <f t="shared" si="6"/>
        <v/>
      </c>
    </row>
    <row r="36" spans="1:15" x14ac:dyDescent="0.3">
      <c r="A36" s="19" t="str">
        <f>IF(Cadastro!$G36="","",Cadastro!$G36)</f>
        <v/>
      </c>
      <c r="B36" s="19" t="str">
        <f>IF(Cadastro!$H36="","",Cadastro!$H36)</f>
        <v/>
      </c>
      <c r="C36" s="21" t="str">
        <f>IF(Cadastro!$B36="","",Cadastro!$B36)</f>
        <v/>
      </c>
      <c r="D36" s="21" t="str">
        <f>IF(Cadastro!$C36="","",Cadastro!$C36)</f>
        <v/>
      </c>
      <c r="E36" s="19" t="str">
        <f t="shared" si="0"/>
        <v/>
      </c>
      <c r="F36" s="23">
        <f>N(Cadastro!$I36)</f>
        <v>0</v>
      </c>
      <c r="G36" s="24">
        <f>N(Cadastro!$J36)</f>
        <v>0</v>
      </c>
      <c r="H36" s="24">
        <f>N(Cadastro!$K36)</f>
        <v>0</v>
      </c>
      <c r="I36" s="19" t="str">
        <f>IF(Cadastro!$L36="","",Cadastro!$L36)</f>
        <v/>
      </c>
      <c r="J36" s="21" t="str">
        <f t="shared" si="1"/>
        <v/>
      </c>
      <c r="K36" s="21" t="str">
        <f t="shared" si="2"/>
        <v/>
      </c>
      <c r="L36" s="24" t="str">
        <f t="shared" si="3"/>
        <v/>
      </c>
      <c r="M36" s="21" t="str">
        <f t="shared" si="4"/>
        <v/>
      </c>
      <c r="N36" s="21" t="str">
        <f t="shared" si="5"/>
        <v/>
      </c>
      <c r="O36" s="19" t="str">
        <f t="shared" si="6"/>
        <v/>
      </c>
    </row>
    <row r="37" spans="1:15" x14ac:dyDescent="0.3">
      <c r="A37" s="19" t="str">
        <f>IF(Cadastro!$G37="","",Cadastro!$G37)</f>
        <v/>
      </c>
      <c r="B37" s="19" t="str">
        <f>IF(Cadastro!$H37="","",Cadastro!$H37)</f>
        <v/>
      </c>
      <c r="C37" s="21" t="str">
        <f>IF(Cadastro!$B37="","",Cadastro!$B37)</f>
        <v/>
      </c>
      <c r="D37" s="21" t="str">
        <f>IF(Cadastro!$C37="","",Cadastro!$C37)</f>
        <v/>
      </c>
      <c r="E37" s="19" t="str">
        <f t="shared" ref="E37:E68" si="7">IF($D37="","",IFERROR(INDEX(Prod_Desc,MATCH($D37,Prod_Cod,0)),"PRODUTO NÃO CADASTRADO"))</f>
        <v/>
      </c>
      <c r="F37" s="23">
        <f>N(Cadastro!$I37)</f>
        <v>0</v>
      </c>
      <c r="G37" s="24">
        <f>N(Cadastro!$J37)</f>
        <v>0</v>
      </c>
      <c r="H37" s="24">
        <f>N(Cadastro!$K37)</f>
        <v>0</v>
      </c>
      <c r="I37" s="19" t="str">
        <f>IF(Cadastro!$L37="","",Cadastro!$L37)</f>
        <v/>
      </c>
      <c r="J37" s="21" t="str">
        <f t="shared" ref="J37:J68" si="8">IF($B37="","",SUMIFS(OC_Qtd,OC_SC,$B37,OC_Cham,$C37,OC_Prod,$D37))</f>
        <v/>
      </c>
      <c r="K37" s="21" t="str">
        <f t="shared" ref="K37:K68" si="9">IF($B37="","",N($F37)-N($J37))</f>
        <v/>
      </c>
      <c r="L37" s="24" t="str">
        <f t="shared" ref="L37:L68" si="10">IF($B37="","",IF(SUMPRODUCT(MAX((OC_SC=$B37)*(OC_Cham=$C37)*(OC_Prod=$D37)*N(OC_Data)))=0,"",SUMPRODUCT(MAX((OC_SC=$B37)*(OC_Cham=$C37)*(OC_Prod=$D37)*N(OC_Data)))))</f>
        <v/>
      </c>
      <c r="M37" s="21" t="str">
        <f t="shared" ref="M37:M68" si="11">IF(OR($B37="",N($H37)=0),"",IF(AND($K37&lt;=0,$L37&lt;&gt;""),MAX($L37-$H37,0),MAX(DataRef-$H37,0)))</f>
        <v/>
      </c>
      <c r="N37" s="21" t="str">
        <f t="shared" ref="N37:N68" si="12">IF($B37="","",IFERROR(INDEX(Etapa_SLA,MATCH("FLUXO DE SUPRIMENTOS",Lista_Etapas,0)),10))</f>
        <v/>
      </c>
      <c r="O37" s="19" t="str">
        <f t="shared" ref="O37:O68" si="13">IF($B37="","",IF(N($H37)=0,"AGUARDANDO ENVIO AO SUPRIMENTOS",IF($J37=0,IF($M37&gt;$N37,"EM COTAÇÃO - ATRASADA","EM COTAÇÃO"),IF($K37&gt;0,IF($M37&gt;$N37,"COMPRA PARCIAL - ATRASADA","COMPRA PARCIAL"),IF($K37&lt;0,"COMPRA ACIMA DA SC",IF($M37&gt;$N37,"CONCLUÍDA COM ATRASO","CONCLUÍDA NO PRAZO"))))))</f>
        <v/>
      </c>
    </row>
    <row r="38" spans="1:15" x14ac:dyDescent="0.3">
      <c r="A38" s="19" t="str">
        <f>IF(Cadastro!$G38="","",Cadastro!$G38)</f>
        <v/>
      </c>
      <c r="B38" s="19" t="str">
        <f>IF(Cadastro!$H38="","",Cadastro!$H38)</f>
        <v/>
      </c>
      <c r="C38" s="21" t="str">
        <f>IF(Cadastro!$B38="","",Cadastro!$B38)</f>
        <v/>
      </c>
      <c r="D38" s="21" t="str">
        <f>IF(Cadastro!$C38="","",Cadastro!$C38)</f>
        <v/>
      </c>
      <c r="E38" s="19" t="str">
        <f t="shared" si="7"/>
        <v/>
      </c>
      <c r="F38" s="23">
        <f>N(Cadastro!$I38)</f>
        <v>0</v>
      </c>
      <c r="G38" s="24">
        <f>N(Cadastro!$J38)</f>
        <v>0</v>
      </c>
      <c r="H38" s="24">
        <f>N(Cadastro!$K38)</f>
        <v>0</v>
      </c>
      <c r="I38" s="19" t="str">
        <f>IF(Cadastro!$L38="","",Cadastro!$L38)</f>
        <v/>
      </c>
      <c r="J38" s="21" t="str">
        <f t="shared" si="8"/>
        <v/>
      </c>
      <c r="K38" s="21" t="str">
        <f t="shared" si="9"/>
        <v/>
      </c>
      <c r="L38" s="24" t="str">
        <f t="shared" si="10"/>
        <v/>
      </c>
      <c r="M38" s="21" t="str">
        <f t="shared" si="11"/>
        <v/>
      </c>
      <c r="N38" s="21" t="str">
        <f t="shared" si="12"/>
        <v/>
      </c>
      <c r="O38" s="19" t="str">
        <f t="shared" si="13"/>
        <v/>
      </c>
    </row>
    <row r="39" spans="1:15" x14ac:dyDescent="0.3">
      <c r="A39" s="19" t="str">
        <f>IF(Cadastro!$G39="","",Cadastro!$G39)</f>
        <v/>
      </c>
      <c r="B39" s="19" t="str">
        <f>IF(Cadastro!$H39="","",Cadastro!$H39)</f>
        <v/>
      </c>
      <c r="C39" s="21" t="str">
        <f>IF(Cadastro!$B39="","",Cadastro!$B39)</f>
        <v/>
      </c>
      <c r="D39" s="21" t="str">
        <f>IF(Cadastro!$C39="","",Cadastro!$C39)</f>
        <v/>
      </c>
      <c r="E39" s="19" t="str">
        <f t="shared" si="7"/>
        <v/>
      </c>
      <c r="F39" s="23">
        <f>N(Cadastro!$I39)</f>
        <v>0</v>
      </c>
      <c r="G39" s="24">
        <f>N(Cadastro!$J39)</f>
        <v>0</v>
      </c>
      <c r="H39" s="24">
        <f>N(Cadastro!$K39)</f>
        <v>0</v>
      </c>
      <c r="I39" s="19" t="str">
        <f>IF(Cadastro!$L39="","",Cadastro!$L39)</f>
        <v/>
      </c>
      <c r="J39" s="21" t="str">
        <f t="shared" si="8"/>
        <v/>
      </c>
      <c r="K39" s="21" t="str">
        <f t="shared" si="9"/>
        <v/>
      </c>
      <c r="L39" s="24" t="str">
        <f t="shared" si="10"/>
        <v/>
      </c>
      <c r="M39" s="21" t="str">
        <f t="shared" si="11"/>
        <v/>
      </c>
      <c r="N39" s="21" t="str">
        <f t="shared" si="12"/>
        <v/>
      </c>
      <c r="O39" s="19" t="str">
        <f t="shared" si="13"/>
        <v/>
      </c>
    </row>
    <row r="40" spans="1:15" x14ac:dyDescent="0.3">
      <c r="A40" s="19" t="str">
        <f>IF(Cadastro!$G40="","",Cadastro!$G40)</f>
        <v/>
      </c>
      <c r="B40" s="19" t="str">
        <f>IF(Cadastro!$H40="","",Cadastro!$H40)</f>
        <v/>
      </c>
      <c r="C40" s="21" t="str">
        <f>IF(Cadastro!$B40="","",Cadastro!$B40)</f>
        <v/>
      </c>
      <c r="D40" s="21" t="str">
        <f>IF(Cadastro!$C40="","",Cadastro!$C40)</f>
        <v/>
      </c>
      <c r="E40" s="19" t="str">
        <f t="shared" si="7"/>
        <v/>
      </c>
      <c r="F40" s="23">
        <f>N(Cadastro!$I40)</f>
        <v>0</v>
      </c>
      <c r="G40" s="24">
        <f>N(Cadastro!$J40)</f>
        <v>0</v>
      </c>
      <c r="H40" s="24">
        <f>N(Cadastro!$K40)</f>
        <v>0</v>
      </c>
      <c r="I40" s="19" t="str">
        <f>IF(Cadastro!$L40="","",Cadastro!$L40)</f>
        <v/>
      </c>
      <c r="J40" s="21" t="str">
        <f t="shared" si="8"/>
        <v/>
      </c>
      <c r="K40" s="21" t="str">
        <f t="shared" si="9"/>
        <v/>
      </c>
      <c r="L40" s="24" t="str">
        <f t="shared" si="10"/>
        <v/>
      </c>
      <c r="M40" s="21" t="str">
        <f t="shared" si="11"/>
        <v/>
      </c>
      <c r="N40" s="21" t="str">
        <f t="shared" si="12"/>
        <v/>
      </c>
      <c r="O40" s="19" t="str">
        <f t="shared" si="13"/>
        <v/>
      </c>
    </row>
    <row r="41" spans="1:15" x14ac:dyDescent="0.3">
      <c r="A41" s="19" t="str">
        <f>IF(Cadastro!$G41="","",Cadastro!$G41)</f>
        <v/>
      </c>
      <c r="B41" s="19" t="str">
        <f>IF(Cadastro!$H41="","",Cadastro!$H41)</f>
        <v/>
      </c>
      <c r="C41" s="21" t="str">
        <f>IF(Cadastro!$B41="","",Cadastro!$B41)</f>
        <v/>
      </c>
      <c r="D41" s="21" t="str">
        <f>IF(Cadastro!$C41="","",Cadastro!$C41)</f>
        <v/>
      </c>
      <c r="E41" s="19" t="str">
        <f t="shared" si="7"/>
        <v/>
      </c>
      <c r="F41" s="23">
        <f>N(Cadastro!$I41)</f>
        <v>0</v>
      </c>
      <c r="G41" s="24">
        <f>N(Cadastro!$J41)</f>
        <v>0</v>
      </c>
      <c r="H41" s="24">
        <f>N(Cadastro!$K41)</f>
        <v>0</v>
      </c>
      <c r="I41" s="19" t="str">
        <f>IF(Cadastro!$L41="","",Cadastro!$L41)</f>
        <v/>
      </c>
      <c r="J41" s="21" t="str">
        <f t="shared" si="8"/>
        <v/>
      </c>
      <c r="K41" s="21" t="str">
        <f t="shared" si="9"/>
        <v/>
      </c>
      <c r="L41" s="24" t="str">
        <f t="shared" si="10"/>
        <v/>
      </c>
      <c r="M41" s="21" t="str">
        <f t="shared" si="11"/>
        <v/>
      </c>
      <c r="N41" s="21" t="str">
        <f t="shared" si="12"/>
        <v/>
      </c>
      <c r="O41" s="19" t="str">
        <f t="shared" si="13"/>
        <v/>
      </c>
    </row>
    <row r="42" spans="1:15" x14ac:dyDescent="0.3">
      <c r="A42" s="19" t="str">
        <f>IF(Cadastro!$G42="","",Cadastro!$G42)</f>
        <v/>
      </c>
      <c r="B42" s="19" t="str">
        <f>IF(Cadastro!$H42="","",Cadastro!$H42)</f>
        <v/>
      </c>
      <c r="C42" s="21" t="str">
        <f>IF(Cadastro!$B42="","",Cadastro!$B42)</f>
        <v/>
      </c>
      <c r="D42" s="21" t="str">
        <f>IF(Cadastro!$C42="","",Cadastro!$C42)</f>
        <v/>
      </c>
      <c r="E42" s="19" t="str">
        <f t="shared" si="7"/>
        <v/>
      </c>
      <c r="F42" s="23">
        <f>N(Cadastro!$I42)</f>
        <v>0</v>
      </c>
      <c r="G42" s="24">
        <f>N(Cadastro!$J42)</f>
        <v>0</v>
      </c>
      <c r="H42" s="24">
        <f>N(Cadastro!$K42)</f>
        <v>0</v>
      </c>
      <c r="I42" s="19" t="str">
        <f>IF(Cadastro!$L42="","",Cadastro!$L42)</f>
        <v/>
      </c>
      <c r="J42" s="21" t="str">
        <f t="shared" si="8"/>
        <v/>
      </c>
      <c r="K42" s="21" t="str">
        <f t="shared" si="9"/>
        <v/>
      </c>
      <c r="L42" s="24" t="str">
        <f t="shared" si="10"/>
        <v/>
      </c>
      <c r="M42" s="21" t="str">
        <f t="shared" si="11"/>
        <v/>
      </c>
      <c r="N42" s="21" t="str">
        <f t="shared" si="12"/>
        <v/>
      </c>
      <c r="O42" s="19" t="str">
        <f t="shared" si="13"/>
        <v/>
      </c>
    </row>
    <row r="43" spans="1:15" x14ac:dyDescent="0.3">
      <c r="A43" s="19" t="str">
        <f>IF(Cadastro!$G43="","",Cadastro!$G43)</f>
        <v/>
      </c>
      <c r="B43" s="19" t="str">
        <f>IF(Cadastro!$H43="","",Cadastro!$H43)</f>
        <v/>
      </c>
      <c r="C43" s="21" t="str">
        <f>IF(Cadastro!$B43="","",Cadastro!$B43)</f>
        <v/>
      </c>
      <c r="D43" s="21" t="str">
        <f>IF(Cadastro!$C43="","",Cadastro!$C43)</f>
        <v/>
      </c>
      <c r="E43" s="19" t="str">
        <f t="shared" si="7"/>
        <v/>
      </c>
      <c r="F43" s="23">
        <f>N(Cadastro!$I43)</f>
        <v>0</v>
      </c>
      <c r="G43" s="24">
        <f>N(Cadastro!$J43)</f>
        <v>0</v>
      </c>
      <c r="H43" s="24">
        <f>N(Cadastro!$K43)</f>
        <v>0</v>
      </c>
      <c r="I43" s="19" t="str">
        <f>IF(Cadastro!$L43="","",Cadastro!$L43)</f>
        <v/>
      </c>
      <c r="J43" s="21" t="str">
        <f t="shared" si="8"/>
        <v/>
      </c>
      <c r="K43" s="21" t="str">
        <f t="shared" si="9"/>
        <v/>
      </c>
      <c r="L43" s="24" t="str">
        <f t="shared" si="10"/>
        <v/>
      </c>
      <c r="M43" s="21" t="str">
        <f t="shared" si="11"/>
        <v/>
      </c>
      <c r="N43" s="21" t="str">
        <f t="shared" si="12"/>
        <v/>
      </c>
      <c r="O43" s="19" t="str">
        <f t="shared" si="13"/>
        <v/>
      </c>
    </row>
    <row r="44" spans="1:15" x14ac:dyDescent="0.3">
      <c r="A44" s="19" t="str">
        <f>IF(Cadastro!$G44="","",Cadastro!$G44)</f>
        <v/>
      </c>
      <c r="B44" s="19" t="str">
        <f>IF(Cadastro!$H44="","",Cadastro!$H44)</f>
        <v/>
      </c>
      <c r="C44" s="21" t="str">
        <f>IF(Cadastro!$B44="","",Cadastro!$B44)</f>
        <v/>
      </c>
      <c r="D44" s="21" t="str">
        <f>IF(Cadastro!$C44="","",Cadastro!$C44)</f>
        <v/>
      </c>
      <c r="E44" s="19" t="str">
        <f t="shared" si="7"/>
        <v/>
      </c>
      <c r="F44" s="23">
        <f>N(Cadastro!$I44)</f>
        <v>0</v>
      </c>
      <c r="G44" s="24">
        <f>N(Cadastro!$J44)</f>
        <v>0</v>
      </c>
      <c r="H44" s="24">
        <f>N(Cadastro!$K44)</f>
        <v>0</v>
      </c>
      <c r="I44" s="19" t="str">
        <f>IF(Cadastro!$L44="","",Cadastro!$L44)</f>
        <v/>
      </c>
      <c r="J44" s="21" t="str">
        <f t="shared" si="8"/>
        <v/>
      </c>
      <c r="K44" s="21" t="str">
        <f t="shared" si="9"/>
        <v/>
      </c>
      <c r="L44" s="24" t="str">
        <f t="shared" si="10"/>
        <v/>
      </c>
      <c r="M44" s="21" t="str">
        <f t="shared" si="11"/>
        <v/>
      </c>
      <c r="N44" s="21" t="str">
        <f t="shared" si="12"/>
        <v/>
      </c>
      <c r="O44" s="19" t="str">
        <f t="shared" si="13"/>
        <v/>
      </c>
    </row>
    <row r="45" spans="1:15" x14ac:dyDescent="0.3">
      <c r="A45" s="19" t="str">
        <f>IF(Cadastro!$G45="","",Cadastro!$G45)</f>
        <v/>
      </c>
      <c r="B45" s="19" t="str">
        <f>IF(Cadastro!$H45="","",Cadastro!$H45)</f>
        <v/>
      </c>
      <c r="C45" s="21" t="str">
        <f>IF(Cadastro!$B45="","",Cadastro!$B45)</f>
        <v/>
      </c>
      <c r="D45" s="21" t="str">
        <f>IF(Cadastro!$C45="","",Cadastro!$C45)</f>
        <v/>
      </c>
      <c r="E45" s="19" t="str">
        <f t="shared" si="7"/>
        <v/>
      </c>
      <c r="F45" s="23">
        <f>N(Cadastro!$I45)</f>
        <v>0</v>
      </c>
      <c r="G45" s="24">
        <f>N(Cadastro!$J45)</f>
        <v>0</v>
      </c>
      <c r="H45" s="24">
        <f>N(Cadastro!$K45)</f>
        <v>0</v>
      </c>
      <c r="I45" s="19" t="str">
        <f>IF(Cadastro!$L45="","",Cadastro!$L45)</f>
        <v/>
      </c>
      <c r="J45" s="21" t="str">
        <f t="shared" si="8"/>
        <v/>
      </c>
      <c r="K45" s="21" t="str">
        <f t="shared" si="9"/>
        <v/>
      </c>
      <c r="L45" s="24" t="str">
        <f t="shared" si="10"/>
        <v/>
      </c>
      <c r="M45" s="21" t="str">
        <f t="shared" si="11"/>
        <v/>
      </c>
      <c r="N45" s="21" t="str">
        <f t="shared" si="12"/>
        <v/>
      </c>
      <c r="O45" s="19" t="str">
        <f t="shared" si="13"/>
        <v/>
      </c>
    </row>
    <row r="46" spans="1:15" x14ac:dyDescent="0.3">
      <c r="A46" s="19" t="str">
        <f>IF(Cadastro!$G46="","",Cadastro!$G46)</f>
        <v/>
      </c>
      <c r="B46" s="19" t="str">
        <f>IF(Cadastro!$H46="","",Cadastro!$H46)</f>
        <v/>
      </c>
      <c r="C46" s="21" t="str">
        <f>IF(Cadastro!$B46="","",Cadastro!$B46)</f>
        <v/>
      </c>
      <c r="D46" s="21" t="str">
        <f>IF(Cadastro!$C46="","",Cadastro!$C46)</f>
        <v/>
      </c>
      <c r="E46" s="19" t="str">
        <f t="shared" si="7"/>
        <v/>
      </c>
      <c r="F46" s="23">
        <f>N(Cadastro!$I46)</f>
        <v>0</v>
      </c>
      <c r="G46" s="24">
        <f>N(Cadastro!$J46)</f>
        <v>0</v>
      </c>
      <c r="H46" s="24">
        <f>N(Cadastro!$K46)</f>
        <v>0</v>
      </c>
      <c r="I46" s="19" t="str">
        <f>IF(Cadastro!$L46="","",Cadastro!$L46)</f>
        <v/>
      </c>
      <c r="J46" s="21" t="str">
        <f t="shared" si="8"/>
        <v/>
      </c>
      <c r="K46" s="21" t="str">
        <f t="shared" si="9"/>
        <v/>
      </c>
      <c r="L46" s="24" t="str">
        <f t="shared" si="10"/>
        <v/>
      </c>
      <c r="M46" s="21" t="str">
        <f t="shared" si="11"/>
        <v/>
      </c>
      <c r="N46" s="21" t="str">
        <f t="shared" si="12"/>
        <v/>
      </c>
      <c r="O46" s="19" t="str">
        <f t="shared" si="13"/>
        <v/>
      </c>
    </row>
    <row r="47" spans="1:15" x14ac:dyDescent="0.3">
      <c r="A47" s="19" t="str">
        <f>IF(Cadastro!$G47="","",Cadastro!$G47)</f>
        <v/>
      </c>
      <c r="B47" s="19" t="str">
        <f>IF(Cadastro!$H47="","",Cadastro!$H47)</f>
        <v/>
      </c>
      <c r="C47" s="21" t="str">
        <f>IF(Cadastro!$B47="","",Cadastro!$B47)</f>
        <v/>
      </c>
      <c r="D47" s="21" t="str">
        <f>IF(Cadastro!$C47="","",Cadastro!$C47)</f>
        <v/>
      </c>
      <c r="E47" s="19" t="str">
        <f t="shared" si="7"/>
        <v/>
      </c>
      <c r="F47" s="23">
        <f>N(Cadastro!$I47)</f>
        <v>0</v>
      </c>
      <c r="G47" s="24">
        <f>N(Cadastro!$J47)</f>
        <v>0</v>
      </c>
      <c r="H47" s="24">
        <f>N(Cadastro!$K47)</f>
        <v>0</v>
      </c>
      <c r="I47" s="19" t="str">
        <f>IF(Cadastro!$L47="","",Cadastro!$L47)</f>
        <v/>
      </c>
      <c r="J47" s="21" t="str">
        <f t="shared" si="8"/>
        <v/>
      </c>
      <c r="K47" s="21" t="str">
        <f t="shared" si="9"/>
        <v/>
      </c>
      <c r="L47" s="24" t="str">
        <f t="shared" si="10"/>
        <v/>
      </c>
      <c r="M47" s="21" t="str">
        <f t="shared" si="11"/>
        <v/>
      </c>
      <c r="N47" s="21" t="str">
        <f t="shared" si="12"/>
        <v/>
      </c>
      <c r="O47" s="19" t="str">
        <f t="shared" si="13"/>
        <v/>
      </c>
    </row>
    <row r="48" spans="1:15" x14ac:dyDescent="0.3">
      <c r="A48" s="19" t="str">
        <f>IF(Cadastro!$G48="","",Cadastro!$G48)</f>
        <v/>
      </c>
      <c r="B48" s="19" t="str">
        <f>IF(Cadastro!$H48="","",Cadastro!$H48)</f>
        <v/>
      </c>
      <c r="C48" s="21" t="str">
        <f>IF(Cadastro!$B48="","",Cadastro!$B48)</f>
        <v/>
      </c>
      <c r="D48" s="21" t="str">
        <f>IF(Cadastro!$C48="","",Cadastro!$C48)</f>
        <v/>
      </c>
      <c r="E48" s="19" t="str">
        <f t="shared" si="7"/>
        <v/>
      </c>
      <c r="F48" s="23">
        <f>N(Cadastro!$I48)</f>
        <v>0</v>
      </c>
      <c r="G48" s="24">
        <f>N(Cadastro!$J48)</f>
        <v>0</v>
      </c>
      <c r="H48" s="24">
        <f>N(Cadastro!$K48)</f>
        <v>0</v>
      </c>
      <c r="I48" s="19" t="str">
        <f>IF(Cadastro!$L48="","",Cadastro!$L48)</f>
        <v/>
      </c>
      <c r="J48" s="21" t="str">
        <f t="shared" si="8"/>
        <v/>
      </c>
      <c r="K48" s="21" t="str">
        <f t="shared" si="9"/>
        <v/>
      </c>
      <c r="L48" s="24" t="str">
        <f t="shared" si="10"/>
        <v/>
      </c>
      <c r="M48" s="21" t="str">
        <f t="shared" si="11"/>
        <v/>
      </c>
      <c r="N48" s="21" t="str">
        <f t="shared" si="12"/>
        <v/>
      </c>
      <c r="O48" s="19" t="str">
        <f t="shared" si="13"/>
        <v/>
      </c>
    </row>
    <row r="49" spans="1:15" x14ac:dyDescent="0.3">
      <c r="A49" s="19" t="str">
        <f>IF(Cadastro!$G49="","",Cadastro!$G49)</f>
        <v/>
      </c>
      <c r="B49" s="19" t="str">
        <f>IF(Cadastro!$H49="","",Cadastro!$H49)</f>
        <v/>
      </c>
      <c r="C49" s="21" t="str">
        <f>IF(Cadastro!$B49="","",Cadastro!$B49)</f>
        <v/>
      </c>
      <c r="D49" s="21" t="str">
        <f>IF(Cadastro!$C49="","",Cadastro!$C49)</f>
        <v/>
      </c>
      <c r="E49" s="19" t="str">
        <f t="shared" si="7"/>
        <v/>
      </c>
      <c r="F49" s="23">
        <f>N(Cadastro!$I49)</f>
        <v>0</v>
      </c>
      <c r="G49" s="24">
        <f>N(Cadastro!$J49)</f>
        <v>0</v>
      </c>
      <c r="H49" s="24">
        <f>N(Cadastro!$K49)</f>
        <v>0</v>
      </c>
      <c r="I49" s="19" t="str">
        <f>IF(Cadastro!$L49="","",Cadastro!$L49)</f>
        <v/>
      </c>
      <c r="J49" s="21" t="str">
        <f t="shared" si="8"/>
        <v/>
      </c>
      <c r="K49" s="21" t="str">
        <f t="shared" si="9"/>
        <v/>
      </c>
      <c r="L49" s="24" t="str">
        <f t="shared" si="10"/>
        <v/>
      </c>
      <c r="M49" s="21" t="str">
        <f t="shared" si="11"/>
        <v/>
      </c>
      <c r="N49" s="21" t="str">
        <f t="shared" si="12"/>
        <v/>
      </c>
      <c r="O49" s="19" t="str">
        <f t="shared" si="13"/>
        <v/>
      </c>
    </row>
    <row r="50" spans="1:15" x14ac:dyDescent="0.3">
      <c r="A50" s="19" t="str">
        <f>IF(Cadastro!$G50="","",Cadastro!$G50)</f>
        <v/>
      </c>
      <c r="B50" s="19" t="str">
        <f>IF(Cadastro!$H50="","",Cadastro!$H50)</f>
        <v/>
      </c>
      <c r="C50" s="21" t="str">
        <f>IF(Cadastro!$B50="","",Cadastro!$B50)</f>
        <v/>
      </c>
      <c r="D50" s="21" t="str">
        <f>IF(Cadastro!$C50="","",Cadastro!$C50)</f>
        <v/>
      </c>
      <c r="E50" s="19" t="str">
        <f t="shared" si="7"/>
        <v/>
      </c>
      <c r="F50" s="23">
        <f>N(Cadastro!$I50)</f>
        <v>0</v>
      </c>
      <c r="G50" s="24">
        <f>N(Cadastro!$J50)</f>
        <v>0</v>
      </c>
      <c r="H50" s="24">
        <f>N(Cadastro!$K50)</f>
        <v>0</v>
      </c>
      <c r="I50" s="19" t="str">
        <f>IF(Cadastro!$L50="","",Cadastro!$L50)</f>
        <v/>
      </c>
      <c r="J50" s="21" t="str">
        <f t="shared" si="8"/>
        <v/>
      </c>
      <c r="K50" s="21" t="str">
        <f t="shared" si="9"/>
        <v/>
      </c>
      <c r="L50" s="24" t="str">
        <f t="shared" si="10"/>
        <v/>
      </c>
      <c r="M50" s="21" t="str">
        <f t="shared" si="11"/>
        <v/>
      </c>
      <c r="N50" s="21" t="str">
        <f t="shared" si="12"/>
        <v/>
      </c>
      <c r="O50" s="19" t="str">
        <f t="shared" si="13"/>
        <v/>
      </c>
    </row>
    <row r="51" spans="1:15" x14ac:dyDescent="0.3">
      <c r="A51" s="19" t="str">
        <f>IF(Cadastro!$G51="","",Cadastro!$G51)</f>
        <v/>
      </c>
      <c r="B51" s="19" t="str">
        <f>IF(Cadastro!$H51="","",Cadastro!$H51)</f>
        <v/>
      </c>
      <c r="C51" s="21" t="str">
        <f>IF(Cadastro!$B51="","",Cadastro!$B51)</f>
        <v/>
      </c>
      <c r="D51" s="21" t="str">
        <f>IF(Cadastro!$C51="","",Cadastro!$C51)</f>
        <v/>
      </c>
      <c r="E51" s="19" t="str">
        <f t="shared" si="7"/>
        <v/>
      </c>
      <c r="F51" s="23">
        <f>N(Cadastro!$I51)</f>
        <v>0</v>
      </c>
      <c r="G51" s="24">
        <f>N(Cadastro!$J51)</f>
        <v>0</v>
      </c>
      <c r="H51" s="24">
        <f>N(Cadastro!$K51)</f>
        <v>0</v>
      </c>
      <c r="I51" s="19" t="str">
        <f>IF(Cadastro!$L51="","",Cadastro!$L51)</f>
        <v/>
      </c>
      <c r="J51" s="21" t="str">
        <f t="shared" si="8"/>
        <v/>
      </c>
      <c r="K51" s="21" t="str">
        <f t="shared" si="9"/>
        <v/>
      </c>
      <c r="L51" s="24" t="str">
        <f t="shared" si="10"/>
        <v/>
      </c>
      <c r="M51" s="21" t="str">
        <f t="shared" si="11"/>
        <v/>
      </c>
      <c r="N51" s="21" t="str">
        <f t="shared" si="12"/>
        <v/>
      </c>
      <c r="O51" s="19" t="str">
        <f t="shared" si="13"/>
        <v/>
      </c>
    </row>
    <row r="52" spans="1:15" x14ac:dyDescent="0.3">
      <c r="A52" s="19" t="str">
        <f>IF(Cadastro!$G52="","",Cadastro!$G52)</f>
        <v/>
      </c>
      <c r="B52" s="19" t="str">
        <f>IF(Cadastro!$H52="","",Cadastro!$H52)</f>
        <v/>
      </c>
      <c r="C52" s="21" t="str">
        <f>IF(Cadastro!$B52="","",Cadastro!$B52)</f>
        <v/>
      </c>
      <c r="D52" s="21" t="str">
        <f>IF(Cadastro!$C52="","",Cadastro!$C52)</f>
        <v/>
      </c>
      <c r="E52" s="19" t="str">
        <f t="shared" si="7"/>
        <v/>
      </c>
      <c r="F52" s="23">
        <f>N(Cadastro!$I52)</f>
        <v>0</v>
      </c>
      <c r="G52" s="24">
        <f>N(Cadastro!$J52)</f>
        <v>0</v>
      </c>
      <c r="H52" s="24">
        <f>N(Cadastro!$K52)</f>
        <v>0</v>
      </c>
      <c r="I52" s="19" t="str">
        <f>IF(Cadastro!$L52="","",Cadastro!$L52)</f>
        <v/>
      </c>
      <c r="J52" s="21" t="str">
        <f t="shared" si="8"/>
        <v/>
      </c>
      <c r="K52" s="21" t="str">
        <f t="shared" si="9"/>
        <v/>
      </c>
      <c r="L52" s="24" t="str">
        <f t="shared" si="10"/>
        <v/>
      </c>
      <c r="M52" s="21" t="str">
        <f t="shared" si="11"/>
        <v/>
      </c>
      <c r="N52" s="21" t="str">
        <f t="shared" si="12"/>
        <v/>
      </c>
      <c r="O52" s="19" t="str">
        <f t="shared" si="13"/>
        <v/>
      </c>
    </row>
    <row r="53" spans="1:15" x14ac:dyDescent="0.3">
      <c r="A53" s="19" t="str">
        <f>IF(Cadastro!$G53="","",Cadastro!$G53)</f>
        <v/>
      </c>
      <c r="B53" s="19" t="str">
        <f>IF(Cadastro!$H53="","",Cadastro!$H53)</f>
        <v/>
      </c>
      <c r="C53" s="21" t="str">
        <f>IF(Cadastro!$B53="","",Cadastro!$B53)</f>
        <v/>
      </c>
      <c r="D53" s="21" t="str">
        <f>IF(Cadastro!$C53="","",Cadastro!$C53)</f>
        <v/>
      </c>
      <c r="E53" s="19" t="str">
        <f t="shared" si="7"/>
        <v/>
      </c>
      <c r="F53" s="23">
        <f>N(Cadastro!$I53)</f>
        <v>0</v>
      </c>
      <c r="G53" s="24">
        <f>N(Cadastro!$J53)</f>
        <v>0</v>
      </c>
      <c r="H53" s="24">
        <f>N(Cadastro!$K53)</f>
        <v>0</v>
      </c>
      <c r="I53" s="19" t="str">
        <f>IF(Cadastro!$L53="","",Cadastro!$L53)</f>
        <v/>
      </c>
      <c r="J53" s="21" t="str">
        <f t="shared" si="8"/>
        <v/>
      </c>
      <c r="K53" s="21" t="str">
        <f t="shared" si="9"/>
        <v/>
      </c>
      <c r="L53" s="24" t="str">
        <f t="shared" si="10"/>
        <v/>
      </c>
      <c r="M53" s="21" t="str">
        <f t="shared" si="11"/>
        <v/>
      </c>
      <c r="N53" s="21" t="str">
        <f t="shared" si="12"/>
        <v/>
      </c>
      <c r="O53" s="19" t="str">
        <f t="shared" si="13"/>
        <v/>
      </c>
    </row>
    <row r="54" spans="1:15" x14ac:dyDescent="0.3">
      <c r="A54" s="19" t="str">
        <f>IF(Cadastro!$G54="","",Cadastro!$G54)</f>
        <v/>
      </c>
      <c r="B54" s="19" t="str">
        <f>IF(Cadastro!$H54="","",Cadastro!$H54)</f>
        <v/>
      </c>
      <c r="C54" s="21" t="str">
        <f>IF(Cadastro!$B54="","",Cadastro!$B54)</f>
        <v/>
      </c>
      <c r="D54" s="21" t="str">
        <f>IF(Cadastro!$C54="","",Cadastro!$C54)</f>
        <v/>
      </c>
      <c r="E54" s="19" t="str">
        <f t="shared" si="7"/>
        <v/>
      </c>
      <c r="F54" s="23">
        <f>N(Cadastro!$I54)</f>
        <v>0</v>
      </c>
      <c r="G54" s="24">
        <f>N(Cadastro!$J54)</f>
        <v>0</v>
      </c>
      <c r="H54" s="24">
        <f>N(Cadastro!$K54)</f>
        <v>0</v>
      </c>
      <c r="I54" s="19" t="str">
        <f>IF(Cadastro!$L54="","",Cadastro!$L54)</f>
        <v/>
      </c>
      <c r="J54" s="21" t="str">
        <f t="shared" si="8"/>
        <v/>
      </c>
      <c r="K54" s="21" t="str">
        <f t="shared" si="9"/>
        <v/>
      </c>
      <c r="L54" s="24" t="str">
        <f t="shared" si="10"/>
        <v/>
      </c>
      <c r="M54" s="21" t="str">
        <f t="shared" si="11"/>
        <v/>
      </c>
      <c r="N54" s="21" t="str">
        <f t="shared" si="12"/>
        <v/>
      </c>
      <c r="O54" s="19" t="str">
        <f t="shared" si="13"/>
        <v/>
      </c>
    </row>
    <row r="55" spans="1:15" x14ac:dyDescent="0.3">
      <c r="A55" s="19" t="str">
        <f>IF(Cadastro!$G55="","",Cadastro!$G55)</f>
        <v/>
      </c>
      <c r="B55" s="19" t="str">
        <f>IF(Cadastro!$H55="","",Cadastro!$H55)</f>
        <v/>
      </c>
      <c r="C55" s="21" t="str">
        <f>IF(Cadastro!$B55="","",Cadastro!$B55)</f>
        <v/>
      </c>
      <c r="D55" s="21" t="str">
        <f>IF(Cadastro!$C55="","",Cadastro!$C55)</f>
        <v/>
      </c>
      <c r="E55" s="19" t="str">
        <f t="shared" si="7"/>
        <v/>
      </c>
      <c r="F55" s="23">
        <f>N(Cadastro!$I55)</f>
        <v>0</v>
      </c>
      <c r="G55" s="24">
        <f>N(Cadastro!$J55)</f>
        <v>0</v>
      </c>
      <c r="H55" s="24">
        <f>N(Cadastro!$K55)</f>
        <v>0</v>
      </c>
      <c r="I55" s="19" t="str">
        <f>IF(Cadastro!$L55="","",Cadastro!$L55)</f>
        <v/>
      </c>
      <c r="J55" s="21" t="str">
        <f t="shared" si="8"/>
        <v/>
      </c>
      <c r="K55" s="21" t="str">
        <f t="shared" si="9"/>
        <v/>
      </c>
      <c r="L55" s="24" t="str">
        <f t="shared" si="10"/>
        <v/>
      </c>
      <c r="M55" s="21" t="str">
        <f t="shared" si="11"/>
        <v/>
      </c>
      <c r="N55" s="21" t="str">
        <f t="shared" si="12"/>
        <v/>
      </c>
      <c r="O55" s="19" t="str">
        <f t="shared" si="13"/>
        <v/>
      </c>
    </row>
    <row r="56" spans="1:15" x14ac:dyDescent="0.3">
      <c r="A56" s="19" t="str">
        <f>IF(Cadastro!$G56="","",Cadastro!$G56)</f>
        <v/>
      </c>
      <c r="B56" s="19" t="str">
        <f>IF(Cadastro!$H56="","",Cadastro!$H56)</f>
        <v/>
      </c>
      <c r="C56" s="21" t="str">
        <f>IF(Cadastro!$B56="","",Cadastro!$B56)</f>
        <v/>
      </c>
      <c r="D56" s="21" t="str">
        <f>IF(Cadastro!$C56="","",Cadastro!$C56)</f>
        <v/>
      </c>
      <c r="E56" s="19" t="str">
        <f t="shared" si="7"/>
        <v/>
      </c>
      <c r="F56" s="23">
        <f>N(Cadastro!$I56)</f>
        <v>0</v>
      </c>
      <c r="G56" s="24">
        <f>N(Cadastro!$J56)</f>
        <v>0</v>
      </c>
      <c r="H56" s="24">
        <f>N(Cadastro!$K56)</f>
        <v>0</v>
      </c>
      <c r="I56" s="19" t="str">
        <f>IF(Cadastro!$L56="","",Cadastro!$L56)</f>
        <v/>
      </c>
      <c r="J56" s="21" t="str">
        <f t="shared" si="8"/>
        <v/>
      </c>
      <c r="K56" s="21" t="str">
        <f t="shared" si="9"/>
        <v/>
      </c>
      <c r="L56" s="24" t="str">
        <f t="shared" si="10"/>
        <v/>
      </c>
      <c r="M56" s="21" t="str">
        <f t="shared" si="11"/>
        <v/>
      </c>
      <c r="N56" s="21" t="str">
        <f t="shared" si="12"/>
        <v/>
      </c>
      <c r="O56" s="19" t="str">
        <f t="shared" si="13"/>
        <v/>
      </c>
    </row>
    <row r="57" spans="1:15" x14ac:dyDescent="0.3">
      <c r="A57" s="19" t="str">
        <f>IF(Cadastro!$G57="","",Cadastro!$G57)</f>
        <v/>
      </c>
      <c r="B57" s="19" t="str">
        <f>IF(Cadastro!$H57="","",Cadastro!$H57)</f>
        <v/>
      </c>
      <c r="C57" s="21" t="str">
        <f>IF(Cadastro!$B57="","",Cadastro!$B57)</f>
        <v/>
      </c>
      <c r="D57" s="21" t="str">
        <f>IF(Cadastro!$C57="","",Cadastro!$C57)</f>
        <v/>
      </c>
      <c r="E57" s="19" t="str">
        <f t="shared" si="7"/>
        <v/>
      </c>
      <c r="F57" s="23">
        <f>N(Cadastro!$I57)</f>
        <v>0</v>
      </c>
      <c r="G57" s="24">
        <f>N(Cadastro!$J57)</f>
        <v>0</v>
      </c>
      <c r="H57" s="24">
        <f>N(Cadastro!$K57)</f>
        <v>0</v>
      </c>
      <c r="I57" s="19" t="str">
        <f>IF(Cadastro!$L57="","",Cadastro!$L57)</f>
        <v/>
      </c>
      <c r="J57" s="21" t="str">
        <f t="shared" si="8"/>
        <v/>
      </c>
      <c r="K57" s="21" t="str">
        <f t="shared" si="9"/>
        <v/>
      </c>
      <c r="L57" s="24" t="str">
        <f t="shared" si="10"/>
        <v/>
      </c>
      <c r="M57" s="21" t="str">
        <f t="shared" si="11"/>
        <v/>
      </c>
      <c r="N57" s="21" t="str">
        <f t="shared" si="12"/>
        <v/>
      </c>
      <c r="O57" s="19" t="str">
        <f t="shared" si="13"/>
        <v/>
      </c>
    </row>
    <row r="58" spans="1:15" x14ac:dyDescent="0.3">
      <c r="A58" s="19" t="str">
        <f>IF(Cadastro!$G58="","",Cadastro!$G58)</f>
        <v/>
      </c>
      <c r="B58" s="19" t="str">
        <f>IF(Cadastro!$H58="","",Cadastro!$H58)</f>
        <v/>
      </c>
      <c r="C58" s="21" t="str">
        <f>IF(Cadastro!$B58="","",Cadastro!$B58)</f>
        <v/>
      </c>
      <c r="D58" s="21" t="str">
        <f>IF(Cadastro!$C58="","",Cadastro!$C58)</f>
        <v/>
      </c>
      <c r="E58" s="19" t="str">
        <f t="shared" si="7"/>
        <v/>
      </c>
      <c r="F58" s="23">
        <f>N(Cadastro!$I58)</f>
        <v>0</v>
      </c>
      <c r="G58" s="24">
        <f>N(Cadastro!$J58)</f>
        <v>0</v>
      </c>
      <c r="H58" s="24">
        <f>N(Cadastro!$K58)</f>
        <v>0</v>
      </c>
      <c r="I58" s="19" t="str">
        <f>IF(Cadastro!$L58="","",Cadastro!$L58)</f>
        <v/>
      </c>
      <c r="J58" s="21" t="str">
        <f t="shared" si="8"/>
        <v/>
      </c>
      <c r="K58" s="21" t="str">
        <f t="shared" si="9"/>
        <v/>
      </c>
      <c r="L58" s="24" t="str">
        <f t="shared" si="10"/>
        <v/>
      </c>
      <c r="M58" s="21" t="str">
        <f t="shared" si="11"/>
        <v/>
      </c>
      <c r="N58" s="21" t="str">
        <f t="shared" si="12"/>
        <v/>
      </c>
      <c r="O58" s="19" t="str">
        <f t="shared" si="13"/>
        <v/>
      </c>
    </row>
    <row r="59" spans="1:15" x14ac:dyDescent="0.3">
      <c r="A59" s="19" t="str">
        <f>IF(Cadastro!$G59="","",Cadastro!$G59)</f>
        <v/>
      </c>
      <c r="B59" s="19" t="str">
        <f>IF(Cadastro!$H59="","",Cadastro!$H59)</f>
        <v/>
      </c>
      <c r="C59" s="21" t="str">
        <f>IF(Cadastro!$B59="","",Cadastro!$B59)</f>
        <v/>
      </c>
      <c r="D59" s="21" t="str">
        <f>IF(Cadastro!$C59="","",Cadastro!$C59)</f>
        <v/>
      </c>
      <c r="E59" s="19" t="str">
        <f t="shared" si="7"/>
        <v/>
      </c>
      <c r="F59" s="23">
        <f>N(Cadastro!$I59)</f>
        <v>0</v>
      </c>
      <c r="G59" s="24">
        <f>N(Cadastro!$J59)</f>
        <v>0</v>
      </c>
      <c r="H59" s="24">
        <f>N(Cadastro!$K59)</f>
        <v>0</v>
      </c>
      <c r="I59" s="19" t="str">
        <f>IF(Cadastro!$L59="","",Cadastro!$L59)</f>
        <v/>
      </c>
      <c r="J59" s="21" t="str">
        <f t="shared" si="8"/>
        <v/>
      </c>
      <c r="K59" s="21" t="str">
        <f t="shared" si="9"/>
        <v/>
      </c>
      <c r="L59" s="24" t="str">
        <f t="shared" si="10"/>
        <v/>
      </c>
      <c r="M59" s="21" t="str">
        <f t="shared" si="11"/>
        <v/>
      </c>
      <c r="N59" s="21" t="str">
        <f t="shared" si="12"/>
        <v/>
      </c>
      <c r="O59" s="19" t="str">
        <f t="shared" si="13"/>
        <v/>
      </c>
    </row>
    <row r="60" spans="1:15" x14ac:dyDescent="0.3">
      <c r="A60" s="19" t="str">
        <f>IF(Cadastro!$G60="","",Cadastro!$G60)</f>
        <v/>
      </c>
      <c r="B60" s="19" t="str">
        <f>IF(Cadastro!$H60="","",Cadastro!$H60)</f>
        <v/>
      </c>
      <c r="C60" s="21" t="str">
        <f>IF(Cadastro!$B60="","",Cadastro!$B60)</f>
        <v/>
      </c>
      <c r="D60" s="21" t="str">
        <f>IF(Cadastro!$C60="","",Cadastro!$C60)</f>
        <v/>
      </c>
      <c r="E60" s="19" t="str">
        <f t="shared" si="7"/>
        <v/>
      </c>
      <c r="F60" s="23">
        <f>N(Cadastro!$I60)</f>
        <v>0</v>
      </c>
      <c r="G60" s="24">
        <f>N(Cadastro!$J60)</f>
        <v>0</v>
      </c>
      <c r="H60" s="24">
        <f>N(Cadastro!$K60)</f>
        <v>0</v>
      </c>
      <c r="I60" s="19" t="str">
        <f>IF(Cadastro!$L60="","",Cadastro!$L60)</f>
        <v/>
      </c>
      <c r="J60" s="21" t="str">
        <f t="shared" si="8"/>
        <v/>
      </c>
      <c r="K60" s="21" t="str">
        <f t="shared" si="9"/>
        <v/>
      </c>
      <c r="L60" s="24" t="str">
        <f t="shared" si="10"/>
        <v/>
      </c>
      <c r="M60" s="21" t="str">
        <f t="shared" si="11"/>
        <v/>
      </c>
      <c r="N60" s="21" t="str">
        <f t="shared" si="12"/>
        <v/>
      </c>
      <c r="O60" s="19" t="str">
        <f t="shared" si="13"/>
        <v/>
      </c>
    </row>
    <row r="61" spans="1:15" x14ac:dyDescent="0.3">
      <c r="A61" s="19" t="str">
        <f>IF(Cadastro!$G61="","",Cadastro!$G61)</f>
        <v/>
      </c>
      <c r="B61" s="19" t="str">
        <f>IF(Cadastro!$H61="","",Cadastro!$H61)</f>
        <v/>
      </c>
      <c r="C61" s="21" t="str">
        <f>IF(Cadastro!$B61="","",Cadastro!$B61)</f>
        <v/>
      </c>
      <c r="D61" s="21" t="str">
        <f>IF(Cadastro!$C61="","",Cadastro!$C61)</f>
        <v/>
      </c>
      <c r="E61" s="19" t="str">
        <f t="shared" si="7"/>
        <v/>
      </c>
      <c r="F61" s="23">
        <f>N(Cadastro!$I61)</f>
        <v>0</v>
      </c>
      <c r="G61" s="24">
        <f>N(Cadastro!$J61)</f>
        <v>0</v>
      </c>
      <c r="H61" s="24">
        <f>N(Cadastro!$K61)</f>
        <v>0</v>
      </c>
      <c r="I61" s="19" t="str">
        <f>IF(Cadastro!$L61="","",Cadastro!$L61)</f>
        <v/>
      </c>
      <c r="J61" s="21" t="str">
        <f t="shared" si="8"/>
        <v/>
      </c>
      <c r="K61" s="21" t="str">
        <f t="shared" si="9"/>
        <v/>
      </c>
      <c r="L61" s="24" t="str">
        <f t="shared" si="10"/>
        <v/>
      </c>
      <c r="M61" s="21" t="str">
        <f t="shared" si="11"/>
        <v/>
      </c>
      <c r="N61" s="21" t="str">
        <f t="shared" si="12"/>
        <v/>
      </c>
      <c r="O61" s="19" t="str">
        <f t="shared" si="13"/>
        <v/>
      </c>
    </row>
    <row r="62" spans="1:15" x14ac:dyDescent="0.3">
      <c r="A62" s="19" t="str">
        <f>IF(Cadastro!$G62="","",Cadastro!$G62)</f>
        <v/>
      </c>
      <c r="B62" s="19" t="str">
        <f>IF(Cadastro!$H62="","",Cadastro!$H62)</f>
        <v/>
      </c>
      <c r="C62" s="21" t="str">
        <f>IF(Cadastro!$B62="","",Cadastro!$B62)</f>
        <v/>
      </c>
      <c r="D62" s="21" t="str">
        <f>IF(Cadastro!$C62="","",Cadastro!$C62)</f>
        <v/>
      </c>
      <c r="E62" s="19" t="str">
        <f t="shared" si="7"/>
        <v/>
      </c>
      <c r="F62" s="23">
        <f>N(Cadastro!$I62)</f>
        <v>0</v>
      </c>
      <c r="G62" s="24">
        <f>N(Cadastro!$J62)</f>
        <v>0</v>
      </c>
      <c r="H62" s="24">
        <f>N(Cadastro!$K62)</f>
        <v>0</v>
      </c>
      <c r="I62" s="19" t="str">
        <f>IF(Cadastro!$L62="","",Cadastro!$L62)</f>
        <v/>
      </c>
      <c r="J62" s="21" t="str">
        <f t="shared" si="8"/>
        <v/>
      </c>
      <c r="K62" s="21" t="str">
        <f t="shared" si="9"/>
        <v/>
      </c>
      <c r="L62" s="24" t="str">
        <f t="shared" si="10"/>
        <v/>
      </c>
      <c r="M62" s="21" t="str">
        <f t="shared" si="11"/>
        <v/>
      </c>
      <c r="N62" s="21" t="str">
        <f t="shared" si="12"/>
        <v/>
      </c>
      <c r="O62" s="19" t="str">
        <f t="shared" si="13"/>
        <v/>
      </c>
    </row>
    <row r="63" spans="1:15" x14ac:dyDescent="0.3">
      <c r="A63" s="19" t="str">
        <f>IF(Cadastro!$G63="","",Cadastro!$G63)</f>
        <v/>
      </c>
      <c r="B63" s="19" t="str">
        <f>IF(Cadastro!$H63="","",Cadastro!$H63)</f>
        <v/>
      </c>
      <c r="C63" s="21" t="str">
        <f>IF(Cadastro!$B63="","",Cadastro!$B63)</f>
        <v/>
      </c>
      <c r="D63" s="21" t="str">
        <f>IF(Cadastro!$C63="","",Cadastro!$C63)</f>
        <v/>
      </c>
      <c r="E63" s="19" t="str">
        <f t="shared" si="7"/>
        <v/>
      </c>
      <c r="F63" s="23">
        <f>N(Cadastro!$I63)</f>
        <v>0</v>
      </c>
      <c r="G63" s="24">
        <f>N(Cadastro!$J63)</f>
        <v>0</v>
      </c>
      <c r="H63" s="24">
        <f>N(Cadastro!$K63)</f>
        <v>0</v>
      </c>
      <c r="I63" s="19" t="str">
        <f>IF(Cadastro!$L63="","",Cadastro!$L63)</f>
        <v/>
      </c>
      <c r="J63" s="21" t="str">
        <f t="shared" si="8"/>
        <v/>
      </c>
      <c r="K63" s="21" t="str">
        <f t="shared" si="9"/>
        <v/>
      </c>
      <c r="L63" s="24" t="str">
        <f t="shared" si="10"/>
        <v/>
      </c>
      <c r="M63" s="21" t="str">
        <f t="shared" si="11"/>
        <v/>
      </c>
      <c r="N63" s="21" t="str">
        <f t="shared" si="12"/>
        <v/>
      </c>
      <c r="O63" s="19" t="str">
        <f t="shared" si="13"/>
        <v/>
      </c>
    </row>
    <row r="64" spans="1:15" x14ac:dyDescent="0.3">
      <c r="A64" s="19" t="str">
        <f>IF(Cadastro!$G64="","",Cadastro!$G64)</f>
        <v/>
      </c>
      <c r="B64" s="19" t="str">
        <f>IF(Cadastro!$H64="","",Cadastro!$H64)</f>
        <v/>
      </c>
      <c r="C64" s="21" t="str">
        <f>IF(Cadastro!$B64="","",Cadastro!$B64)</f>
        <v/>
      </c>
      <c r="D64" s="21" t="str">
        <f>IF(Cadastro!$C64="","",Cadastro!$C64)</f>
        <v/>
      </c>
      <c r="E64" s="19" t="str">
        <f t="shared" si="7"/>
        <v/>
      </c>
      <c r="F64" s="23">
        <f>N(Cadastro!$I64)</f>
        <v>0</v>
      </c>
      <c r="G64" s="24">
        <f>N(Cadastro!$J64)</f>
        <v>0</v>
      </c>
      <c r="H64" s="24">
        <f>N(Cadastro!$K64)</f>
        <v>0</v>
      </c>
      <c r="I64" s="19" t="str">
        <f>IF(Cadastro!$L64="","",Cadastro!$L64)</f>
        <v/>
      </c>
      <c r="J64" s="21" t="str">
        <f t="shared" si="8"/>
        <v/>
      </c>
      <c r="K64" s="21" t="str">
        <f t="shared" si="9"/>
        <v/>
      </c>
      <c r="L64" s="24" t="str">
        <f t="shared" si="10"/>
        <v/>
      </c>
      <c r="M64" s="21" t="str">
        <f t="shared" si="11"/>
        <v/>
      </c>
      <c r="N64" s="21" t="str">
        <f t="shared" si="12"/>
        <v/>
      </c>
      <c r="O64" s="19" t="str">
        <f t="shared" si="13"/>
        <v/>
      </c>
    </row>
    <row r="65" spans="1:15" x14ac:dyDescent="0.3">
      <c r="A65" s="19" t="str">
        <f>IF(Cadastro!$G65="","",Cadastro!$G65)</f>
        <v/>
      </c>
      <c r="B65" s="19" t="str">
        <f>IF(Cadastro!$H65="","",Cadastro!$H65)</f>
        <v/>
      </c>
      <c r="C65" s="21" t="str">
        <f>IF(Cadastro!$B65="","",Cadastro!$B65)</f>
        <v/>
      </c>
      <c r="D65" s="21" t="str">
        <f>IF(Cadastro!$C65="","",Cadastro!$C65)</f>
        <v/>
      </c>
      <c r="E65" s="19" t="str">
        <f t="shared" si="7"/>
        <v/>
      </c>
      <c r="F65" s="23">
        <f>N(Cadastro!$I65)</f>
        <v>0</v>
      </c>
      <c r="G65" s="24">
        <f>N(Cadastro!$J65)</f>
        <v>0</v>
      </c>
      <c r="H65" s="24">
        <f>N(Cadastro!$K65)</f>
        <v>0</v>
      </c>
      <c r="I65" s="19" t="str">
        <f>IF(Cadastro!$L65="","",Cadastro!$L65)</f>
        <v/>
      </c>
      <c r="J65" s="21" t="str">
        <f t="shared" si="8"/>
        <v/>
      </c>
      <c r="K65" s="21" t="str">
        <f t="shared" si="9"/>
        <v/>
      </c>
      <c r="L65" s="24" t="str">
        <f t="shared" si="10"/>
        <v/>
      </c>
      <c r="M65" s="21" t="str">
        <f t="shared" si="11"/>
        <v/>
      </c>
      <c r="N65" s="21" t="str">
        <f t="shared" si="12"/>
        <v/>
      </c>
      <c r="O65" s="19" t="str">
        <f t="shared" si="13"/>
        <v/>
      </c>
    </row>
    <row r="66" spans="1:15" x14ac:dyDescent="0.3">
      <c r="A66" s="19" t="str">
        <f>IF(Cadastro!$G66="","",Cadastro!$G66)</f>
        <v/>
      </c>
      <c r="B66" s="19" t="str">
        <f>IF(Cadastro!$H66="","",Cadastro!$H66)</f>
        <v/>
      </c>
      <c r="C66" s="21" t="str">
        <f>IF(Cadastro!$B66="","",Cadastro!$B66)</f>
        <v/>
      </c>
      <c r="D66" s="21" t="str">
        <f>IF(Cadastro!$C66="","",Cadastro!$C66)</f>
        <v/>
      </c>
      <c r="E66" s="19" t="str">
        <f t="shared" si="7"/>
        <v/>
      </c>
      <c r="F66" s="23">
        <f>N(Cadastro!$I66)</f>
        <v>0</v>
      </c>
      <c r="G66" s="24">
        <f>N(Cadastro!$J66)</f>
        <v>0</v>
      </c>
      <c r="H66" s="24">
        <f>N(Cadastro!$K66)</f>
        <v>0</v>
      </c>
      <c r="I66" s="19" t="str">
        <f>IF(Cadastro!$L66="","",Cadastro!$L66)</f>
        <v/>
      </c>
      <c r="J66" s="21" t="str">
        <f t="shared" si="8"/>
        <v/>
      </c>
      <c r="K66" s="21" t="str">
        <f t="shared" si="9"/>
        <v/>
      </c>
      <c r="L66" s="24" t="str">
        <f t="shared" si="10"/>
        <v/>
      </c>
      <c r="M66" s="21" t="str">
        <f t="shared" si="11"/>
        <v/>
      </c>
      <c r="N66" s="21" t="str">
        <f t="shared" si="12"/>
        <v/>
      </c>
      <c r="O66" s="19" t="str">
        <f t="shared" si="13"/>
        <v/>
      </c>
    </row>
    <row r="67" spans="1:15" x14ac:dyDescent="0.3">
      <c r="A67" s="19" t="str">
        <f>IF(Cadastro!$G67="","",Cadastro!$G67)</f>
        <v/>
      </c>
      <c r="B67" s="19" t="str">
        <f>IF(Cadastro!$H67="","",Cadastro!$H67)</f>
        <v/>
      </c>
      <c r="C67" s="21" t="str">
        <f>IF(Cadastro!$B67="","",Cadastro!$B67)</f>
        <v/>
      </c>
      <c r="D67" s="21" t="str">
        <f>IF(Cadastro!$C67="","",Cadastro!$C67)</f>
        <v/>
      </c>
      <c r="E67" s="19" t="str">
        <f t="shared" si="7"/>
        <v/>
      </c>
      <c r="F67" s="23">
        <f>N(Cadastro!$I67)</f>
        <v>0</v>
      </c>
      <c r="G67" s="24">
        <f>N(Cadastro!$J67)</f>
        <v>0</v>
      </c>
      <c r="H67" s="24">
        <f>N(Cadastro!$K67)</f>
        <v>0</v>
      </c>
      <c r="I67" s="19" t="str">
        <f>IF(Cadastro!$L67="","",Cadastro!$L67)</f>
        <v/>
      </c>
      <c r="J67" s="21" t="str">
        <f t="shared" si="8"/>
        <v/>
      </c>
      <c r="K67" s="21" t="str">
        <f t="shared" si="9"/>
        <v/>
      </c>
      <c r="L67" s="24" t="str">
        <f t="shared" si="10"/>
        <v/>
      </c>
      <c r="M67" s="21" t="str">
        <f t="shared" si="11"/>
        <v/>
      </c>
      <c r="N67" s="21" t="str">
        <f t="shared" si="12"/>
        <v/>
      </c>
      <c r="O67" s="19" t="str">
        <f t="shared" si="13"/>
        <v/>
      </c>
    </row>
    <row r="68" spans="1:15" x14ac:dyDescent="0.3">
      <c r="A68" s="19" t="str">
        <f>IF(Cadastro!$G68="","",Cadastro!$G68)</f>
        <v/>
      </c>
      <c r="B68" s="19" t="str">
        <f>IF(Cadastro!$H68="","",Cadastro!$H68)</f>
        <v/>
      </c>
      <c r="C68" s="21" t="str">
        <f>IF(Cadastro!$B68="","",Cadastro!$B68)</f>
        <v/>
      </c>
      <c r="D68" s="21" t="str">
        <f>IF(Cadastro!$C68="","",Cadastro!$C68)</f>
        <v/>
      </c>
      <c r="E68" s="19" t="str">
        <f t="shared" si="7"/>
        <v/>
      </c>
      <c r="F68" s="23">
        <f>N(Cadastro!$I68)</f>
        <v>0</v>
      </c>
      <c r="G68" s="24">
        <f>N(Cadastro!$J68)</f>
        <v>0</v>
      </c>
      <c r="H68" s="24">
        <f>N(Cadastro!$K68)</f>
        <v>0</v>
      </c>
      <c r="I68" s="19" t="str">
        <f>IF(Cadastro!$L68="","",Cadastro!$L68)</f>
        <v/>
      </c>
      <c r="J68" s="21" t="str">
        <f t="shared" si="8"/>
        <v/>
      </c>
      <c r="K68" s="21" t="str">
        <f t="shared" si="9"/>
        <v/>
      </c>
      <c r="L68" s="24" t="str">
        <f t="shared" si="10"/>
        <v/>
      </c>
      <c r="M68" s="21" t="str">
        <f t="shared" si="11"/>
        <v/>
      </c>
      <c r="N68" s="21" t="str">
        <f t="shared" si="12"/>
        <v/>
      </c>
      <c r="O68" s="19" t="str">
        <f t="shared" si="13"/>
        <v/>
      </c>
    </row>
    <row r="69" spans="1:15" x14ac:dyDescent="0.3">
      <c r="A69" s="19" t="str">
        <f>IF(Cadastro!$G69="","",Cadastro!$G69)</f>
        <v/>
      </c>
      <c r="B69" s="19" t="str">
        <f>IF(Cadastro!$H69="","",Cadastro!$H69)</f>
        <v/>
      </c>
      <c r="C69" s="21" t="str">
        <f>IF(Cadastro!$B69="","",Cadastro!$B69)</f>
        <v/>
      </c>
      <c r="D69" s="21" t="str">
        <f>IF(Cadastro!$C69="","",Cadastro!$C69)</f>
        <v/>
      </c>
      <c r="E69" s="19" t="str">
        <f t="shared" ref="E69:E100" si="14">IF($D69="","",IFERROR(INDEX(Prod_Desc,MATCH($D69,Prod_Cod,0)),"PRODUTO NÃO CADASTRADO"))</f>
        <v/>
      </c>
      <c r="F69" s="23">
        <f>N(Cadastro!$I69)</f>
        <v>0</v>
      </c>
      <c r="G69" s="24">
        <f>N(Cadastro!$J69)</f>
        <v>0</v>
      </c>
      <c r="H69" s="24">
        <f>N(Cadastro!$K69)</f>
        <v>0</v>
      </c>
      <c r="I69" s="19" t="str">
        <f>IF(Cadastro!$L69="","",Cadastro!$L69)</f>
        <v/>
      </c>
      <c r="J69" s="21" t="str">
        <f t="shared" ref="J69:J100" si="15">IF($B69="","",SUMIFS(OC_Qtd,OC_SC,$B69,OC_Cham,$C69,OC_Prod,$D69))</f>
        <v/>
      </c>
      <c r="K69" s="21" t="str">
        <f t="shared" ref="K69:K100" si="16">IF($B69="","",N($F69)-N($J69))</f>
        <v/>
      </c>
      <c r="L69" s="24" t="str">
        <f t="shared" ref="L69:L100" si="17">IF($B69="","",IF(SUMPRODUCT(MAX((OC_SC=$B69)*(OC_Cham=$C69)*(OC_Prod=$D69)*N(OC_Data)))=0,"",SUMPRODUCT(MAX((OC_SC=$B69)*(OC_Cham=$C69)*(OC_Prod=$D69)*N(OC_Data)))))</f>
        <v/>
      </c>
      <c r="M69" s="21" t="str">
        <f t="shared" ref="M69:M100" si="18">IF(OR($B69="",N($H69)=0),"",IF(AND($K69&lt;=0,$L69&lt;&gt;""),MAX($L69-$H69,0),MAX(DataRef-$H69,0)))</f>
        <v/>
      </c>
      <c r="N69" s="21" t="str">
        <f t="shared" ref="N69:N100" si="19">IF($B69="","",IFERROR(INDEX(Etapa_SLA,MATCH("FLUXO DE SUPRIMENTOS",Lista_Etapas,0)),10))</f>
        <v/>
      </c>
      <c r="O69" s="19" t="str">
        <f t="shared" ref="O69:O100" si="20">IF($B69="","",IF(N($H69)=0,"AGUARDANDO ENVIO AO SUPRIMENTOS",IF($J69=0,IF($M69&gt;$N69,"EM COTAÇÃO - ATRASADA","EM COTAÇÃO"),IF($K69&gt;0,IF($M69&gt;$N69,"COMPRA PARCIAL - ATRASADA","COMPRA PARCIAL"),IF($K69&lt;0,"COMPRA ACIMA DA SC",IF($M69&gt;$N69,"CONCLUÍDA COM ATRASO","CONCLUÍDA NO PRAZO"))))))</f>
        <v/>
      </c>
    </row>
    <row r="70" spans="1:15" x14ac:dyDescent="0.3">
      <c r="A70" s="19" t="str">
        <f>IF(Cadastro!$G70="","",Cadastro!$G70)</f>
        <v/>
      </c>
      <c r="B70" s="19" t="str">
        <f>IF(Cadastro!$H70="","",Cadastro!$H70)</f>
        <v/>
      </c>
      <c r="C70" s="21" t="str">
        <f>IF(Cadastro!$B70="","",Cadastro!$B70)</f>
        <v/>
      </c>
      <c r="D70" s="21" t="str">
        <f>IF(Cadastro!$C70="","",Cadastro!$C70)</f>
        <v/>
      </c>
      <c r="E70" s="19" t="str">
        <f t="shared" si="14"/>
        <v/>
      </c>
      <c r="F70" s="23">
        <f>N(Cadastro!$I70)</f>
        <v>0</v>
      </c>
      <c r="G70" s="24">
        <f>N(Cadastro!$J70)</f>
        <v>0</v>
      </c>
      <c r="H70" s="24">
        <f>N(Cadastro!$K70)</f>
        <v>0</v>
      </c>
      <c r="I70" s="19" t="str">
        <f>IF(Cadastro!$L70="","",Cadastro!$L70)</f>
        <v/>
      </c>
      <c r="J70" s="21" t="str">
        <f t="shared" si="15"/>
        <v/>
      </c>
      <c r="K70" s="21" t="str">
        <f t="shared" si="16"/>
        <v/>
      </c>
      <c r="L70" s="24" t="str">
        <f t="shared" si="17"/>
        <v/>
      </c>
      <c r="M70" s="21" t="str">
        <f t="shared" si="18"/>
        <v/>
      </c>
      <c r="N70" s="21" t="str">
        <f t="shared" si="19"/>
        <v/>
      </c>
      <c r="O70" s="19" t="str">
        <f t="shared" si="20"/>
        <v/>
      </c>
    </row>
    <row r="71" spans="1:15" x14ac:dyDescent="0.3">
      <c r="A71" s="19" t="str">
        <f>IF(Cadastro!$G71="","",Cadastro!$G71)</f>
        <v/>
      </c>
      <c r="B71" s="19" t="str">
        <f>IF(Cadastro!$H71="","",Cadastro!$H71)</f>
        <v/>
      </c>
      <c r="C71" s="21" t="str">
        <f>IF(Cadastro!$B71="","",Cadastro!$B71)</f>
        <v/>
      </c>
      <c r="D71" s="21" t="str">
        <f>IF(Cadastro!$C71="","",Cadastro!$C71)</f>
        <v/>
      </c>
      <c r="E71" s="19" t="str">
        <f t="shared" si="14"/>
        <v/>
      </c>
      <c r="F71" s="23">
        <f>N(Cadastro!$I71)</f>
        <v>0</v>
      </c>
      <c r="G71" s="24">
        <f>N(Cadastro!$J71)</f>
        <v>0</v>
      </c>
      <c r="H71" s="24">
        <f>N(Cadastro!$K71)</f>
        <v>0</v>
      </c>
      <c r="I71" s="19" t="str">
        <f>IF(Cadastro!$L71="","",Cadastro!$L71)</f>
        <v/>
      </c>
      <c r="J71" s="21" t="str">
        <f t="shared" si="15"/>
        <v/>
      </c>
      <c r="K71" s="21" t="str">
        <f t="shared" si="16"/>
        <v/>
      </c>
      <c r="L71" s="24" t="str">
        <f t="shared" si="17"/>
        <v/>
      </c>
      <c r="M71" s="21" t="str">
        <f t="shared" si="18"/>
        <v/>
      </c>
      <c r="N71" s="21" t="str">
        <f t="shared" si="19"/>
        <v/>
      </c>
      <c r="O71" s="19" t="str">
        <f t="shared" si="20"/>
        <v/>
      </c>
    </row>
    <row r="72" spans="1:15" x14ac:dyDescent="0.3">
      <c r="A72" s="19" t="str">
        <f>IF(Cadastro!$G72="","",Cadastro!$G72)</f>
        <v/>
      </c>
      <c r="B72" s="19" t="str">
        <f>IF(Cadastro!$H72="","",Cadastro!$H72)</f>
        <v/>
      </c>
      <c r="C72" s="21" t="str">
        <f>IF(Cadastro!$B72="","",Cadastro!$B72)</f>
        <v/>
      </c>
      <c r="D72" s="21" t="str">
        <f>IF(Cadastro!$C72="","",Cadastro!$C72)</f>
        <v/>
      </c>
      <c r="E72" s="19" t="str">
        <f t="shared" si="14"/>
        <v/>
      </c>
      <c r="F72" s="23">
        <f>N(Cadastro!$I72)</f>
        <v>0</v>
      </c>
      <c r="G72" s="24">
        <f>N(Cadastro!$J72)</f>
        <v>0</v>
      </c>
      <c r="H72" s="24">
        <f>N(Cadastro!$K72)</f>
        <v>0</v>
      </c>
      <c r="I72" s="19" t="str">
        <f>IF(Cadastro!$L72="","",Cadastro!$L72)</f>
        <v/>
      </c>
      <c r="J72" s="21" t="str">
        <f t="shared" si="15"/>
        <v/>
      </c>
      <c r="K72" s="21" t="str">
        <f t="shared" si="16"/>
        <v/>
      </c>
      <c r="L72" s="24" t="str">
        <f t="shared" si="17"/>
        <v/>
      </c>
      <c r="M72" s="21" t="str">
        <f t="shared" si="18"/>
        <v/>
      </c>
      <c r="N72" s="21" t="str">
        <f t="shared" si="19"/>
        <v/>
      </c>
      <c r="O72" s="19" t="str">
        <f t="shared" si="20"/>
        <v/>
      </c>
    </row>
    <row r="73" spans="1:15" x14ac:dyDescent="0.3">
      <c r="A73" s="19" t="str">
        <f>IF(Cadastro!$G73="","",Cadastro!$G73)</f>
        <v/>
      </c>
      <c r="B73" s="19" t="str">
        <f>IF(Cadastro!$H73="","",Cadastro!$H73)</f>
        <v/>
      </c>
      <c r="C73" s="21" t="str">
        <f>IF(Cadastro!$B73="","",Cadastro!$B73)</f>
        <v/>
      </c>
      <c r="D73" s="21" t="str">
        <f>IF(Cadastro!$C73="","",Cadastro!$C73)</f>
        <v/>
      </c>
      <c r="E73" s="19" t="str">
        <f t="shared" si="14"/>
        <v/>
      </c>
      <c r="F73" s="23">
        <f>N(Cadastro!$I73)</f>
        <v>0</v>
      </c>
      <c r="G73" s="24">
        <f>N(Cadastro!$J73)</f>
        <v>0</v>
      </c>
      <c r="H73" s="24">
        <f>N(Cadastro!$K73)</f>
        <v>0</v>
      </c>
      <c r="I73" s="19" t="str">
        <f>IF(Cadastro!$L73="","",Cadastro!$L73)</f>
        <v/>
      </c>
      <c r="J73" s="21" t="str">
        <f t="shared" si="15"/>
        <v/>
      </c>
      <c r="K73" s="21" t="str">
        <f t="shared" si="16"/>
        <v/>
      </c>
      <c r="L73" s="24" t="str">
        <f t="shared" si="17"/>
        <v/>
      </c>
      <c r="M73" s="21" t="str">
        <f t="shared" si="18"/>
        <v/>
      </c>
      <c r="N73" s="21" t="str">
        <f t="shared" si="19"/>
        <v/>
      </c>
      <c r="O73" s="19" t="str">
        <f t="shared" si="20"/>
        <v/>
      </c>
    </row>
    <row r="74" spans="1:15" x14ac:dyDescent="0.3">
      <c r="A74" s="19" t="str">
        <f>IF(Cadastro!$G74="","",Cadastro!$G74)</f>
        <v/>
      </c>
      <c r="B74" s="19" t="str">
        <f>IF(Cadastro!$H74="","",Cadastro!$H74)</f>
        <v/>
      </c>
      <c r="C74" s="21" t="str">
        <f>IF(Cadastro!$B74="","",Cadastro!$B74)</f>
        <v/>
      </c>
      <c r="D74" s="21" t="str">
        <f>IF(Cadastro!$C74="","",Cadastro!$C74)</f>
        <v/>
      </c>
      <c r="E74" s="19" t="str">
        <f t="shared" si="14"/>
        <v/>
      </c>
      <c r="F74" s="23">
        <f>N(Cadastro!$I74)</f>
        <v>0</v>
      </c>
      <c r="G74" s="24">
        <f>N(Cadastro!$J74)</f>
        <v>0</v>
      </c>
      <c r="H74" s="24">
        <f>N(Cadastro!$K74)</f>
        <v>0</v>
      </c>
      <c r="I74" s="19" t="str">
        <f>IF(Cadastro!$L74="","",Cadastro!$L74)</f>
        <v/>
      </c>
      <c r="J74" s="21" t="str">
        <f t="shared" si="15"/>
        <v/>
      </c>
      <c r="K74" s="21" t="str">
        <f t="shared" si="16"/>
        <v/>
      </c>
      <c r="L74" s="24" t="str">
        <f t="shared" si="17"/>
        <v/>
      </c>
      <c r="M74" s="21" t="str">
        <f t="shared" si="18"/>
        <v/>
      </c>
      <c r="N74" s="21" t="str">
        <f t="shared" si="19"/>
        <v/>
      </c>
      <c r="O74" s="19" t="str">
        <f t="shared" si="20"/>
        <v/>
      </c>
    </row>
    <row r="75" spans="1:15" x14ac:dyDescent="0.3">
      <c r="A75" s="19" t="str">
        <f>IF(Cadastro!$G75="","",Cadastro!$G75)</f>
        <v/>
      </c>
      <c r="B75" s="19" t="str">
        <f>IF(Cadastro!$H75="","",Cadastro!$H75)</f>
        <v/>
      </c>
      <c r="C75" s="21" t="str">
        <f>IF(Cadastro!$B75="","",Cadastro!$B75)</f>
        <v/>
      </c>
      <c r="D75" s="21" t="str">
        <f>IF(Cadastro!$C75="","",Cadastro!$C75)</f>
        <v/>
      </c>
      <c r="E75" s="19" t="str">
        <f t="shared" si="14"/>
        <v/>
      </c>
      <c r="F75" s="23">
        <f>N(Cadastro!$I75)</f>
        <v>0</v>
      </c>
      <c r="G75" s="24">
        <f>N(Cadastro!$J75)</f>
        <v>0</v>
      </c>
      <c r="H75" s="24">
        <f>N(Cadastro!$K75)</f>
        <v>0</v>
      </c>
      <c r="I75" s="19" t="str">
        <f>IF(Cadastro!$L75="","",Cadastro!$L75)</f>
        <v/>
      </c>
      <c r="J75" s="21" t="str">
        <f t="shared" si="15"/>
        <v/>
      </c>
      <c r="K75" s="21" t="str">
        <f t="shared" si="16"/>
        <v/>
      </c>
      <c r="L75" s="24" t="str">
        <f t="shared" si="17"/>
        <v/>
      </c>
      <c r="M75" s="21" t="str">
        <f t="shared" si="18"/>
        <v/>
      </c>
      <c r="N75" s="21" t="str">
        <f t="shared" si="19"/>
        <v/>
      </c>
      <c r="O75" s="19" t="str">
        <f t="shared" si="20"/>
        <v/>
      </c>
    </row>
    <row r="76" spans="1:15" x14ac:dyDescent="0.3">
      <c r="A76" s="19" t="str">
        <f>IF(Cadastro!$G76="","",Cadastro!$G76)</f>
        <v/>
      </c>
      <c r="B76" s="19" t="str">
        <f>IF(Cadastro!$H76="","",Cadastro!$H76)</f>
        <v/>
      </c>
      <c r="C76" s="21" t="str">
        <f>IF(Cadastro!$B76="","",Cadastro!$B76)</f>
        <v/>
      </c>
      <c r="D76" s="21" t="str">
        <f>IF(Cadastro!$C76="","",Cadastro!$C76)</f>
        <v/>
      </c>
      <c r="E76" s="19" t="str">
        <f t="shared" si="14"/>
        <v/>
      </c>
      <c r="F76" s="23">
        <f>N(Cadastro!$I76)</f>
        <v>0</v>
      </c>
      <c r="G76" s="24">
        <f>N(Cadastro!$J76)</f>
        <v>0</v>
      </c>
      <c r="H76" s="24">
        <f>N(Cadastro!$K76)</f>
        <v>0</v>
      </c>
      <c r="I76" s="19" t="str">
        <f>IF(Cadastro!$L76="","",Cadastro!$L76)</f>
        <v/>
      </c>
      <c r="J76" s="21" t="str">
        <f t="shared" si="15"/>
        <v/>
      </c>
      <c r="K76" s="21" t="str">
        <f t="shared" si="16"/>
        <v/>
      </c>
      <c r="L76" s="24" t="str">
        <f t="shared" si="17"/>
        <v/>
      </c>
      <c r="M76" s="21" t="str">
        <f t="shared" si="18"/>
        <v/>
      </c>
      <c r="N76" s="21" t="str">
        <f t="shared" si="19"/>
        <v/>
      </c>
      <c r="O76" s="19" t="str">
        <f t="shared" si="20"/>
        <v/>
      </c>
    </row>
    <row r="77" spans="1:15" x14ac:dyDescent="0.3">
      <c r="A77" s="19" t="str">
        <f>IF(Cadastro!$G77="","",Cadastro!$G77)</f>
        <v/>
      </c>
      <c r="B77" s="19" t="str">
        <f>IF(Cadastro!$H77="","",Cadastro!$H77)</f>
        <v/>
      </c>
      <c r="C77" s="21" t="str">
        <f>IF(Cadastro!$B77="","",Cadastro!$B77)</f>
        <v/>
      </c>
      <c r="D77" s="21" t="str">
        <f>IF(Cadastro!$C77="","",Cadastro!$C77)</f>
        <v/>
      </c>
      <c r="E77" s="19" t="str">
        <f t="shared" si="14"/>
        <v/>
      </c>
      <c r="F77" s="23">
        <f>N(Cadastro!$I77)</f>
        <v>0</v>
      </c>
      <c r="G77" s="24">
        <f>N(Cadastro!$J77)</f>
        <v>0</v>
      </c>
      <c r="H77" s="24">
        <f>N(Cadastro!$K77)</f>
        <v>0</v>
      </c>
      <c r="I77" s="19" t="str">
        <f>IF(Cadastro!$L77="","",Cadastro!$L77)</f>
        <v/>
      </c>
      <c r="J77" s="21" t="str">
        <f t="shared" si="15"/>
        <v/>
      </c>
      <c r="K77" s="21" t="str">
        <f t="shared" si="16"/>
        <v/>
      </c>
      <c r="L77" s="24" t="str">
        <f t="shared" si="17"/>
        <v/>
      </c>
      <c r="M77" s="21" t="str">
        <f t="shared" si="18"/>
        <v/>
      </c>
      <c r="N77" s="21" t="str">
        <f t="shared" si="19"/>
        <v/>
      </c>
      <c r="O77" s="19" t="str">
        <f t="shared" si="20"/>
        <v/>
      </c>
    </row>
    <row r="78" spans="1:15" x14ac:dyDescent="0.3">
      <c r="A78" s="19" t="str">
        <f>IF(Cadastro!$G78="","",Cadastro!$G78)</f>
        <v/>
      </c>
      <c r="B78" s="19" t="str">
        <f>IF(Cadastro!$H78="","",Cadastro!$H78)</f>
        <v/>
      </c>
      <c r="C78" s="21" t="str">
        <f>IF(Cadastro!$B78="","",Cadastro!$B78)</f>
        <v/>
      </c>
      <c r="D78" s="21" t="str">
        <f>IF(Cadastro!$C78="","",Cadastro!$C78)</f>
        <v/>
      </c>
      <c r="E78" s="19" t="str">
        <f t="shared" si="14"/>
        <v/>
      </c>
      <c r="F78" s="23">
        <f>N(Cadastro!$I78)</f>
        <v>0</v>
      </c>
      <c r="G78" s="24">
        <f>N(Cadastro!$J78)</f>
        <v>0</v>
      </c>
      <c r="H78" s="24">
        <f>N(Cadastro!$K78)</f>
        <v>0</v>
      </c>
      <c r="I78" s="19" t="str">
        <f>IF(Cadastro!$L78="","",Cadastro!$L78)</f>
        <v/>
      </c>
      <c r="J78" s="21" t="str">
        <f t="shared" si="15"/>
        <v/>
      </c>
      <c r="K78" s="21" t="str">
        <f t="shared" si="16"/>
        <v/>
      </c>
      <c r="L78" s="24" t="str">
        <f t="shared" si="17"/>
        <v/>
      </c>
      <c r="M78" s="21" t="str">
        <f t="shared" si="18"/>
        <v/>
      </c>
      <c r="N78" s="21" t="str">
        <f t="shared" si="19"/>
        <v/>
      </c>
      <c r="O78" s="19" t="str">
        <f t="shared" si="20"/>
        <v/>
      </c>
    </row>
    <row r="79" spans="1:15" x14ac:dyDescent="0.3">
      <c r="A79" s="19" t="str">
        <f>IF(Cadastro!$G79="","",Cadastro!$G79)</f>
        <v/>
      </c>
      <c r="B79" s="19" t="str">
        <f>IF(Cadastro!$H79="","",Cadastro!$H79)</f>
        <v/>
      </c>
      <c r="C79" s="21" t="str">
        <f>IF(Cadastro!$B79="","",Cadastro!$B79)</f>
        <v/>
      </c>
      <c r="D79" s="21" t="str">
        <f>IF(Cadastro!$C79="","",Cadastro!$C79)</f>
        <v/>
      </c>
      <c r="E79" s="19" t="str">
        <f t="shared" si="14"/>
        <v/>
      </c>
      <c r="F79" s="23">
        <f>N(Cadastro!$I79)</f>
        <v>0</v>
      </c>
      <c r="G79" s="24">
        <f>N(Cadastro!$J79)</f>
        <v>0</v>
      </c>
      <c r="H79" s="24">
        <f>N(Cadastro!$K79)</f>
        <v>0</v>
      </c>
      <c r="I79" s="19" t="str">
        <f>IF(Cadastro!$L79="","",Cadastro!$L79)</f>
        <v/>
      </c>
      <c r="J79" s="21" t="str">
        <f t="shared" si="15"/>
        <v/>
      </c>
      <c r="K79" s="21" t="str">
        <f t="shared" si="16"/>
        <v/>
      </c>
      <c r="L79" s="24" t="str">
        <f t="shared" si="17"/>
        <v/>
      </c>
      <c r="M79" s="21" t="str">
        <f t="shared" si="18"/>
        <v/>
      </c>
      <c r="N79" s="21" t="str">
        <f t="shared" si="19"/>
        <v/>
      </c>
      <c r="O79" s="19" t="str">
        <f t="shared" si="20"/>
        <v/>
      </c>
    </row>
    <row r="80" spans="1:15" x14ac:dyDescent="0.3">
      <c r="A80" s="19" t="str">
        <f>IF(Cadastro!$G80="","",Cadastro!$G80)</f>
        <v/>
      </c>
      <c r="B80" s="19" t="str">
        <f>IF(Cadastro!$H80="","",Cadastro!$H80)</f>
        <v/>
      </c>
      <c r="C80" s="21" t="str">
        <f>IF(Cadastro!$B80="","",Cadastro!$B80)</f>
        <v/>
      </c>
      <c r="D80" s="21" t="str">
        <f>IF(Cadastro!$C80="","",Cadastro!$C80)</f>
        <v/>
      </c>
      <c r="E80" s="19" t="str">
        <f t="shared" si="14"/>
        <v/>
      </c>
      <c r="F80" s="23">
        <f>N(Cadastro!$I80)</f>
        <v>0</v>
      </c>
      <c r="G80" s="24">
        <f>N(Cadastro!$J80)</f>
        <v>0</v>
      </c>
      <c r="H80" s="24">
        <f>N(Cadastro!$K80)</f>
        <v>0</v>
      </c>
      <c r="I80" s="19" t="str">
        <f>IF(Cadastro!$L80="","",Cadastro!$L80)</f>
        <v/>
      </c>
      <c r="J80" s="21" t="str">
        <f t="shared" si="15"/>
        <v/>
      </c>
      <c r="K80" s="21" t="str">
        <f t="shared" si="16"/>
        <v/>
      </c>
      <c r="L80" s="24" t="str">
        <f t="shared" si="17"/>
        <v/>
      </c>
      <c r="M80" s="21" t="str">
        <f t="shared" si="18"/>
        <v/>
      </c>
      <c r="N80" s="21" t="str">
        <f t="shared" si="19"/>
        <v/>
      </c>
      <c r="O80" s="19" t="str">
        <f t="shared" si="20"/>
        <v/>
      </c>
    </row>
    <row r="81" spans="1:15" x14ac:dyDescent="0.3">
      <c r="A81" s="19" t="str">
        <f>IF(Cadastro!$G81="","",Cadastro!$G81)</f>
        <v/>
      </c>
      <c r="B81" s="19" t="str">
        <f>IF(Cadastro!$H81="","",Cadastro!$H81)</f>
        <v/>
      </c>
      <c r="C81" s="21" t="str">
        <f>IF(Cadastro!$B81="","",Cadastro!$B81)</f>
        <v/>
      </c>
      <c r="D81" s="21" t="str">
        <f>IF(Cadastro!$C81="","",Cadastro!$C81)</f>
        <v/>
      </c>
      <c r="E81" s="19" t="str">
        <f t="shared" si="14"/>
        <v/>
      </c>
      <c r="F81" s="23">
        <f>N(Cadastro!$I81)</f>
        <v>0</v>
      </c>
      <c r="G81" s="24">
        <f>N(Cadastro!$J81)</f>
        <v>0</v>
      </c>
      <c r="H81" s="24">
        <f>N(Cadastro!$K81)</f>
        <v>0</v>
      </c>
      <c r="I81" s="19" t="str">
        <f>IF(Cadastro!$L81="","",Cadastro!$L81)</f>
        <v/>
      </c>
      <c r="J81" s="21" t="str">
        <f t="shared" si="15"/>
        <v/>
      </c>
      <c r="K81" s="21" t="str">
        <f t="shared" si="16"/>
        <v/>
      </c>
      <c r="L81" s="24" t="str">
        <f t="shared" si="17"/>
        <v/>
      </c>
      <c r="M81" s="21" t="str">
        <f t="shared" si="18"/>
        <v/>
      </c>
      <c r="N81" s="21" t="str">
        <f t="shared" si="19"/>
        <v/>
      </c>
      <c r="O81" s="19" t="str">
        <f t="shared" si="20"/>
        <v/>
      </c>
    </row>
    <row r="82" spans="1:15" x14ac:dyDescent="0.3">
      <c r="A82" s="19" t="str">
        <f>IF(Cadastro!$G82="","",Cadastro!$G82)</f>
        <v/>
      </c>
      <c r="B82" s="19" t="str">
        <f>IF(Cadastro!$H82="","",Cadastro!$H82)</f>
        <v/>
      </c>
      <c r="C82" s="21" t="str">
        <f>IF(Cadastro!$B82="","",Cadastro!$B82)</f>
        <v/>
      </c>
      <c r="D82" s="21" t="str">
        <f>IF(Cadastro!$C82="","",Cadastro!$C82)</f>
        <v/>
      </c>
      <c r="E82" s="19" t="str">
        <f t="shared" si="14"/>
        <v/>
      </c>
      <c r="F82" s="23">
        <f>N(Cadastro!$I82)</f>
        <v>0</v>
      </c>
      <c r="G82" s="24">
        <f>N(Cadastro!$J82)</f>
        <v>0</v>
      </c>
      <c r="H82" s="24">
        <f>N(Cadastro!$K82)</f>
        <v>0</v>
      </c>
      <c r="I82" s="19" t="str">
        <f>IF(Cadastro!$L82="","",Cadastro!$L82)</f>
        <v/>
      </c>
      <c r="J82" s="21" t="str">
        <f t="shared" si="15"/>
        <v/>
      </c>
      <c r="K82" s="21" t="str">
        <f t="shared" si="16"/>
        <v/>
      </c>
      <c r="L82" s="24" t="str">
        <f t="shared" si="17"/>
        <v/>
      </c>
      <c r="M82" s="21" t="str">
        <f t="shared" si="18"/>
        <v/>
      </c>
      <c r="N82" s="21" t="str">
        <f t="shared" si="19"/>
        <v/>
      </c>
      <c r="O82" s="19" t="str">
        <f t="shared" si="20"/>
        <v/>
      </c>
    </row>
    <row r="83" spans="1:15" x14ac:dyDescent="0.3">
      <c r="A83" s="19" t="str">
        <f>IF(Cadastro!$G83="","",Cadastro!$G83)</f>
        <v/>
      </c>
      <c r="B83" s="19" t="str">
        <f>IF(Cadastro!$H83="","",Cadastro!$H83)</f>
        <v/>
      </c>
      <c r="C83" s="21" t="str">
        <f>IF(Cadastro!$B83="","",Cadastro!$B83)</f>
        <v/>
      </c>
      <c r="D83" s="21" t="str">
        <f>IF(Cadastro!$C83="","",Cadastro!$C83)</f>
        <v/>
      </c>
      <c r="E83" s="19" t="str">
        <f t="shared" si="14"/>
        <v/>
      </c>
      <c r="F83" s="23">
        <f>N(Cadastro!$I83)</f>
        <v>0</v>
      </c>
      <c r="G83" s="24">
        <f>N(Cadastro!$J83)</f>
        <v>0</v>
      </c>
      <c r="H83" s="24">
        <f>N(Cadastro!$K83)</f>
        <v>0</v>
      </c>
      <c r="I83" s="19" t="str">
        <f>IF(Cadastro!$L83="","",Cadastro!$L83)</f>
        <v/>
      </c>
      <c r="J83" s="21" t="str">
        <f t="shared" si="15"/>
        <v/>
      </c>
      <c r="K83" s="21" t="str">
        <f t="shared" si="16"/>
        <v/>
      </c>
      <c r="L83" s="24" t="str">
        <f t="shared" si="17"/>
        <v/>
      </c>
      <c r="M83" s="21" t="str">
        <f t="shared" si="18"/>
        <v/>
      </c>
      <c r="N83" s="21" t="str">
        <f t="shared" si="19"/>
        <v/>
      </c>
      <c r="O83" s="19" t="str">
        <f t="shared" si="20"/>
        <v/>
      </c>
    </row>
    <row r="84" spans="1:15" x14ac:dyDescent="0.3">
      <c r="A84" s="19" t="str">
        <f>IF(Cadastro!$G84="","",Cadastro!$G84)</f>
        <v/>
      </c>
      <c r="B84" s="19" t="str">
        <f>IF(Cadastro!$H84="","",Cadastro!$H84)</f>
        <v/>
      </c>
      <c r="C84" s="21" t="str">
        <f>IF(Cadastro!$B84="","",Cadastro!$B84)</f>
        <v/>
      </c>
      <c r="D84" s="21" t="str">
        <f>IF(Cadastro!$C84="","",Cadastro!$C84)</f>
        <v/>
      </c>
      <c r="E84" s="19" t="str">
        <f t="shared" si="14"/>
        <v/>
      </c>
      <c r="F84" s="23">
        <f>N(Cadastro!$I84)</f>
        <v>0</v>
      </c>
      <c r="G84" s="24">
        <f>N(Cadastro!$J84)</f>
        <v>0</v>
      </c>
      <c r="H84" s="24">
        <f>N(Cadastro!$K84)</f>
        <v>0</v>
      </c>
      <c r="I84" s="19" t="str">
        <f>IF(Cadastro!$L84="","",Cadastro!$L84)</f>
        <v/>
      </c>
      <c r="J84" s="21" t="str">
        <f t="shared" si="15"/>
        <v/>
      </c>
      <c r="K84" s="21" t="str">
        <f t="shared" si="16"/>
        <v/>
      </c>
      <c r="L84" s="24" t="str">
        <f t="shared" si="17"/>
        <v/>
      </c>
      <c r="M84" s="21" t="str">
        <f t="shared" si="18"/>
        <v/>
      </c>
      <c r="N84" s="21" t="str">
        <f t="shared" si="19"/>
        <v/>
      </c>
      <c r="O84" s="19" t="str">
        <f t="shared" si="20"/>
        <v/>
      </c>
    </row>
    <row r="85" spans="1:15" x14ac:dyDescent="0.3">
      <c r="A85" s="19" t="str">
        <f>IF(Cadastro!$G85="","",Cadastro!$G85)</f>
        <v/>
      </c>
      <c r="B85" s="19" t="str">
        <f>IF(Cadastro!$H85="","",Cadastro!$H85)</f>
        <v/>
      </c>
      <c r="C85" s="21" t="str">
        <f>IF(Cadastro!$B85="","",Cadastro!$B85)</f>
        <v/>
      </c>
      <c r="D85" s="21" t="str">
        <f>IF(Cadastro!$C85="","",Cadastro!$C85)</f>
        <v/>
      </c>
      <c r="E85" s="19" t="str">
        <f t="shared" si="14"/>
        <v/>
      </c>
      <c r="F85" s="23">
        <f>N(Cadastro!$I85)</f>
        <v>0</v>
      </c>
      <c r="G85" s="24">
        <f>N(Cadastro!$J85)</f>
        <v>0</v>
      </c>
      <c r="H85" s="24">
        <f>N(Cadastro!$K85)</f>
        <v>0</v>
      </c>
      <c r="I85" s="19" t="str">
        <f>IF(Cadastro!$L85="","",Cadastro!$L85)</f>
        <v/>
      </c>
      <c r="J85" s="21" t="str">
        <f t="shared" si="15"/>
        <v/>
      </c>
      <c r="K85" s="21" t="str">
        <f t="shared" si="16"/>
        <v/>
      </c>
      <c r="L85" s="24" t="str">
        <f t="shared" si="17"/>
        <v/>
      </c>
      <c r="M85" s="21" t="str">
        <f t="shared" si="18"/>
        <v/>
      </c>
      <c r="N85" s="21" t="str">
        <f t="shared" si="19"/>
        <v/>
      </c>
      <c r="O85" s="19" t="str">
        <f t="shared" si="20"/>
        <v/>
      </c>
    </row>
    <row r="86" spans="1:15" x14ac:dyDescent="0.3">
      <c r="A86" s="19" t="str">
        <f>IF(Cadastro!$G86="","",Cadastro!$G86)</f>
        <v/>
      </c>
      <c r="B86" s="19" t="str">
        <f>IF(Cadastro!$H86="","",Cadastro!$H86)</f>
        <v/>
      </c>
      <c r="C86" s="21" t="str">
        <f>IF(Cadastro!$B86="","",Cadastro!$B86)</f>
        <v/>
      </c>
      <c r="D86" s="21" t="str">
        <f>IF(Cadastro!$C86="","",Cadastro!$C86)</f>
        <v/>
      </c>
      <c r="E86" s="19" t="str">
        <f t="shared" si="14"/>
        <v/>
      </c>
      <c r="F86" s="23">
        <f>N(Cadastro!$I86)</f>
        <v>0</v>
      </c>
      <c r="G86" s="24">
        <f>N(Cadastro!$J86)</f>
        <v>0</v>
      </c>
      <c r="H86" s="24">
        <f>N(Cadastro!$K86)</f>
        <v>0</v>
      </c>
      <c r="I86" s="19" t="str">
        <f>IF(Cadastro!$L86="","",Cadastro!$L86)</f>
        <v/>
      </c>
      <c r="J86" s="21" t="str">
        <f t="shared" si="15"/>
        <v/>
      </c>
      <c r="K86" s="21" t="str">
        <f t="shared" si="16"/>
        <v/>
      </c>
      <c r="L86" s="24" t="str">
        <f t="shared" si="17"/>
        <v/>
      </c>
      <c r="M86" s="21" t="str">
        <f t="shared" si="18"/>
        <v/>
      </c>
      <c r="N86" s="21" t="str">
        <f t="shared" si="19"/>
        <v/>
      </c>
      <c r="O86" s="19" t="str">
        <f t="shared" si="20"/>
        <v/>
      </c>
    </row>
    <row r="87" spans="1:15" x14ac:dyDescent="0.3">
      <c r="A87" s="19" t="str">
        <f>IF(Cadastro!$G87="","",Cadastro!$G87)</f>
        <v/>
      </c>
      <c r="B87" s="19" t="str">
        <f>IF(Cadastro!$H87="","",Cadastro!$H87)</f>
        <v/>
      </c>
      <c r="C87" s="21" t="str">
        <f>IF(Cadastro!$B87="","",Cadastro!$B87)</f>
        <v/>
      </c>
      <c r="D87" s="21" t="str">
        <f>IF(Cadastro!$C87="","",Cadastro!$C87)</f>
        <v/>
      </c>
      <c r="E87" s="19" t="str">
        <f t="shared" si="14"/>
        <v/>
      </c>
      <c r="F87" s="23">
        <f>N(Cadastro!$I87)</f>
        <v>0</v>
      </c>
      <c r="G87" s="24">
        <f>N(Cadastro!$J87)</f>
        <v>0</v>
      </c>
      <c r="H87" s="24">
        <f>N(Cadastro!$K87)</f>
        <v>0</v>
      </c>
      <c r="I87" s="19" t="str">
        <f>IF(Cadastro!$L87="","",Cadastro!$L87)</f>
        <v/>
      </c>
      <c r="J87" s="21" t="str">
        <f t="shared" si="15"/>
        <v/>
      </c>
      <c r="K87" s="21" t="str">
        <f t="shared" si="16"/>
        <v/>
      </c>
      <c r="L87" s="24" t="str">
        <f t="shared" si="17"/>
        <v/>
      </c>
      <c r="M87" s="21" t="str">
        <f t="shared" si="18"/>
        <v/>
      </c>
      <c r="N87" s="21" t="str">
        <f t="shared" si="19"/>
        <v/>
      </c>
      <c r="O87" s="19" t="str">
        <f t="shared" si="20"/>
        <v/>
      </c>
    </row>
    <row r="88" spans="1:15" x14ac:dyDescent="0.3">
      <c r="A88" s="19" t="str">
        <f>IF(Cadastro!$G88="","",Cadastro!$G88)</f>
        <v/>
      </c>
      <c r="B88" s="19" t="str">
        <f>IF(Cadastro!$H88="","",Cadastro!$H88)</f>
        <v/>
      </c>
      <c r="C88" s="21" t="str">
        <f>IF(Cadastro!$B88="","",Cadastro!$B88)</f>
        <v/>
      </c>
      <c r="D88" s="21" t="str">
        <f>IF(Cadastro!$C88="","",Cadastro!$C88)</f>
        <v/>
      </c>
      <c r="E88" s="19" t="str">
        <f t="shared" si="14"/>
        <v/>
      </c>
      <c r="F88" s="23">
        <f>N(Cadastro!$I88)</f>
        <v>0</v>
      </c>
      <c r="G88" s="24">
        <f>N(Cadastro!$J88)</f>
        <v>0</v>
      </c>
      <c r="H88" s="24">
        <f>N(Cadastro!$K88)</f>
        <v>0</v>
      </c>
      <c r="I88" s="19" t="str">
        <f>IF(Cadastro!$L88="","",Cadastro!$L88)</f>
        <v/>
      </c>
      <c r="J88" s="21" t="str">
        <f t="shared" si="15"/>
        <v/>
      </c>
      <c r="K88" s="21" t="str">
        <f t="shared" si="16"/>
        <v/>
      </c>
      <c r="L88" s="24" t="str">
        <f t="shared" si="17"/>
        <v/>
      </c>
      <c r="M88" s="21" t="str">
        <f t="shared" si="18"/>
        <v/>
      </c>
      <c r="N88" s="21" t="str">
        <f t="shared" si="19"/>
        <v/>
      </c>
      <c r="O88" s="19" t="str">
        <f t="shared" si="20"/>
        <v/>
      </c>
    </row>
    <row r="89" spans="1:15" x14ac:dyDescent="0.3">
      <c r="A89" s="19" t="str">
        <f>IF(Cadastro!$G89="","",Cadastro!$G89)</f>
        <v/>
      </c>
      <c r="B89" s="19" t="str">
        <f>IF(Cadastro!$H89="","",Cadastro!$H89)</f>
        <v/>
      </c>
      <c r="C89" s="21" t="str">
        <f>IF(Cadastro!$B89="","",Cadastro!$B89)</f>
        <v/>
      </c>
      <c r="D89" s="21" t="str">
        <f>IF(Cadastro!$C89="","",Cadastro!$C89)</f>
        <v/>
      </c>
      <c r="E89" s="19" t="str">
        <f t="shared" si="14"/>
        <v/>
      </c>
      <c r="F89" s="23">
        <f>N(Cadastro!$I89)</f>
        <v>0</v>
      </c>
      <c r="G89" s="24">
        <f>N(Cadastro!$J89)</f>
        <v>0</v>
      </c>
      <c r="H89" s="24">
        <f>N(Cadastro!$K89)</f>
        <v>0</v>
      </c>
      <c r="I89" s="19" t="str">
        <f>IF(Cadastro!$L89="","",Cadastro!$L89)</f>
        <v/>
      </c>
      <c r="J89" s="21" t="str">
        <f t="shared" si="15"/>
        <v/>
      </c>
      <c r="K89" s="21" t="str">
        <f t="shared" si="16"/>
        <v/>
      </c>
      <c r="L89" s="24" t="str">
        <f t="shared" si="17"/>
        <v/>
      </c>
      <c r="M89" s="21" t="str">
        <f t="shared" si="18"/>
        <v/>
      </c>
      <c r="N89" s="21" t="str">
        <f t="shared" si="19"/>
        <v/>
      </c>
      <c r="O89" s="19" t="str">
        <f t="shared" si="20"/>
        <v/>
      </c>
    </row>
    <row r="90" spans="1:15" x14ac:dyDescent="0.3">
      <c r="A90" s="19" t="str">
        <f>IF(Cadastro!$G90="","",Cadastro!$G90)</f>
        <v/>
      </c>
      <c r="B90" s="19" t="str">
        <f>IF(Cadastro!$H90="","",Cadastro!$H90)</f>
        <v/>
      </c>
      <c r="C90" s="21" t="str">
        <f>IF(Cadastro!$B90="","",Cadastro!$B90)</f>
        <v/>
      </c>
      <c r="D90" s="21" t="str">
        <f>IF(Cadastro!$C90="","",Cadastro!$C90)</f>
        <v/>
      </c>
      <c r="E90" s="19" t="str">
        <f t="shared" si="14"/>
        <v/>
      </c>
      <c r="F90" s="23">
        <f>N(Cadastro!$I90)</f>
        <v>0</v>
      </c>
      <c r="G90" s="24">
        <f>N(Cadastro!$J90)</f>
        <v>0</v>
      </c>
      <c r="H90" s="24">
        <f>N(Cadastro!$K90)</f>
        <v>0</v>
      </c>
      <c r="I90" s="19" t="str">
        <f>IF(Cadastro!$L90="","",Cadastro!$L90)</f>
        <v/>
      </c>
      <c r="J90" s="21" t="str">
        <f t="shared" si="15"/>
        <v/>
      </c>
      <c r="K90" s="21" t="str">
        <f t="shared" si="16"/>
        <v/>
      </c>
      <c r="L90" s="24" t="str">
        <f t="shared" si="17"/>
        <v/>
      </c>
      <c r="M90" s="21" t="str">
        <f t="shared" si="18"/>
        <v/>
      </c>
      <c r="N90" s="21" t="str">
        <f t="shared" si="19"/>
        <v/>
      </c>
      <c r="O90" s="19" t="str">
        <f t="shared" si="20"/>
        <v/>
      </c>
    </row>
    <row r="91" spans="1:15" x14ac:dyDescent="0.3">
      <c r="A91" s="19" t="str">
        <f>IF(Cadastro!$G91="","",Cadastro!$G91)</f>
        <v/>
      </c>
      <c r="B91" s="19" t="str">
        <f>IF(Cadastro!$H91="","",Cadastro!$H91)</f>
        <v/>
      </c>
      <c r="C91" s="21" t="str">
        <f>IF(Cadastro!$B91="","",Cadastro!$B91)</f>
        <v/>
      </c>
      <c r="D91" s="21" t="str">
        <f>IF(Cadastro!$C91="","",Cadastro!$C91)</f>
        <v/>
      </c>
      <c r="E91" s="19" t="str">
        <f t="shared" si="14"/>
        <v/>
      </c>
      <c r="F91" s="23">
        <f>N(Cadastro!$I91)</f>
        <v>0</v>
      </c>
      <c r="G91" s="24">
        <f>N(Cadastro!$J91)</f>
        <v>0</v>
      </c>
      <c r="H91" s="24">
        <f>N(Cadastro!$K91)</f>
        <v>0</v>
      </c>
      <c r="I91" s="19" t="str">
        <f>IF(Cadastro!$L91="","",Cadastro!$L91)</f>
        <v/>
      </c>
      <c r="J91" s="21" t="str">
        <f t="shared" si="15"/>
        <v/>
      </c>
      <c r="K91" s="21" t="str">
        <f t="shared" si="16"/>
        <v/>
      </c>
      <c r="L91" s="24" t="str">
        <f t="shared" si="17"/>
        <v/>
      </c>
      <c r="M91" s="21" t="str">
        <f t="shared" si="18"/>
        <v/>
      </c>
      <c r="N91" s="21" t="str">
        <f t="shared" si="19"/>
        <v/>
      </c>
      <c r="O91" s="19" t="str">
        <f t="shared" si="20"/>
        <v/>
      </c>
    </row>
    <row r="92" spans="1:15" x14ac:dyDescent="0.3">
      <c r="A92" s="19" t="str">
        <f>IF(Cadastro!$G92="","",Cadastro!$G92)</f>
        <v/>
      </c>
      <c r="B92" s="19" t="str">
        <f>IF(Cadastro!$H92="","",Cadastro!$H92)</f>
        <v/>
      </c>
      <c r="C92" s="21" t="str">
        <f>IF(Cadastro!$B92="","",Cadastro!$B92)</f>
        <v/>
      </c>
      <c r="D92" s="21" t="str">
        <f>IF(Cadastro!$C92="","",Cadastro!$C92)</f>
        <v/>
      </c>
      <c r="E92" s="19" t="str">
        <f t="shared" si="14"/>
        <v/>
      </c>
      <c r="F92" s="23">
        <f>N(Cadastro!$I92)</f>
        <v>0</v>
      </c>
      <c r="G92" s="24">
        <f>N(Cadastro!$J92)</f>
        <v>0</v>
      </c>
      <c r="H92" s="24">
        <f>N(Cadastro!$K92)</f>
        <v>0</v>
      </c>
      <c r="I92" s="19" t="str">
        <f>IF(Cadastro!$L92="","",Cadastro!$L92)</f>
        <v/>
      </c>
      <c r="J92" s="21" t="str">
        <f t="shared" si="15"/>
        <v/>
      </c>
      <c r="K92" s="21" t="str">
        <f t="shared" si="16"/>
        <v/>
      </c>
      <c r="L92" s="24" t="str">
        <f t="shared" si="17"/>
        <v/>
      </c>
      <c r="M92" s="21" t="str">
        <f t="shared" si="18"/>
        <v/>
      </c>
      <c r="N92" s="21" t="str">
        <f t="shared" si="19"/>
        <v/>
      </c>
      <c r="O92" s="19" t="str">
        <f t="shared" si="20"/>
        <v/>
      </c>
    </row>
    <row r="93" spans="1:15" x14ac:dyDescent="0.3">
      <c r="A93" s="19" t="str">
        <f>IF(Cadastro!$G93="","",Cadastro!$G93)</f>
        <v/>
      </c>
      <c r="B93" s="19" t="str">
        <f>IF(Cadastro!$H93="","",Cadastro!$H93)</f>
        <v/>
      </c>
      <c r="C93" s="21" t="str">
        <f>IF(Cadastro!$B93="","",Cadastro!$B93)</f>
        <v/>
      </c>
      <c r="D93" s="21" t="str">
        <f>IF(Cadastro!$C93="","",Cadastro!$C93)</f>
        <v/>
      </c>
      <c r="E93" s="19" t="str">
        <f t="shared" si="14"/>
        <v/>
      </c>
      <c r="F93" s="23">
        <f>N(Cadastro!$I93)</f>
        <v>0</v>
      </c>
      <c r="G93" s="24">
        <f>N(Cadastro!$J93)</f>
        <v>0</v>
      </c>
      <c r="H93" s="24">
        <f>N(Cadastro!$K93)</f>
        <v>0</v>
      </c>
      <c r="I93" s="19" t="str">
        <f>IF(Cadastro!$L93="","",Cadastro!$L93)</f>
        <v/>
      </c>
      <c r="J93" s="21" t="str">
        <f t="shared" si="15"/>
        <v/>
      </c>
      <c r="K93" s="21" t="str">
        <f t="shared" si="16"/>
        <v/>
      </c>
      <c r="L93" s="24" t="str">
        <f t="shared" si="17"/>
        <v/>
      </c>
      <c r="M93" s="21" t="str">
        <f t="shared" si="18"/>
        <v/>
      </c>
      <c r="N93" s="21" t="str">
        <f t="shared" si="19"/>
        <v/>
      </c>
      <c r="O93" s="19" t="str">
        <f t="shared" si="20"/>
        <v/>
      </c>
    </row>
    <row r="94" spans="1:15" x14ac:dyDescent="0.3">
      <c r="A94" s="19" t="str">
        <f>IF(Cadastro!$G94="","",Cadastro!$G94)</f>
        <v/>
      </c>
      <c r="B94" s="19" t="str">
        <f>IF(Cadastro!$H94="","",Cadastro!$H94)</f>
        <v/>
      </c>
      <c r="C94" s="21" t="str">
        <f>IF(Cadastro!$B94="","",Cadastro!$B94)</f>
        <v/>
      </c>
      <c r="D94" s="21" t="str">
        <f>IF(Cadastro!$C94="","",Cadastro!$C94)</f>
        <v/>
      </c>
      <c r="E94" s="19" t="str">
        <f t="shared" si="14"/>
        <v/>
      </c>
      <c r="F94" s="23">
        <f>N(Cadastro!$I94)</f>
        <v>0</v>
      </c>
      <c r="G94" s="24">
        <f>N(Cadastro!$J94)</f>
        <v>0</v>
      </c>
      <c r="H94" s="24">
        <f>N(Cadastro!$K94)</f>
        <v>0</v>
      </c>
      <c r="I94" s="19" t="str">
        <f>IF(Cadastro!$L94="","",Cadastro!$L94)</f>
        <v/>
      </c>
      <c r="J94" s="21" t="str">
        <f t="shared" si="15"/>
        <v/>
      </c>
      <c r="K94" s="21" t="str">
        <f t="shared" si="16"/>
        <v/>
      </c>
      <c r="L94" s="24" t="str">
        <f t="shared" si="17"/>
        <v/>
      </c>
      <c r="M94" s="21" t="str">
        <f t="shared" si="18"/>
        <v/>
      </c>
      <c r="N94" s="21" t="str">
        <f t="shared" si="19"/>
        <v/>
      </c>
      <c r="O94" s="19" t="str">
        <f t="shared" si="20"/>
        <v/>
      </c>
    </row>
    <row r="95" spans="1:15" x14ac:dyDescent="0.3">
      <c r="A95" s="19" t="str">
        <f>IF(Cadastro!$G95="","",Cadastro!$G95)</f>
        <v/>
      </c>
      <c r="B95" s="19" t="str">
        <f>IF(Cadastro!$H95="","",Cadastro!$H95)</f>
        <v/>
      </c>
      <c r="C95" s="21" t="str">
        <f>IF(Cadastro!$B95="","",Cadastro!$B95)</f>
        <v/>
      </c>
      <c r="D95" s="21" t="str">
        <f>IF(Cadastro!$C95="","",Cadastro!$C95)</f>
        <v/>
      </c>
      <c r="E95" s="19" t="str">
        <f t="shared" si="14"/>
        <v/>
      </c>
      <c r="F95" s="23">
        <f>N(Cadastro!$I95)</f>
        <v>0</v>
      </c>
      <c r="G95" s="24">
        <f>N(Cadastro!$J95)</f>
        <v>0</v>
      </c>
      <c r="H95" s="24">
        <f>N(Cadastro!$K95)</f>
        <v>0</v>
      </c>
      <c r="I95" s="19" t="str">
        <f>IF(Cadastro!$L95="","",Cadastro!$L95)</f>
        <v/>
      </c>
      <c r="J95" s="21" t="str">
        <f t="shared" si="15"/>
        <v/>
      </c>
      <c r="K95" s="21" t="str">
        <f t="shared" si="16"/>
        <v/>
      </c>
      <c r="L95" s="24" t="str">
        <f t="shared" si="17"/>
        <v/>
      </c>
      <c r="M95" s="21" t="str">
        <f t="shared" si="18"/>
        <v/>
      </c>
      <c r="N95" s="21" t="str">
        <f t="shared" si="19"/>
        <v/>
      </c>
      <c r="O95" s="19" t="str">
        <f t="shared" si="20"/>
        <v/>
      </c>
    </row>
    <row r="96" spans="1:15" x14ac:dyDescent="0.3">
      <c r="A96" s="19" t="str">
        <f>IF(Cadastro!$G96="","",Cadastro!$G96)</f>
        <v/>
      </c>
      <c r="B96" s="19" t="str">
        <f>IF(Cadastro!$H96="","",Cadastro!$H96)</f>
        <v/>
      </c>
      <c r="C96" s="21" t="str">
        <f>IF(Cadastro!$B96="","",Cadastro!$B96)</f>
        <v/>
      </c>
      <c r="D96" s="21" t="str">
        <f>IF(Cadastro!$C96="","",Cadastro!$C96)</f>
        <v/>
      </c>
      <c r="E96" s="19" t="str">
        <f t="shared" si="14"/>
        <v/>
      </c>
      <c r="F96" s="23">
        <f>N(Cadastro!$I96)</f>
        <v>0</v>
      </c>
      <c r="G96" s="24">
        <f>N(Cadastro!$J96)</f>
        <v>0</v>
      </c>
      <c r="H96" s="24">
        <f>N(Cadastro!$K96)</f>
        <v>0</v>
      </c>
      <c r="I96" s="19" t="str">
        <f>IF(Cadastro!$L96="","",Cadastro!$L96)</f>
        <v/>
      </c>
      <c r="J96" s="21" t="str">
        <f t="shared" si="15"/>
        <v/>
      </c>
      <c r="K96" s="21" t="str">
        <f t="shared" si="16"/>
        <v/>
      </c>
      <c r="L96" s="24" t="str">
        <f t="shared" si="17"/>
        <v/>
      </c>
      <c r="M96" s="21" t="str">
        <f t="shared" si="18"/>
        <v/>
      </c>
      <c r="N96" s="21" t="str">
        <f t="shared" si="19"/>
        <v/>
      </c>
      <c r="O96" s="19" t="str">
        <f t="shared" si="20"/>
        <v/>
      </c>
    </row>
    <row r="97" spans="1:15" x14ac:dyDescent="0.3">
      <c r="A97" s="19" t="str">
        <f>IF(Cadastro!$G97="","",Cadastro!$G97)</f>
        <v/>
      </c>
      <c r="B97" s="19" t="str">
        <f>IF(Cadastro!$H97="","",Cadastro!$H97)</f>
        <v/>
      </c>
      <c r="C97" s="21" t="str">
        <f>IF(Cadastro!$B97="","",Cadastro!$B97)</f>
        <v/>
      </c>
      <c r="D97" s="21" t="str">
        <f>IF(Cadastro!$C97="","",Cadastro!$C97)</f>
        <v/>
      </c>
      <c r="E97" s="19" t="str">
        <f t="shared" si="14"/>
        <v/>
      </c>
      <c r="F97" s="23">
        <f>N(Cadastro!$I97)</f>
        <v>0</v>
      </c>
      <c r="G97" s="24">
        <f>N(Cadastro!$J97)</f>
        <v>0</v>
      </c>
      <c r="H97" s="24">
        <f>N(Cadastro!$K97)</f>
        <v>0</v>
      </c>
      <c r="I97" s="19" t="str">
        <f>IF(Cadastro!$L97="","",Cadastro!$L97)</f>
        <v/>
      </c>
      <c r="J97" s="21" t="str">
        <f t="shared" si="15"/>
        <v/>
      </c>
      <c r="K97" s="21" t="str">
        <f t="shared" si="16"/>
        <v/>
      </c>
      <c r="L97" s="24" t="str">
        <f t="shared" si="17"/>
        <v/>
      </c>
      <c r="M97" s="21" t="str">
        <f t="shared" si="18"/>
        <v/>
      </c>
      <c r="N97" s="21" t="str">
        <f t="shared" si="19"/>
        <v/>
      </c>
      <c r="O97" s="19" t="str">
        <f t="shared" si="20"/>
        <v/>
      </c>
    </row>
    <row r="98" spans="1:15" x14ac:dyDescent="0.3">
      <c r="A98" s="19" t="str">
        <f>IF(Cadastro!$G98="","",Cadastro!$G98)</f>
        <v/>
      </c>
      <c r="B98" s="19" t="str">
        <f>IF(Cadastro!$H98="","",Cadastro!$H98)</f>
        <v/>
      </c>
      <c r="C98" s="21" t="str">
        <f>IF(Cadastro!$B98="","",Cadastro!$B98)</f>
        <v/>
      </c>
      <c r="D98" s="21" t="str">
        <f>IF(Cadastro!$C98="","",Cadastro!$C98)</f>
        <v/>
      </c>
      <c r="E98" s="19" t="str">
        <f t="shared" si="14"/>
        <v/>
      </c>
      <c r="F98" s="23">
        <f>N(Cadastro!$I98)</f>
        <v>0</v>
      </c>
      <c r="G98" s="24">
        <f>N(Cadastro!$J98)</f>
        <v>0</v>
      </c>
      <c r="H98" s="24">
        <f>N(Cadastro!$K98)</f>
        <v>0</v>
      </c>
      <c r="I98" s="19" t="str">
        <f>IF(Cadastro!$L98="","",Cadastro!$L98)</f>
        <v/>
      </c>
      <c r="J98" s="21" t="str">
        <f t="shared" si="15"/>
        <v/>
      </c>
      <c r="K98" s="21" t="str">
        <f t="shared" si="16"/>
        <v/>
      </c>
      <c r="L98" s="24" t="str">
        <f t="shared" si="17"/>
        <v/>
      </c>
      <c r="M98" s="21" t="str">
        <f t="shared" si="18"/>
        <v/>
      </c>
      <c r="N98" s="21" t="str">
        <f t="shared" si="19"/>
        <v/>
      </c>
      <c r="O98" s="19" t="str">
        <f t="shared" si="20"/>
        <v/>
      </c>
    </row>
    <row r="99" spans="1:15" x14ac:dyDescent="0.3">
      <c r="A99" s="19" t="str">
        <f>IF(Cadastro!$G99="","",Cadastro!$G99)</f>
        <v/>
      </c>
      <c r="B99" s="19" t="str">
        <f>IF(Cadastro!$H99="","",Cadastro!$H99)</f>
        <v/>
      </c>
      <c r="C99" s="21" t="str">
        <f>IF(Cadastro!$B99="","",Cadastro!$B99)</f>
        <v/>
      </c>
      <c r="D99" s="21" t="str">
        <f>IF(Cadastro!$C99="","",Cadastro!$C99)</f>
        <v/>
      </c>
      <c r="E99" s="19" t="str">
        <f t="shared" si="14"/>
        <v/>
      </c>
      <c r="F99" s="23">
        <f>N(Cadastro!$I99)</f>
        <v>0</v>
      </c>
      <c r="G99" s="24">
        <f>N(Cadastro!$J99)</f>
        <v>0</v>
      </c>
      <c r="H99" s="24">
        <f>N(Cadastro!$K99)</f>
        <v>0</v>
      </c>
      <c r="I99" s="19" t="str">
        <f>IF(Cadastro!$L99="","",Cadastro!$L99)</f>
        <v/>
      </c>
      <c r="J99" s="21" t="str">
        <f t="shared" si="15"/>
        <v/>
      </c>
      <c r="K99" s="21" t="str">
        <f t="shared" si="16"/>
        <v/>
      </c>
      <c r="L99" s="24" t="str">
        <f t="shared" si="17"/>
        <v/>
      </c>
      <c r="M99" s="21" t="str">
        <f t="shared" si="18"/>
        <v/>
      </c>
      <c r="N99" s="21" t="str">
        <f t="shared" si="19"/>
        <v/>
      </c>
      <c r="O99" s="19" t="str">
        <f t="shared" si="20"/>
        <v/>
      </c>
    </row>
    <row r="100" spans="1:15" x14ac:dyDescent="0.3">
      <c r="A100" s="19" t="str">
        <f>IF(Cadastro!$G100="","",Cadastro!$G100)</f>
        <v/>
      </c>
      <c r="B100" s="19" t="str">
        <f>IF(Cadastro!$H100="","",Cadastro!$H100)</f>
        <v/>
      </c>
      <c r="C100" s="21" t="str">
        <f>IF(Cadastro!$B100="","",Cadastro!$B100)</f>
        <v/>
      </c>
      <c r="D100" s="21" t="str">
        <f>IF(Cadastro!$C100="","",Cadastro!$C100)</f>
        <v/>
      </c>
      <c r="E100" s="19" t="str">
        <f t="shared" si="14"/>
        <v/>
      </c>
      <c r="F100" s="23">
        <f>N(Cadastro!$I100)</f>
        <v>0</v>
      </c>
      <c r="G100" s="24">
        <f>N(Cadastro!$J100)</f>
        <v>0</v>
      </c>
      <c r="H100" s="24">
        <f>N(Cadastro!$K100)</f>
        <v>0</v>
      </c>
      <c r="I100" s="19" t="str">
        <f>IF(Cadastro!$L100="","",Cadastro!$L100)</f>
        <v/>
      </c>
      <c r="J100" s="21" t="str">
        <f t="shared" si="15"/>
        <v/>
      </c>
      <c r="K100" s="21" t="str">
        <f t="shared" si="16"/>
        <v/>
      </c>
      <c r="L100" s="24" t="str">
        <f t="shared" si="17"/>
        <v/>
      </c>
      <c r="M100" s="21" t="str">
        <f t="shared" si="18"/>
        <v/>
      </c>
      <c r="N100" s="21" t="str">
        <f t="shared" si="19"/>
        <v/>
      </c>
      <c r="O100" s="19" t="str">
        <f t="shared" si="20"/>
        <v/>
      </c>
    </row>
    <row r="101" spans="1:15" x14ac:dyDescent="0.3">
      <c r="A101" s="19" t="str">
        <f>IF(Cadastro!$G101="","",Cadastro!$G101)</f>
        <v/>
      </c>
      <c r="B101" s="19" t="str">
        <f>IF(Cadastro!$H101="","",Cadastro!$H101)</f>
        <v/>
      </c>
      <c r="C101" s="21" t="str">
        <f>IF(Cadastro!$B101="","",Cadastro!$B101)</f>
        <v/>
      </c>
      <c r="D101" s="21" t="str">
        <f>IF(Cadastro!$C101="","",Cadastro!$C101)</f>
        <v/>
      </c>
      <c r="E101" s="19" t="str">
        <f t="shared" ref="E101:E132" si="21">IF($D101="","",IFERROR(INDEX(Prod_Desc,MATCH($D101,Prod_Cod,0)),"PRODUTO NÃO CADASTRADO"))</f>
        <v/>
      </c>
      <c r="F101" s="23">
        <f>N(Cadastro!$I101)</f>
        <v>0</v>
      </c>
      <c r="G101" s="24">
        <f>N(Cadastro!$J101)</f>
        <v>0</v>
      </c>
      <c r="H101" s="24">
        <f>N(Cadastro!$K101)</f>
        <v>0</v>
      </c>
      <c r="I101" s="19" t="str">
        <f>IF(Cadastro!$L101="","",Cadastro!$L101)</f>
        <v/>
      </c>
      <c r="J101" s="21" t="str">
        <f t="shared" ref="J101:J132" si="22">IF($B101="","",SUMIFS(OC_Qtd,OC_SC,$B101,OC_Cham,$C101,OC_Prod,$D101))</f>
        <v/>
      </c>
      <c r="K101" s="21" t="str">
        <f t="shared" ref="K101:K132" si="23">IF($B101="","",N($F101)-N($J101))</f>
        <v/>
      </c>
      <c r="L101" s="24" t="str">
        <f t="shared" ref="L101:L132" si="24">IF($B101="","",IF(SUMPRODUCT(MAX((OC_SC=$B101)*(OC_Cham=$C101)*(OC_Prod=$D101)*N(OC_Data)))=0,"",SUMPRODUCT(MAX((OC_SC=$B101)*(OC_Cham=$C101)*(OC_Prod=$D101)*N(OC_Data)))))</f>
        <v/>
      </c>
      <c r="M101" s="21" t="str">
        <f t="shared" ref="M101:M132" si="25">IF(OR($B101="",N($H101)=0),"",IF(AND($K101&lt;=0,$L101&lt;&gt;""),MAX($L101-$H101,0),MAX(DataRef-$H101,0)))</f>
        <v/>
      </c>
      <c r="N101" s="21" t="str">
        <f t="shared" ref="N101:N132" si="26">IF($B101="","",IFERROR(INDEX(Etapa_SLA,MATCH("FLUXO DE SUPRIMENTOS",Lista_Etapas,0)),10))</f>
        <v/>
      </c>
      <c r="O101" s="19" t="str">
        <f t="shared" ref="O101:O132" si="27">IF($B101="","",IF(N($H101)=0,"AGUARDANDO ENVIO AO SUPRIMENTOS",IF($J101=0,IF($M101&gt;$N101,"EM COTAÇÃO - ATRASADA","EM COTAÇÃO"),IF($K101&gt;0,IF($M101&gt;$N101,"COMPRA PARCIAL - ATRASADA","COMPRA PARCIAL"),IF($K101&lt;0,"COMPRA ACIMA DA SC",IF($M101&gt;$N101,"CONCLUÍDA COM ATRASO","CONCLUÍDA NO PRAZO"))))))</f>
        <v/>
      </c>
    </row>
    <row r="102" spans="1:15" x14ac:dyDescent="0.3">
      <c r="A102" s="19" t="str">
        <f>IF(Cadastro!$G102="","",Cadastro!$G102)</f>
        <v/>
      </c>
      <c r="B102" s="19" t="str">
        <f>IF(Cadastro!$H102="","",Cadastro!$H102)</f>
        <v/>
      </c>
      <c r="C102" s="21" t="str">
        <f>IF(Cadastro!$B102="","",Cadastro!$B102)</f>
        <v/>
      </c>
      <c r="D102" s="21" t="str">
        <f>IF(Cadastro!$C102="","",Cadastro!$C102)</f>
        <v/>
      </c>
      <c r="E102" s="19" t="str">
        <f t="shared" si="21"/>
        <v/>
      </c>
      <c r="F102" s="23">
        <f>N(Cadastro!$I102)</f>
        <v>0</v>
      </c>
      <c r="G102" s="24">
        <f>N(Cadastro!$J102)</f>
        <v>0</v>
      </c>
      <c r="H102" s="24">
        <f>N(Cadastro!$K102)</f>
        <v>0</v>
      </c>
      <c r="I102" s="19" t="str">
        <f>IF(Cadastro!$L102="","",Cadastro!$L102)</f>
        <v/>
      </c>
      <c r="J102" s="21" t="str">
        <f t="shared" si="22"/>
        <v/>
      </c>
      <c r="K102" s="21" t="str">
        <f t="shared" si="23"/>
        <v/>
      </c>
      <c r="L102" s="24" t="str">
        <f t="shared" si="24"/>
        <v/>
      </c>
      <c r="M102" s="21" t="str">
        <f t="shared" si="25"/>
        <v/>
      </c>
      <c r="N102" s="21" t="str">
        <f t="shared" si="26"/>
        <v/>
      </c>
      <c r="O102" s="19" t="str">
        <f t="shared" si="27"/>
        <v/>
      </c>
    </row>
    <row r="103" spans="1:15" x14ac:dyDescent="0.3">
      <c r="A103" s="19" t="str">
        <f>IF(Cadastro!$G103="","",Cadastro!$G103)</f>
        <v/>
      </c>
      <c r="B103" s="19" t="str">
        <f>IF(Cadastro!$H103="","",Cadastro!$H103)</f>
        <v/>
      </c>
      <c r="C103" s="21" t="str">
        <f>IF(Cadastro!$B103="","",Cadastro!$B103)</f>
        <v/>
      </c>
      <c r="D103" s="21" t="str">
        <f>IF(Cadastro!$C103="","",Cadastro!$C103)</f>
        <v/>
      </c>
      <c r="E103" s="19" t="str">
        <f t="shared" si="21"/>
        <v/>
      </c>
      <c r="F103" s="23">
        <f>N(Cadastro!$I103)</f>
        <v>0</v>
      </c>
      <c r="G103" s="24">
        <f>N(Cadastro!$J103)</f>
        <v>0</v>
      </c>
      <c r="H103" s="24">
        <f>N(Cadastro!$K103)</f>
        <v>0</v>
      </c>
      <c r="I103" s="19" t="str">
        <f>IF(Cadastro!$L103="","",Cadastro!$L103)</f>
        <v/>
      </c>
      <c r="J103" s="21" t="str">
        <f t="shared" si="22"/>
        <v/>
      </c>
      <c r="K103" s="21" t="str">
        <f t="shared" si="23"/>
        <v/>
      </c>
      <c r="L103" s="24" t="str">
        <f t="shared" si="24"/>
        <v/>
      </c>
      <c r="M103" s="21" t="str">
        <f t="shared" si="25"/>
        <v/>
      </c>
      <c r="N103" s="21" t="str">
        <f t="shared" si="26"/>
        <v/>
      </c>
      <c r="O103" s="19" t="str">
        <f t="shared" si="27"/>
        <v/>
      </c>
    </row>
    <row r="104" spans="1:15" x14ac:dyDescent="0.3">
      <c r="A104" s="19" t="str">
        <f>IF(Cadastro!$G104="","",Cadastro!$G104)</f>
        <v/>
      </c>
      <c r="B104" s="19" t="str">
        <f>IF(Cadastro!$H104="","",Cadastro!$H104)</f>
        <v/>
      </c>
      <c r="C104" s="21" t="str">
        <f>IF(Cadastro!$B104="","",Cadastro!$B104)</f>
        <v/>
      </c>
      <c r="D104" s="21" t="str">
        <f>IF(Cadastro!$C104="","",Cadastro!$C104)</f>
        <v/>
      </c>
      <c r="E104" s="19" t="str">
        <f t="shared" si="21"/>
        <v/>
      </c>
      <c r="F104" s="23">
        <f>N(Cadastro!$I104)</f>
        <v>0</v>
      </c>
      <c r="G104" s="24">
        <f>N(Cadastro!$J104)</f>
        <v>0</v>
      </c>
      <c r="H104" s="24">
        <f>N(Cadastro!$K104)</f>
        <v>0</v>
      </c>
      <c r="I104" s="19" t="str">
        <f>IF(Cadastro!$L104="","",Cadastro!$L104)</f>
        <v/>
      </c>
      <c r="J104" s="21" t="str">
        <f t="shared" si="22"/>
        <v/>
      </c>
      <c r="K104" s="21" t="str">
        <f t="shared" si="23"/>
        <v/>
      </c>
      <c r="L104" s="24" t="str">
        <f t="shared" si="24"/>
        <v/>
      </c>
      <c r="M104" s="21" t="str">
        <f t="shared" si="25"/>
        <v/>
      </c>
      <c r="N104" s="21" t="str">
        <f t="shared" si="26"/>
        <v/>
      </c>
      <c r="O104" s="19" t="str">
        <f t="shared" si="27"/>
        <v/>
      </c>
    </row>
    <row r="105" spans="1:15" x14ac:dyDescent="0.3">
      <c r="A105" s="19" t="str">
        <f>IF(Cadastro!$G105="","",Cadastro!$G105)</f>
        <v/>
      </c>
      <c r="B105" s="19" t="str">
        <f>IF(Cadastro!$H105="","",Cadastro!$H105)</f>
        <v/>
      </c>
      <c r="C105" s="21" t="str">
        <f>IF(Cadastro!$B105="","",Cadastro!$B105)</f>
        <v/>
      </c>
      <c r="D105" s="21" t="str">
        <f>IF(Cadastro!$C105="","",Cadastro!$C105)</f>
        <v/>
      </c>
      <c r="E105" s="19" t="str">
        <f t="shared" si="21"/>
        <v/>
      </c>
      <c r="F105" s="23">
        <f>N(Cadastro!$I105)</f>
        <v>0</v>
      </c>
      <c r="G105" s="24">
        <f>N(Cadastro!$J105)</f>
        <v>0</v>
      </c>
      <c r="H105" s="24">
        <f>N(Cadastro!$K105)</f>
        <v>0</v>
      </c>
      <c r="I105" s="19" t="str">
        <f>IF(Cadastro!$L105="","",Cadastro!$L105)</f>
        <v/>
      </c>
      <c r="J105" s="21" t="str">
        <f t="shared" si="22"/>
        <v/>
      </c>
      <c r="K105" s="21" t="str">
        <f t="shared" si="23"/>
        <v/>
      </c>
      <c r="L105" s="24" t="str">
        <f t="shared" si="24"/>
        <v/>
      </c>
      <c r="M105" s="21" t="str">
        <f t="shared" si="25"/>
        <v/>
      </c>
      <c r="N105" s="21" t="str">
        <f t="shared" si="26"/>
        <v/>
      </c>
      <c r="O105" s="19" t="str">
        <f t="shared" si="27"/>
        <v/>
      </c>
    </row>
    <row r="106" spans="1:15" x14ac:dyDescent="0.3">
      <c r="A106" s="19" t="str">
        <f>IF(Cadastro!$G106="","",Cadastro!$G106)</f>
        <v/>
      </c>
      <c r="B106" s="19" t="str">
        <f>IF(Cadastro!$H106="","",Cadastro!$H106)</f>
        <v/>
      </c>
      <c r="C106" s="21" t="str">
        <f>IF(Cadastro!$B106="","",Cadastro!$B106)</f>
        <v/>
      </c>
      <c r="D106" s="21" t="str">
        <f>IF(Cadastro!$C106="","",Cadastro!$C106)</f>
        <v/>
      </c>
      <c r="E106" s="19" t="str">
        <f t="shared" si="21"/>
        <v/>
      </c>
      <c r="F106" s="23">
        <f>N(Cadastro!$I106)</f>
        <v>0</v>
      </c>
      <c r="G106" s="24">
        <f>N(Cadastro!$J106)</f>
        <v>0</v>
      </c>
      <c r="H106" s="24">
        <f>N(Cadastro!$K106)</f>
        <v>0</v>
      </c>
      <c r="I106" s="19" t="str">
        <f>IF(Cadastro!$L106="","",Cadastro!$L106)</f>
        <v/>
      </c>
      <c r="J106" s="21" t="str">
        <f t="shared" si="22"/>
        <v/>
      </c>
      <c r="K106" s="21" t="str">
        <f t="shared" si="23"/>
        <v/>
      </c>
      <c r="L106" s="24" t="str">
        <f t="shared" si="24"/>
        <v/>
      </c>
      <c r="M106" s="21" t="str">
        <f t="shared" si="25"/>
        <v/>
      </c>
      <c r="N106" s="21" t="str">
        <f t="shared" si="26"/>
        <v/>
      </c>
      <c r="O106" s="19" t="str">
        <f t="shared" si="27"/>
        <v/>
      </c>
    </row>
    <row r="107" spans="1:15" x14ac:dyDescent="0.3">
      <c r="A107" s="19" t="str">
        <f>IF(Cadastro!$G107="","",Cadastro!$G107)</f>
        <v/>
      </c>
      <c r="B107" s="19" t="str">
        <f>IF(Cadastro!$H107="","",Cadastro!$H107)</f>
        <v/>
      </c>
      <c r="C107" s="21" t="str">
        <f>IF(Cadastro!$B107="","",Cadastro!$B107)</f>
        <v/>
      </c>
      <c r="D107" s="21" t="str">
        <f>IF(Cadastro!$C107="","",Cadastro!$C107)</f>
        <v/>
      </c>
      <c r="E107" s="19" t="str">
        <f t="shared" si="21"/>
        <v/>
      </c>
      <c r="F107" s="23">
        <f>N(Cadastro!$I107)</f>
        <v>0</v>
      </c>
      <c r="G107" s="24">
        <f>N(Cadastro!$J107)</f>
        <v>0</v>
      </c>
      <c r="H107" s="24">
        <f>N(Cadastro!$K107)</f>
        <v>0</v>
      </c>
      <c r="I107" s="19" t="str">
        <f>IF(Cadastro!$L107="","",Cadastro!$L107)</f>
        <v/>
      </c>
      <c r="J107" s="21" t="str">
        <f t="shared" si="22"/>
        <v/>
      </c>
      <c r="K107" s="21" t="str">
        <f t="shared" si="23"/>
        <v/>
      </c>
      <c r="L107" s="24" t="str">
        <f t="shared" si="24"/>
        <v/>
      </c>
      <c r="M107" s="21" t="str">
        <f t="shared" si="25"/>
        <v/>
      </c>
      <c r="N107" s="21" t="str">
        <f t="shared" si="26"/>
        <v/>
      </c>
      <c r="O107" s="19" t="str">
        <f t="shared" si="27"/>
        <v/>
      </c>
    </row>
    <row r="108" spans="1:15" x14ac:dyDescent="0.3">
      <c r="A108" s="19" t="str">
        <f>IF(Cadastro!$G108="","",Cadastro!$G108)</f>
        <v/>
      </c>
      <c r="B108" s="19" t="str">
        <f>IF(Cadastro!$H108="","",Cadastro!$H108)</f>
        <v/>
      </c>
      <c r="C108" s="21" t="str">
        <f>IF(Cadastro!$B108="","",Cadastro!$B108)</f>
        <v/>
      </c>
      <c r="D108" s="21" t="str">
        <f>IF(Cadastro!$C108="","",Cadastro!$C108)</f>
        <v/>
      </c>
      <c r="E108" s="19" t="str">
        <f t="shared" si="21"/>
        <v/>
      </c>
      <c r="F108" s="23">
        <f>N(Cadastro!$I108)</f>
        <v>0</v>
      </c>
      <c r="G108" s="24">
        <f>N(Cadastro!$J108)</f>
        <v>0</v>
      </c>
      <c r="H108" s="24">
        <f>N(Cadastro!$K108)</f>
        <v>0</v>
      </c>
      <c r="I108" s="19" t="str">
        <f>IF(Cadastro!$L108="","",Cadastro!$L108)</f>
        <v/>
      </c>
      <c r="J108" s="21" t="str">
        <f t="shared" si="22"/>
        <v/>
      </c>
      <c r="K108" s="21" t="str">
        <f t="shared" si="23"/>
        <v/>
      </c>
      <c r="L108" s="24" t="str">
        <f t="shared" si="24"/>
        <v/>
      </c>
      <c r="M108" s="21" t="str">
        <f t="shared" si="25"/>
        <v/>
      </c>
      <c r="N108" s="21" t="str">
        <f t="shared" si="26"/>
        <v/>
      </c>
      <c r="O108" s="19" t="str">
        <f t="shared" si="27"/>
        <v/>
      </c>
    </row>
    <row r="109" spans="1:15" x14ac:dyDescent="0.3">
      <c r="A109" s="19" t="str">
        <f>IF(Cadastro!$G109="","",Cadastro!$G109)</f>
        <v/>
      </c>
      <c r="B109" s="19" t="str">
        <f>IF(Cadastro!$H109="","",Cadastro!$H109)</f>
        <v/>
      </c>
      <c r="C109" s="21" t="str">
        <f>IF(Cadastro!$B109="","",Cadastro!$B109)</f>
        <v/>
      </c>
      <c r="D109" s="21" t="str">
        <f>IF(Cadastro!$C109="","",Cadastro!$C109)</f>
        <v/>
      </c>
      <c r="E109" s="19" t="str">
        <f t="shared" si="21"/>
        <v/>
      </c>
      <c r="F109" s="23">
        <f>N(Cadastro!$I109)</f>
        <v>0</v>
      </c>
      <c r="G109" s="24">
        <f>N(Cadastro!$J109)</f>
        <v>0</v>
      </c>
      <c r="H109" s="24">
        <f>N(Cadastro!$K109)</f>
        <v>0</v>
      </c>
      <c r="I109" s="19" t="str">
        <f>IF(Cadastro!$L109="","",Cadastro!$L109)</f>
        <v/>
      </c>
      <c r="J109" s="21" t="str">
        <f t="shared" si="22"/>
        <v/>
      </c>
      <c r="K109" s="21" t="str">
        <f t="shared" si="23"/>
        <v/>
      </c>
      <c r="L109" s="24" t="str">
        <f t="shared" si="24"/>
        <v/>
      </c>
      <c r="M109" s="21" t="str">
        <f t="shared" si="25"/>
        <v/>
      </c>
      <c r="N109" s="21" t="str">
        <f t="shared" si="26"/>
        <v/>
      </c>
      <c r="O109" s="19" t="str">
        <f t="shared" si="27"/>
        <v/>
      </c>
    </row>
    <row r="110" spans="1:15" x14ac:dyDescent="0.3">
      <c r="A110" s="19" t="str">
        <f>IF(Cadastro!$G110="","",Cadastro!$G110)</f>
        <v/>
      </c>
      <c r="B110" s="19" t="str">
        <f>IF(Cadastro!$H110="","",Cadastro!$H110)</f>
        <v/>
      </c>
      <c r="C110" s="21" t="str">
        <f>IF(Cadastro!$B110="","",Cadastro!$B110)</f>
        <v/>
      </c>
      <c r="D110" s="21" t="str">
        <f>IF(Cadastro!$C110="","",Cadastro!$C110)</f>
        <v/>
      </c>
      <c r="E110" s="19" t="str">
        <f t="shared" si="21"/>
        <v/>
      </c>
      <c r="F110" s="23">
        <f>N(Cadastro!$I110)</f>
        <v>0</v>
      </c>
      <c r="G110" s="24">
        <f>N(Cadastro!$J110)</f>
        <v>0</v>
      </c>
      <c r="H110" s="24">
        <f>N(Cadastro!$K110)</f>
        <v>0</v>
      </c>
      <c r="I110" s="19" t="str">
        <f>IF(Cadastro!$L110="","",Cadastro!$L110)</f>
        <v/>
      </c>
      <c r="J110" s="21" t="str">
        <f t="shared" si="22"/>
        <v/>
      </c>
      <c r="K110" s="21" t="str">
        <f t="shared" si="23"/>
        <v/>
      </c>
      <c r="L110" s="24" t="str">
        <f t="shared" si="24"/>
        <v/>
      </c>
      <c r="M110" s="21" t="str">
        <f t="shared" si="25"/>
        <v/>
      </c>
      <c r="N110" s="21" t="str">
        <f t="shared" si="26"/>
        <v/>
      </c>
      <c r="O110" s="19" t="str">
        <f t="shared" si="27"/>
        <v/>
      </c>
    </row>
    <row r="111" spans="1:15" x14ac:dyDescent="0.3">
      <c r="A111" s="19" t="str">
        <f>IF(Cadastro!$G111="","",Cadastro!$G111)</f>
        <v/>
      </c>
      <c r="B111" s="19" t="str">
        <f>IF(Cadastro!$H111="","",Cadastro!$H111)</f>
        <v/>
      </c>
      <c r="C111" s="21" t="str">
        <f>IF(Cadastro!$B111="","",Cadastro!$B111)</f>
        <v/>
      </c>
      <c r="D111" s="21" t="str">
        <f>IF(Cadastro!$C111="","",Cadastro!$C111)</f>
        <v/>
      </c>
      <c r="E111" s="19" t="str">
        <f t="shared" si="21"/>
        <v/>
      </c>
      <c r="F111" s="23">
        <f>N(Cadastro!$I111)</f>
        <v>0</v>
      </c>
      <c r="G111" s="24">
        <f>N(Cadastro!$J111)</f>
        <v>0</v>
      </c>
      <c r="H111" s="24">
        <f>N(Cadastro!$K111)</f>
        <v>0</v>
      </c>
      <c r="I111" s="19" t="str">
        <f>IF(Cadastro!$L111="","",Cadastro!$L111)</f>
        <v/>
      </c>
      <c r="J111" s="21" t="str">
        <f t="shared" si="22"/>
        <v/>
      </c>
      <c r="K111" s="21" t="str">
        <f t="shared" si="23"/>
        <v/>
      </c>
      <c r="L111" s="24" t="str">
        <f t="shared" si="24"/>
        <v/>
      </c>
      <c r="M111" s="21" t="str">
        <f t="shared" si="25"/>
        <v/>
      </c>
      <c r="N111" s="21" t="str">
        <f t="shared" si="26"/>
        <v/>
      </c>
      <c r="O111" s="19" t="str">
        <f t="shared" si="27"/>
        <v/>
      </c>
    </row>
    <row r="112" spans="1:15" x14ac:dyDescent="0.3">
      <c r="A112" s="19" t="str">
        <f>IF(Cadastro!$G112="","",Cadastro!$G112)</f>
        <v/>
      </c>
      <c r="B112" s="19" t="str">
        <f>IF(Cadastro!$H112="","",Cadastro!$H112)</f>
        <v/>
      </c>
      <c r="C112" s="21" t="str">
        <f>IF(Cadastro!$B112="","",Cadastro!$B112)</f>
        <v/>
      </c>
      <c r="D112" s="21" t="str">
        <f>IF(Cadastro!$C112="","",Cadastro!$C112)</f>
        <v/>
      </c>
      <c r="E112" s="19" t="str">
        <f t="shared" si="21"/>
        <v/>
      </c>
      <c r="F112" s="23">
        <f>N(Cadastro!$I112)</f>
        <v>0</v>
      </c>
      <c r="G112" s="24">
        <f>N(Cadastro!$J112)</f>
        <v>0</v>
      </c>
      <c r="H112" s="24">
        <f>N(Cadastro!$K112)</f>
        <v>0</v>
      </c>
      <c r="I112" s="19" t="str">
        <f>IF(Cadastro!$L112="","",Cadastro!$L112)</f>
        <v/>
      </c>
      <c r="J112" s="21" t="str">
        <f t="shared" si="22"/>
        <v/>
      </c>
      <c r="K112" s="21" t="str">
        <f t="shared" si="23"/>
        <v/>
      </c>
      <c r="L112" s="24" t="str">
        <f t="shared" si="24"/>
        <v/>
      </c>
      <c r="M112" s="21" t="str">
        <f t="shared" si="25"/>
        <v/>
      </c>
      <c r="N112" s="21" t="str">
        <f t="shared" si="26"/>
        <v/>
      </c>
      <c r="O112" s="19" t="str">
        <f t="shared" si="27"/>
        <v/>
      </c>
    </row>
    <row r="113" spans="1:15" x14ac:dyDescent="0.3">
      <c r="A113" s="19" t="str">
        <f>IF(Cadastro!$G113="","",Cadastro!$G113)</f>
        <v/>
      </c>
      <c r="B113" s="19" t="str">
        <f>IF(Cadastro!$H113="","",Cadastro!$H113)</f>
        <v/>
      </c>
      <c r="C113" s="21" t="str">
        <f>IF(Cadastro!$B113="","",Cadastro!$B113)</f>
        <v/>
      </c>
      <c r="D113" s="21" t="str">
        <f>IF(Cadastro!$C113="","",Cadastro!$C113)</f>
        <v/>
      </c>
      <c r="E113" s="19" t="str">
        <f t="shared" si="21"/>
        <v/>
      </c>
      <c r="F113" s="23">
        <f>N(Cadastro!$I113)</f>
        <v>0</v>
      </c>
      <c r="G113" s="24">
        <f>N(Cadastro!$J113)</f>
        <v>0</v>
      </c>
      <c r="H113" s="24">
        <f>N(Cadastro!$K113)</f>
        <v>0</v>
      </c>
      <c r="I113" s="19" t="str">
        <f>IF(Cadastro!$L113="","",Cadastro!$L113)</f>
        <v/>
      </c>
      <c r="J113" s="21" t="str">
        <f t="shared" si="22"/>
        <v/>
      </c>
      <c r="K113" s="21" t="str">
        <f t="shared" si="23"/>
        <v/>
      </c>
      <c r="L113" s="24" t="str">
        <f t="shared" si="24"/>
        <v/>
      </c>
      <c r="M113" s="21" t="str">
        <f t="shared" si="25"/>
        <v/>
      </c>
      <c r="N113" s="21" t="str">
        <f t="shared" si="26"/>
        <v/>
      </c>
      <c r="O113" s="19" t="str">
        <f t="shared" si="27"/>
        <v/>
      </c>
    </row>
    <row r="114" spans="1:15" x14ac:dyDescent="0.3">
      <c r="A114" s="19" t="str">
        <f>IF(Cadastro!$G114="","",Cadastro!$G114)</f>
        <v/>
      </c>
      <c r="B114" s="19" t="str">
        <f>IF(Cadastro!$H114="","",Cadastro!$H114)</f>
        <v/>
      </c>
      <c r="C114" s="21" t="str">
        <f>IF(Cadastro!$B114="","",Cadastro!$B114)</f>
        <v/>
      </c>
      <c r="D114" s="21" t="str">
        <f>IF(Cadastro!$C114="","",Cadastro!$C114)</f>
        <v/>
      </c>
      <c r="E114" s="19" t="str">
        <f t="shared" si="21"/>
        <v/>
      </c>
      <c r="F114" s="23">
        <f>N(Cadastro!$I114)</f>
        <v>0</v>
      </c>
      <c r="G114" s="24">
        <f>N(Cadastro!$J114)</f>
        <v>0</v>
      </c>
      <c r="H114" s="24">
        <f>N(Cadastro!$K114)</f>
        <v>0</v>
      </c>
      <c r="I114" s="19" t="str">
        <f>IF(Cadastro!$L114="","",Cadastro!$L114)</f>
        <v/>
      </c>
      <c r="J114" s="21" t="str">
        <f t="shared" si="22"/>
        <v/>
      </c>
      <c r="K114" s="21" t="str">
        <f t="shared" si="23"/>
        <v/>
      </c>
      <c r="L114" s="24" t="str">
        <f t="shared" si="24"/>
        <v/>
      </c>
      <c r="M114" s="21" t="str">
        <f t="shared" si="25"/>
        <v/>
      </c>
      <c r="N114" s="21" t="str">
        <f t="shared" si="26"/>
        <v/>
      </c>
      <c r="O114" s="19" t="str">
        <f t="shared" si="27"/>
        <v/>
      </c>
    </row>
    <row r="115" spans="1:15" x14ac:dyDescent="0.3">
      <c r="A115" s="19" t="str">
        <f>IF(Cadastro!$G115="","",Cadastro!$G115)</f>
        <v/>
      </c>
      <c r="B115" s="19" t="str">
        <f>IF(Cadastro!$H115="","",Cadastro!$H115)</f>
        <v/>
      </c>
      <c r="C115" s="21" t="str">
        <f>IF(Cadastro!$B115="","",Cadastro!$B115)</f>
        <v/>
      </c>
      <c r="D115" s="21" t="str">
        <f>IF(Cadastro!$C115="","",Cadastro!$C115)</f>
        <v/>
      </c>
      <c r="E115" s="19" t="str">
        <f t="shared" si="21"/>
        <v/>
      </c>
      <c r="F115" s="23">
        <f>N(Cadastro!$I115)</f>
        <v>0</v>
      </c>
      <c r="G115" s="24">
        <f>N(Cadastro!$J115)</f>
        <v>0</v>
      </c>
      <c r="H115" s="24">
        <f>N(Cadastro!$K115)</f>
        <v>0</v>
      </c>
      <c r="I115" s="19" t="str">
        <f>IF(Cadastro!$L115="","",Cadastro!$L115)</f>
        <v/>
      </c>
      <c r="J115" s="21" t="str">
        <f t="shared" si="22"/>
        <v/>
      </c>
      <c r="K115" s="21" t="str">
        <f t="shared" si="23"/>
        <v/>
      </c>
      <c r="L115" s="24" t="str">
        <f t="shared" si="24"/>
        <v/>
      </c>
      <c r="M115" s="21" t="str">
        <f t="shared" si="25"/>
        <v/>
      </c>
      <c r="N115" s="21" t="str">
        <f t="shared" si="26"/>
        <v/>
      </c>
      <c r="O115" s="19" t="str">
        <f t="shared" si="27"/>
        <v/>
      </c>
    </row>
    <row r="116" spans="1:15" x14ac:dyDescent="0.3">
      <c r="A116" s="19" t="str">
        <f>IF(Cadastro!$G116="","",Cadastro!$G116)</f>
        <v/>
      </c>
      <c r="B116" s="19" t="str">
        <f>IF(Cadastro!$H116="","",Cadastro!$H116)</f>
        <v/>
      </c>
      <c r="C116" s="21" t="str">
        <f>IF(Cadastro!$B116="","",Cadastro!$B116)</f>
        <v/>
      </c>
      <c r="D116" s="21" t="str">
        <f>IF(Cadastro!$C116="","",Cadastro!$C116)</f>
        <v/>
      </c>
      <c r="E116" s="19" t="str">
        <f t="shared" si="21"/>
        <v/>
      </c>
      <c r="F116" s="23">
        <f>N(Cadastro!$I116)</f>
        <v>0</v>
      </c>
      <c r="G116" s="24">
        <f>N(Cadastro!$J116)</f>
        <v>0</v>
      </c>
      <c r="H116" s="24">
        <f>N(Cadastro!$K116)</f>
        <v>0</v>
      </c>
      <c r="I116" s="19" t="str">
        <f>IF(Cadastro!$L116="","",Cadastro!$L116)</f>
        <v/>
      </c>
      <c r="J116" s="21" t="str">
        <f t="shared" si="22"/>
        <v/>
      </c>
      <c r="K116" s="21" t="str">
        <f t="shared" si="23"/>
        <v/>
      </c>
      <c r="L116" s="24" t="str">
        <f t="shared" si="24"/>
        <v/>
      </c>
      <c r="M116" s="21" t="str">
        <f t="shared" si="25"/>
        <v/>
      </c>
      <c r="N116" s="21" t="str">
        <f t="shared" si="26"/>
        <v/>
      </c>
      <c r="O116" s="19" t="str">
        <f t="shared" si="27"/>
        <v/>
      </c>
    </row>
    <row r="117" spans="1:15" x14ac:dyDescent="0.3">
      <c r="A117" s="19" t="str">
        <f>IF(Cadastro!$G117="","",Cadastro!$G117)</f>
        <v/>
      </c>
      <c r="B117" s="19" t="str">
        <f>IF(Cadastro!$H117="","",Cadastro!$H117)</f>
        <v/>
      </c>
      <c r="C117" s="21" t="str">
        <f>IF(Cadastro!$B117="","",Cadastro!$B117)</f>
        <v/>
      </c>
      <c r="D117" s="21" t="str">
        <f>IF(Cadastro!$C117="","",Cadastro!$C117)</f>
        <v/>
      </c>
      <c r="E117" s="19" t="str">
        <f t="shared" si="21"/>
        <v/>
      </c>
      <c r="F117" s="23">
        <f>N(Cadastro!$I117)</f>
        <v>0</v>
      </c>
      <c r="G117" s="24">
        <f>N(Cadastro!$J117)</f>
        <v>0</v>
      </c>
      <c r="H117" s="24">
        <f>N(Cadastro!$K117)</f>
        <v>0</v>
      </c>
      <c r="I117" s="19" t="str">
        <f>IF(Cadastro!$L117="","",Cadastro!$L117)</f>
        <v/>
      </c>
      <c r="J117" s="21" t="str">
        <f t="shared" si="22"/>
        <v/>
      </c>
      <c r="K117" s="21" t="str">
        <f t="shared" si="23"/>
        <v/>
      </c>
      <c r="L117" s="24" t="str">
        <f t="shared" si="24"/>
        <v/>
      </c>
      <c r="M117" s="21" t="str">
        <f t="shared" si="25"/>
        <v/>
      </c>
      <c r="N117" s="21" t="str">
        <f t="shared" si="26"/>
        <v/>
      </c>
      <c r="O117" s="19" t="str">
        <f t="shared" si="27"/>
        <v/>
      </c>
    </row>
    <row r="118" spans="1:15" x14ac:dyDescent="0.3">
      <c r="A118" s="19" t="str">
        <f>IF(Cadastro!$G118="","",Cadastro!$G118)</f>
        <v/>
      </c>
      <c r="B118" s="19" t="str">
        <f>IF(Cadastro!$H118="","",Cadastro!$H118)</f>
        <v/>
      </c>
      <c r="C118" s="21" t="str">
        <f>IF(Cadastro!$B118="","",Cadastro!$B118)</f>
        <v/>
      </c>
      <c r="D118" s="21" t="str">
        <f>IF(Cadastro!$C118="","",Cadastro!$C118)</f>
        <v/>
      </c>
      <c r="E118" s="19" t="str">
        <f t="shared" si="21"/>
        <v/>
      </c>
      <c r="F118" s="23">
        <f>N(Cadastro!$I118)</f>
        <v>0</v>
      </c>
      <c r="G118" s="24">
        <f>N(Cadastro!$J118)</f>
        <v>0</v>
      </c>
      <c r="H118" s="24">
        <f>N(Cadastro!$K118)</f>
        <v>0</v>
      </c>
      <c r="I118" s="19" t="str">
        <f>IF(Cadastro!$L118="","",Cadastro!$L118)</f>
        <v/>
      </c>
      <c r="J118" s="21" t="str">
        <f t="shared" si="22"/>
        <v/>
      </c>
      <c r="K118" s="21" t="str">
        <f t="shared" si="23"/>
        <v/>
      </c>
      <c r="L118" s="24" t="str">
        <f t="shared" si="24"/>
        <v/>
      </c>
      <c r="M118" s="21" t="str">
        <f t="shared" si="25"/>
        <v/>
      </c>
      <c r="N118" s="21" t="str">
        <f t="shared" si="26"/>
        <v/>
      </c>
      <c r="O118" s="19" t="str">
        <f t="shared" si="27"/>
        <v/>
      </c>
    </row>
    <row r="119" spans="1:15" x14ac:dyDescent="0.3">
      <c r="A119" s="19" t="str">
        <f>IF(Cadastro!$G119="","",Cadastro!$G119)</f>
        <v/>
      </c>
      <c r="B119" s="19" t="str">
        <f>IF(Cadastro!$H119="","",Cadastro!$H119)</f>
        <v/>
      </c>
      <c r="C119" s="21" t="str">
        <f>IF(Cadastro!$B119="","",Cadastro!$B119)</f>
        <v/>
      </c>
      <c r="D119" s="21" t="str">
        <f>IF(Cadastro!$C119="","",Cadastro!$C119)</f>
        <v/>
      </c>
      <c r="E119" s="19" t="str">
        <f t="shared" si="21"/>
        <v/>
      </c>
      <c r="F119" s="23">
        <f>N(Cadastro!$I119)</f>
        <v>0</v>
      </c>
      <c r="G119" s="24">
        <f>N(Cadastro!$J119)</f>
        <v>0</v>
      </c>
      <c r="H119" s="24">
        <f>N(Cadastro!$K119)</f>
        <v>0</v>
      </c>
      <c r="I119" s="19" t="str">
        <f>IF(Cadastro!$L119="","",Cadastro!$L119)</f>
        <v/>
      </c>
      <c r="J119" s="21" t="str">
        <f t="shared" si="22"/>
        <v/>
      </c>
      <c r="K119" s="21" t="str">
        <f t="shared" si="23"/>
        <v/>
      </c>
      <c r="L119" s="24" t="str">
        <f t="shared" si="24"/>
        <v/>
      </c>
      <c r="M119" s="21" t="str">
        <f t="shared" si="25"/>
        <v/>
      </c>
      <c r="N119" s="21" t="str">
        <f t="shared" si="26"/>
        <v/>
      </c>
      <c r="O119" s="19" t="str">
        <f t="shared" si="27"/>
        <v/>
      </c>
    </row>
    <row r="120" spans="1:15" x14ac:dyDescent="0.3">
      <c r="A120" s="19" t="str">
        <f>IF(Cadastro!$G120="","",Cadastro!$G120)</f>
        <v/>
      </c>
      <c r="B120" s="19" t="str">
        <f>IF(Cadastro!$H120="","",Cadastro!$H120)</f>
        <v/>
      </c>
      <c r="C120" s="21" t="str">
        <f>IF(Cadastro!$B120="","",Cadastro!$B120)</f>
        <v/>
      </c>
      <c r="D120" s="21" t="str">
        <f>IF(Cadastro!$C120="","",Cadastro!$C120)</f>
        <v/>
      </c>
      <c r="E120" s="19" t="str">
        <f t="shared" si="21"/>
        <v/>
      </c>
      <c r="F120" s="23">
        <f>N(Cadastro!$I120)</f>
        <v>0</v>
      </c>
      <c r="G120" s="24">
        <f>N(Cadastro!$J120)</f>
        <v>0</v>
      </c>
      <c r="H120" s="24">
        <f>N(Cadastro!$K120)</f>
        <v>0</v>
      </c>
      <c r="I120" s="19" t="str">
        <f>IF(Cadastro!$L120="","",Cadastro!$L120)</f>
        <v/>
      </c>
      <c r="J120" s="21" t="str">
        <f t="shared" si="22"/>
        <v/>
      </c>
      <c r="K120" s="21" t="str">
        <f t="shared" si="23"/>
        <v/>
      </c>
      <c r="L120" s="24" t="str">
        <f t="shared" si="24"/>
        <v/>
      </c>
      <c r="M120" s="21" t="str">
        <f t="shared" si="25"/>
        <v/>
      </c>
      <c r="N120" s="21" t="str">
        <f t="shared" si="26"/>
        <v/>
      </c>
      <c r="O120" s="19" t="str">
        <f t="shared" si="27"/>
        <v/>
      </c>
    </row>
    <row r="121" spans="1:15" x14ac:dyDescent="0.3">
      <c r="A121" s="19" t="str">
        <f>IF(Cadastro!$G121="","",Cadastro!$G121)</f>
        <v/>
      </c>
      <c r="B121" s="19" t="str">
        <f>IF(Cadastro!$H121="","",Cadastro!$H121)</f>
        <v/>
      </c>
      <c r="C121" s="21" t="str">
        <f>IF(Cadastro!$B121="","",Cadastro!$B121)</f>
        <v/>
      </c>
      <c r="D121" s="21" t="str">
        <f>IF(Cadastro!$C121="","",Cadastro!$C121)</f>
        <v/>
      </c>
      <c r="E121" s="19" t="str">
        <f t="shared" si="21"/>
        <v/>
      </c>
      <c r="F121" s="23">
        <f>N(Cadastro!$I121)</f>
        <v>0</v>
      </c>
      <c r="G121" s="24">
        <f>N(Cadastro!$J121)</f>
        <v>0</v>
      </c>
      <c r="H121" s="24">
        <f>N(Cadastro!$K121)</f>
        <v>0</v>
      </c>
      <c r="I121" s="19" t="str">
        <f>IF(Cadastro!$L121="","",Cadastro!$L121)</f>
        <v/>
      </c>
      <c r="J121" s="21" t="str">
        <f t="shared" si="22"/>
        <v/>
      </c>
      <c r="K121" s="21" t="str">
        <f t="shared" si="23"/>
        <v/>
      </c>
      <c r="L121" s="24" t="str">
        <f t="shared" si="24"/>
        <v/>
      </c>
      <c r="M121" s="21" t="str">
        <f t="shared" si="25"/>
        <v/>
      </c>
      <c r="N121" s="21" t="str">
        <f t="shared" si="26"/>
        <v/>
      </c>
      <c r="O121" s="19" t="str">
        <f t="shared" si="27"/>
        <v/>
      </c>
    </row>
    <row r="122" spans="1:15" x14ac:dyDescent="0.3">
      <c r="A122" s="19" t="str">
        <f>IF(Cadastro!$G122="","",Cadastro!$G122)</f>
        <v/>
      </c>
      <c r="B122" s="19" t="str">
        <f>IF(Cadastro!$H122="","",Cadastro!$H122)</f>
        <v/>
      </c>
      <c r="C122" s="21" t="str">
        <f>IF(Cadastro!$B122="","",Cadastro!$B122)</f>
        <v/>
      </c>
      <c r="D122" s="21" t="str">
        <f>IF(Cadastro!$C122="","",Cadastro!$C122)</f>
        <v/>
      </c>
      <c r="E122" s="19" t="str">
        <f t="shared" si="21"/>
        <v/>
      </c>
      <c r="F122" s="23">
        <f>N(Cadastro!$I122)</f>
        <v>0</v>
      </c>
      <c r="G122" s="24">
        <f>N(Cadastro!$J122)</f>
        <v>0</v>
      </c>
      <c r="H122" s="24">
        <f>N(Cadastro!$K122)</f>
        <v>0</v>
      </c>
      <c r="I122" s="19" t="str">
        <f>IF(Cadastro!$L122="","",Cadastro!$L122)</f>
        <v/>
      </c>
      <c r="J122" s="21" t="str">
        <f t="shared" si="22"/>
        <v/>
      </c>
      <c r="K122" s="21" t="str">
        <f t="shared" si="23"/>
        <v/>
      </c>
      <c r="L122" s="24" t="str">
        <f t="shared" si="24"/>
        <v/>
      </c>
      <c r="M122" s="21" t="str">
        <f t="shared" si="25"/>
        <v/>
      </c>
      <c r="N122" s="21" t="str">
        <f t="shared" si="26"/>
        <v/>
      </c>
      <c r="O122" s="19" t="str">
        <f t="shared" si="27"/>
        <v/>
      </c>
    </row>
    <row r="123" spans="1:15" x14ac:dyDescent="0.3">
      <c r="A123" s="19" t="str">
        <f>IF(Cadastro!$G123="","",Cadastro!$G123)</f>
        <v/>
      </c>
      <c r="B123" s="19" t="str">
        <f>IF(Cadastro!$H123="","",Cadastro!$H123)</f>
        <v/>
      </c>
      <c r="C123" s="21" t="str">
        <f>IF(Cadastro!$B123="","",Cadastro!$B123)</f>
        <v/>
      </c>
      <c r="D123" s="21" t="str">
        <f>IF(Cadastro!$C123="","",Cadastro!$C123)</f>
        <v/>
      </c>
      <c r="E123" s="19" t="str">
        <f t="shared" si="21"/>
        <v/>
      </c>
      <c r="F123" s="23">
        <f>N(Cadastro!$I123)</f>
        <v>0</v>
      </c>
      <c r="G123" s="24">
        <f>N(Cadastro!$J123)</f>
        <v>0</v>
      </c>
      <c r="H123" s="24">
        <f>N(Cadastro!$K123)</f>
        <v>0</v>
      </c>
      <c r="I123" s="19" t="str">
        <f>IF(Cadastro!$L123="","",Cadastro!$L123)</f>
        <v/>
      </c>
      <c r="J123" s="21" t="str">
        <f t="shared" si="22"/>
        <v/>
      </c>
      <c r="K123" s="21" t="str">
        <f t="shared" si="23"/>
        <v/>
      </c>
      <c r="L123" s="24" t="str">
        <f t="shared" si="24"/>
        <v/>
      </c>
      <c r="M123" s="21" t="str">
        <f t="shared" si="25"/>
        <v/>
      </c>
      <c r="N123" s="21" t="str">
        <f t="shared" si="26"/>
        <v/>
      </c>
      <c r="O123" s="19" t="str">
        <f t="shared" si="27"/>
        <v/>
      </c>
    </row>
    <row r="124" spans="1:15" x14ac:dyDescent="0.3">
      <c r="A124" s="19" t="str">
        <f>IF(Cadastro!$G124="","",Cadastro!$G124)</f>
        <v/>
      </c>
      <c r="B124" s="19" t="str">
        <f>IF(Cadastro!$H124="","",Cadastro!$H124)</f>
        <v/>
      </c>
      <c r="C124" s="21" t="str">
        <f>IF(Cadastro!$B124="","",Cadastro!$B124)</f>
        <v/>
      </c>
      <c r="D124" s="21" t="str">
        <f>IF(Cadastro!$C124="","",Cadastro!$C124)</f>
        <v/>
      </c>
      <c r="E124" s="19" t="str">
        <f t="shared" si="21"/>
        <v/>
      </c>
      <c r="F124" s="23">
        <f>N(Cadastro!$I124)</f>
        <v>0</v>
      </c>
      <c r="G124" s="24">
        <f>N(Cadastro!$J124)</f>
        <v>0</v>
      </c>
      <c r="H124" s="24">
        <f>N(Cadastro!$K124)</f>
        <v>0</v>
      </c>
      <c r="I124" s="19" t="str">
        <f>IF(Cadastro!$L124="","",Cadastro!$L124)</f>
        <v/>
      </c>
      <c r="J124" s="21" t="str">
        <f t="shared" si="22"/>
        <v/>
      </c>
      <c r="K124" s="21" t="str">
        <f t="shared" si="23"/>
        <v/>
      </c>
      <c r="L124" s="24" t="str">
        <f t="shared" si="24"/>
        <v/>
      </c>
      <c r="M124" s="21" t="str">
        <f t="shared" si="25"/>
        <v/>
      </c>
      <c r="N124" s="21" t="str">
        <f t="shared" si="26"/>
        <v/>
      </c>
      <c r="O124" s="19" t="str">
        <f t="shared" si="27"/>
        <v/>
      </c>
    </row>
    <row r="125" spans="1:15" x14ac:dyDescent="0.3">
      <c r="A125" s="19" t="str">
        <f>IF(Cadastro!$G125="","",Cadastro!$G125)</f>
        <v/>
      </c>
      <c r="B125" s="19" t="str">
        <f>IF(Cadastro!$H125="","",Cadastro!$H125)</f>
        <v/>
      </c>
      <c r="C125" s="21" t="str">
        <f>IF(Cadastro!$B125="","",Cadastro!$B125)</f>
        <v/>
      </c>
      <c r="D125" s="21" t="str">
        <f>IF(Cadastro!$C125="","",Cadastro!$C125)</f>
        <v/>
      </c>
      <c r="E125" s="19" t="str">
        <f t="shared" si="21"/>
        <v/>
      </c>
      <c r="F125" s="23">
        <f>N(Cadastro!$I125)</f>
        <v>0</v>
      </c>
      <c r="G125" s="24">
        <f>N(Cadastro!$J125)</f>
        <v>0</v>
      </c>
      <c r="H125" s="24">
        <f>N(Cadastro!$K125)</f>
        <v>0</v>
      </c>
      <c r="I125" s="19" t="str">
        <f>IF(Cadastro!$L125="","",Cadastro!$L125)</f>
        <v/>
      </c>
      <c r="J125" s="21" t="str">
        <f t="shared" si="22"/>
        <v/>
      </c>
      <c r="K125" s="21" t="str">
        <f t="shared" si="23"/>
        <v/>
      </c>
      <c r="L125" s="24" t="str">
        <f t="shared" si="24"/>
        <v/>
      </c>
      <c r="M125" s="21" t="str">
        <f t="shared" si="25"/>
        <v/>
      </c>
      <c r="N125" s="21" t="str">
        <f t="shared" si="26"/>
        <v/>
      </c>
      <c r="O125" s="19" t="str">
        <f t="shared" si="27"/>
        <v/>
      </c>
    </row>
    <row r="126" spans="1:15" x14ac:dyDescent="0.3">
      <c r="A126" s="19" t="str">
        <f>IF(Cadastro!$G126="","",Cadastro!$G126)</f>
        <v/>
      </c>
      <c r="B126" s="19" t="str">
        <f>IF(Cadastro!$H126="","",Cadastro!$H126)</f>
        <v/>
      </c>
      <c r="C126" s="21" t="str">
        <f>IF(Cadastro!$B126="","",Cadastro!$B126)</f>
        <v/>
      </c>
      <c r="D126" s="21" t="str">
        <f>IF(Cadastro!$C126="","",Cadastro!$C126)</f>
        <v/>
      </c>
      <c r="E126" s="19" t="str">
        <f t="shared" si="21"/>
        <v/>
      </c>
      <c r="F126" s="23">
        <f>N(Cadastro!$I126)</f>
        <v>0</v>
      </c>
      <c r="G126" s="24">
        <f>N(Cadastro!$J126)</f>
        <v>0</v>
      </c>
      <c r="H126" s="24">
        <f>N(Cadastro!$K126)</f>
        <v>0</v>
      </c>
      <c r="I126" s="19" t="str">
        <f>IF(Cadastro!$L126="","",Cadastro!$L126)</f>
        <v/>
      </c>
      <c r="J126" s="21" t="str">
        <f t="shared" si="22"/>
        <v/>
      </c>
      <c r="K126" s="21" t="str">
        <f t="shared" si="23"/>
        <v/>
      </c>
      <c r="L126" s="24" t="str">
        <f t="shared" si="24"/>
        <v/>
      </c>
      <c r="M126" s="21" t="str">
        <f t="shared" si="25"/>
        <v/>
      </c>
      <c r="N126" s="21" t="str">
        <f t="shared" si="26"/>
        <v/>
      </c>
      <c r="O126" s="19" t="str">
        <f t="shared" si="27"/>
        <v/>
      </c>
    </row>
    <row r="127" spans="1:15" x14ac:dyDescent="0.3">
      <c r="A127" s="19" t="str">
        <f>IF(Cadastro!$G127="","",Cadastro!$G127)</f>
        <v/>
      </c>
      <c r="B127" s="19" t="str">
        <f>IF(Cadastro!$H127="","",Cadastro!$H127)</f>
        <v/>
      </c>
      <c r="C127" s="21" t="str">
        <f>IF(Cadastro!$B127="","",Cadastro!$B127)</f>
        <v/>
      </c>
      <c r="D127" s="21" t="str">
        <f>IF(Cadastro!$C127="","",Cadastro!$C127)</f>
        <v/>
      </c>
      <c r="E127" s="19" t="str">
        <f t="shared" si="21"/>
        <v/>
      </c>
      <c r="F127" s="23">
        <f>N(Cadastro!$I127)</f>
        <v>0</v>
      </c>
      <c r="G127" s="24">
        <f>N(Cadastro!$J127)</f>
        <v>0</v>
      </c>
      <c r="H127" s="24">
        <f>N(Cadastro!$K127)</f>
        <v>0</v>
      </c>
      <c r="I127" s="19" t="str">
        <f>IF(Cadastro!$L127="","",Cadastro!$L127)</f>
        <v/>
      </c>
      <c r="J127" s="21" t="str">
        <f t="shared" si="22"/>
        <v/>
      </c>
      <c r="K127" s="21" t="str">
        <f t="shared" si="23"/>
        <v/>
      </c>
      <c r="L127" s="24" t="str">
        <f t="shared" si="24"/>
        <v/>
      </c>
      <c r="M127" s="21" t="str">
        <f t="shared" si="25"/>
        <v/>
      </c>
      <c r="N127" s="21" t="str">
        <f t="shared" si="26"/>
        <v/>
      </c>
      <c r="O127" s="19" t="str">
        <f t="shared" si="27"/>
        <v/>
      </c>
    </row>
    <row r="128" spans="1:15" x14ac:dyDescent="0.3">
      <c r="A128" s="19" t="str">
        <f>IF(Cadastro!$G128="","",Cadastro!$G128)</f>
        <v/>
      </c>
      <c r="B128" s="19" t="str">
        <f>IF(Cadastro!$H128="","",Cadastro!$H128)</f>
        <v/>
      </c>
      <c r="C128" s="21" t="str">
        <f>IF(Cadastro!$B128="","",Cadastro!$B128)</f>
        <v/>
      </c>
      <c r="D128" s="21" t="str">
        <f>IF(Cadastro!$C128="","",Cadastro!$C128)</f>
        <v/>
      </c>
      <c r="E128" s="19" t="str">
        <f t="shared" si="21"/>
        <v/>
      </c>
      <c r="F128" s="23">
        <f>N(Cadastro!$I128)</f>
        <v>0</v>
      </c>
      <c r="G128" s="24">
        <f>N(Cadastro!$J128)</f>
        <v>0</v>
      </c>
      <c r="H128" s="24">
        <f>N(Cadastro!$K128)</f>
        <v>0</v>
      </c>
      <c r="I128" s="19" t="str">
        <f>IF(Cadastro!$L128="","",Cadastro!$L128)</f>
        <v/>
      </c>
      <c r="J128" s="21" t="str">
        <f t="shared" si="22"/>
        <v/>
      </c>
      <c r="K128" s="21" t="str">
        <f t="shared" si="23"/>
        <v/>
      </c>
      <c r="L128" s="24" t="str">
        <f t="shared" si="24"/>
        <v/>
      </c>
      <c r="M128" s="21" t="str">
        <f t="shared" si="25"/>
        <v/>
      </c>
      <c r="N128" s="21" t="str">
        <f t="shared" si="26"/>
        <v/>
      </c>
      <c r="O128" s="19" t="str">
        <f t="shared" si="27"/>
        <v/>
      </c>
    </row>
    <row r="129" spans="1:15" x14ac:dyDescent="0.3">
      <c r="A129" s="19" t="str">
        <f>IF(Cadastro!$G129="","",Cadastro!$G129)</f>
        <v/>
      </c>
      <c r="B129" s="19" t="str">
        <f>IF(Cadastro!$H129="","",Cadastro!$H129)</f>
        <v/>
      </c>
      <c r="C129" s="21" t="str">
        <f>IF(Cadastro!$B129="","",Cadastro!$B129)</f>
        <v/>
      </c>
      <c r="D129" s="21" t="str">
        <f>IF(Cadastro!$C129="","",Cadastro!$C129)</f>
        <v/>
      </c>
      <c r="E129" s="19" t="str">
        <f t="shared" si="21"/>
        <v/>
      </c>
      <c r="F129" s="23">
        <f>N(Cadastro!$I129)</f>
        <v>0</v>
      </c>
      <c r="G129" s="24">
        <f>N(Cadastro!$J129)</f>
        <v>0</v>
      </c>
      <c r="H129" s="24">
        <f>N(Cadastro!$K129)</f>
        <v>0</v>
      </c>
      <c r="I129" s="19" t="str">
        <f>IF(Cadastro!$L129="","",Cadastro!$L129)</f>
        <v/>
      </c>
      <c r="J129" s="21" t="str">
        <f t="shared" si="22"/>
        <v/>
      </c>
      <c r="K129" s="21" t="str">
        <f t="shared" si="23"/>
        <v/>
      </c>
      <c r="L129" s="24" t="str">
        <f t="shared" si="24"/>
        <v/>
      </c>
      <c r="M129" s="21" t="str">
        <f t="shared" si="25"/>
        <v/>
      </c>
      <c r="N129" s="21" t="str">
        <f t="shared" si="26"/>
        <v/>
      </c>
      <c r="O129" s="19" t="str">
        <f t="shared" si="27"/>
        <v/>
      </c>
    </row>
    <row r="130" spans="1:15" x14ac:dyDescent="0.3">
      <c r="A130" s="19" t="str">
        <f>IF(Cadastro!$G130="","",Cadastro!$G130)</f>
        <v/>
      </c>
      <c r="B130" s="19" t="str">
        <f>IF(Cadastro!$H130="","",Cadastro!$H130)</f>
        <v/>
      </c>
      <c r="C130" s="21" t="str">
        <f>IF(Cadastro!$B130="","",Cadastro!$B130)</f>
        <v/>
      </c>
      <c r="D130" s="21" t="str">
        <f>IF(Cadastro!$C130="","",Cadastro!$C130)</f>
        <v/>
      </c>
      <c r="E130" s="19" t="str">
        <f t="shared" si="21"/>
        <v/>
      </c>
      <c r="F130" s="23">
        <f>N(Cadastro!$I130)</f>
        <v>0</v>
      </c>
      <c r="G130" s="24">
        <f>N(Cadastro!$J130)</f>
        <v>0</v>
      </c>
      <c r="H130" s="24">
        <f>N(Cadastro!$K130)</f>
        <v>0</v>
      </c>
      <c r="I130" s="19" t="str">
        <f>IF(Cadastro!$L130="","",Cadastro!$L130)</f>
        <v/>
      </c>
      <c r="J130" s="21" t="str">
        <f t="shared" si="22"/>
        <v/>
      </c>
      <c r="K130" s="21" t="str">
        <f t="shared" si="23"/>
        <v/>
      </c>
      <c r="L130" s="24" t="str">
        <f t="shared" si="24"/>
        <v/>
      </c>
      <c r="M130" s="21" t="str">
        <f t="shared" si="25"/>
        <v/>
      </c>
      <c r="N130" s="21" t="str">
        <f t="shared" si="26"/>
        <v/>
      </c>
      <c r="O130" s="19" t="str">
        <f t="shared" si="27"/>
        <v/>
      </c>
    </row>
    <row r="131" spans="1:15" x14ac:dyDescent="0.3">
      <c r="A131" s="19" t="str">
        <f>IF(Cadastro!$G131="","",Cadastro!$G131)</f>
        <v/>
      </c>
      <c r="B131" s="19" t="str">
        <f>IF(Cadastro!$H131="","",Cadastro!$H131)</f>
        <v/>
      </c>
      <c r="C131" s="21" t="str">
        <f>IF(Cadastro!$B131="","",Cadastro!$B131)</f>
        <v/>
      </c>
      <c r="D131" s="21" t="str">
        <f>IF(Cadastro!$C131="","",Cadastro!$C131)</f>
        <v/>
      </c>
      <c r="E131" s="19" t="str">
        <f t="shared" si="21"/>
        <v/>
      </c>
      <c r="F131" s="23">
        <f>N(Cadastro!$I131)</f>
        <v>0</v>
      </c>
      <c r="G131" s="24">
        <f>N(Cadastro!$J131)</f>
        <v>0</v>
      </c>
      <c r="H131" s="24">
        <f>N(Cadastro!$K131)</f>
        <v>0</v>
      </c>
      <c r="I131" s="19" t="str">
        <f>IF(Cadastro!$L131="","",Cadastro!$L131)</f>
        <v/>
      </c>
      <c r="J131" s="21" t="str">
        <f t="shared" si="22"/>
        <v/>
      </c>
      <c r="K131" s="21" t="str">
        <f t="shared" si="23"/>
        <v/>
      </c>
      <c r="L131" s="24" t="str">
        <f t="shared" si="24"/>
        <v/>
      </c>
      <c r="M131" s="21" t="str">
        <f t="shared" si="25"/>
        <v/>
      </c>
      <c r="N131" s="21" t="str">
        <f t="shared" si="26"/>
        <v/>
      </c>
      <c r="O131" s="19" t="str">
        <f t="shared" si="27"/>
        <v/>
      </c>
    </row>
    <row r="132" spans="1:15" x14ac:dyDescent="0.3">
      <c r="A132" s="19" t="str">
        <f>IF(Cadastro!$G132="","",Cadastro!$G132)</f>
        <v/>
      </c>
      <c r="B132" s="19" t="str">
        <f>IF(Cadastro!$H132="","",Cadastro!$H132)</f>
        <v/>
      </c>
      <c r="C132" s="21" t="str">
        <f>IF(Cadastro!$B132="","",Cadastro!$B132)</f>
        <v/>
      </c>
      <c r="D132" s="21" t="str">
        <f>IF(Cadastro!$C132="","",Cadastro!$C132)</f>
        <v/>
      </c>
      <c r="E132" s="19" t="str">
        <f t="shared" si="21"/>
        <v/>
      </c>
      <c r="F132" s="23">
        <f>N(Cadastro!$I132)</f>
        <v>0</v>
      </c>
      <c r="G132" s="24">
        <f>N(Cadastro!$J132)</f>
        <v>0</v>
      </c>
      <c r="H132" s="24">
        <f>N(Cadastro!$K132)</f>
        <v>0</v>
      </c>
      <c r="I132" s="19" t="str">
        <f>IF(Cadastro!$L132="","",Cadastro!$L132)</f>
        <v/>
      </c>
      <c r="J132" s="21" t="str">
        <f t="shared" si="22"/>
        <v/>
      </c>
      <c r="K132" s="21" t="str">
        <f t="shared" si="23"/>
        <v/>
      </c>
      <c r="L132" s="24" t="str">
        <f t="shared" si="24"/>
        <v/>
      </c>
      <c r="M132" s="21" t="str">
        <f t="shared" si="25"/>
        <v/>
      </c>
      <c r="N132" s="21" t="str">
        <f t="shared" si="26"/>
        <v/>
      </c>
      <c r="O132" s="19" t="str">
        <f t="shared" si="27"/>
        <v/>
      </c>
    </row>
    <row r="133" spans="1:15" x14ac:dyDescent="0.3">
      <c r="A133" s="19" t="str">
        <f>IF(Cadastro!$G133="","",Cadastro!$G133)</f>
        <v/>
      </c>
      <c r="B133" s="19" t="str">
        <f>IF(Cadastro!$H133="","",Cadastro!$H133)</f>
        <v/>
      </c>
      <c r="C133" s="21" t="str">
        <f>IF(Cadastro!$B133="","",Cadastro!$B133)</f>
        <v/>
      </c>
      <c r="D133" s="21" t="str">
        <f>IF(Cadastro!$C133="","",Cadastro!$C133)</f>
        <v/>
      </c>
      <c r="E133" s="19" t="str">
        <f t="shared" ref="E133:E154" si="28">IF($D133="","",IFERROR(INDEX(Prod_Desc,MATCH($D133,Prod_Cod,0)),"PRODUTO NÃO CADASTRADO"))</f>
        <v/>
      </c>
      <c r="F133" s="23">
        <f>N(Cadastro!$I133)</f>
        <v>0</v>
      </c>
      <c r="G133" s="24">
        <f>N(Cadastro!$J133)</f>
        <v>0</v>
      </c>
      <c r="H133" s="24">
        <f>N(Cadastro!$K133)</f>
        <v>0</v>
      </c>
      <c r="I133" s="19" t="str">
        <f>IF(Cadastro!$L133="","",Cadastro!$L133)</f>
        <v/>
      </c>
      <c r="J133" s="21" t="str">
        <f t="shared" ref="J133:J154" si="29">IF($B133="","",SUMIFS(OC_Qtd,OC_SC,$B133,OC_Cham,$C133,OC_Prod,$D133))</f>
        <v/>
      </c>
      <c r="K133" s="21" t="str">
        <f t="shared" ref="K133:K154" si="30">IF($B133="","",N($F133)-N($J133))</f>
        <v/>
      </c>
      <c r="L133" s="24" t="str">
        <f t="shared" ref="L133:L154" si="31">IF($B133="","",IF(SUMPRODUCT(MAX((OC_SC=$B133)*(OC_Cham=$C133)*(OC_Prod=$D133)*N(OC_Data)))=0,"",SUMPRODUCT(MAX((OC_SC=$B133)*(OC_Cham=$C133)*(OC_Prod=$D133)*N(OC_Data)))))</f>
        <v/>
      </c>
      <c r="M133" s="21" t="str">
        <f t="shared" ref="M133:M154" si="32">IF(OR($B133="",N($H133)=0),"",IF(AND($K133&lt;=0,$L133&lt;&gt;""),MAX($L133-$H133,0),MAX(DataRef-$H133,0)))</f>
        <v/>
      </c>
      <c r="N133" s="21" t="str">
        <f t="shared" ref="N133:N154" si="33">IF($B133="","",IFERROR(INDEX(Etapa_SLA,MATCH("FLUXO DE SUPRIMENTOS",Lista_Etapas,0)),10))</f>
        <v/>
      </c>
      <c r="O133" s="19" t="str">
        <f t="shared" ref="O133:O154" si="34">IF($B133="","",IF(N($H133)=0,"AGUARDANDO ENVIO AO SUPRIMENTOS",IF($J133=0,IF($M133&gt;$N133,"EM COTAÇÃO - ATRASADA","EM COTAÇÃO"),IF($K133&gt;0,IF($M133&gt;$N133,"COMPRA PARCIAL - ATRASADA","COMPRA PARCIAL"),IF($K133&lt;0,"COMPRA ACIMA DA SC",IF($M133&gt;$N133,"CONCLUÍDA COM ATRASO","CONCLUÍDA NO PRAZO"))))))</f>
        <v/>
      </c>
    </row>
    <row r="134" spans="1:15" x14ac:dyDescent="0.3">
      <c r="A134" s="19" t="str">
        <f>IF(Cadastro!$G134="","",Cadastro!$G134)</f>
        <v/>
      </c>
      <c r="B134" s="19" t="str">
        <f>IF(Cadastro!$H134="","",Cadastro!$H134)</f>
        <v/>
      </c>
      <c r="C134" s="21" t="str">
        <f>IF(Cadastro!$B134="","",Cadastro!$B134)</f>
        <v/>
      </c>
      <c r="D134" s="21" t="str">
        <f>IF(Cadastro!$C134="","",Cadastro!$C134)</f>
        <v/>
      </c>
      <c r="E134" s="19" t="str">
        <f t="shared" si="28"/>
        <v/>
      </c>
      <c r="F134" s="23">
        <f>N(Cadastro!$I134)</f>
        <v>0</v>
      </c>
      <c r="G134" s="24">
        <f>N(Cadastro!$J134)</f>
        <v>0</v>
      </c>
      <c r="H134" s="24">
        <f>N(Cadastro!$K134)</f>
        <v>0</v>
      </c>
      <c r="I134" s="19" t="str">
        <f>IF(Cadastro!$L134="","",Cadastro!$L134)</f>
        <v/>
      </c>
      <c r="J134" s="21" t="str">
        <f t="shared" si="29"/>
        <v/>
      </c>
      <c r="K134" s="21" t="str">
        <f t="shared" si="30"/>
        <v/>
      </c>
      <c r="L134" s="24" t="str">
        <f t="shared" si="31"/>
        <v/>
      </c>
      <c r="M134" s="21" t="str">
        <f t="shared" si="32"/>
        <v/>
      </c>
      <c r="N134" s="21" t="str">
        <f t="shared" si="33"/>
        <v/>
      </c>
      <c r="O134" s="19" t="str">
        <f t="shared" si="34"/>
        <v/>
      </c>
    </row>
    <row r="135" spans="1:15" x14ac:dyDescent="0.3">
      <c r="A135" s="19" t="str">
        <f>IF(Cadastro!$G135="","",Cadastro!$G135)</f>
        <v/>
      </c>
      <c r="B135" s="19" t="str">
        <f>IF(Cadastro!$H135="","",Cadastro!$H135)</f>
        <v/>
      </c>
      <c r="C135" s="21" t="str">
        <f>IF(Cadastro!$B135="","",Cadastro!$B135)</f>
        <v/>
      </c>
      <c r="D135" s="21" t="str">
        <f>IF(Cadastro!$C135="","",Cadastro!$C135)</f>
        <v/>
      </c>
      <c r="E135" s="19" t="str">
        <f t="shared" si="28"/>
        <v/>
      </c>
      <c r="F135" s="23">
        <f>N(Cadastro!$I135)</f>
        <v>0</v>
      </c>
      <c r="G135" s="24">
        <f>N(Cadastro!$J135)</f>
        <v>0</v>
      </c>
      <c r="H135" s="24">
        <f>N(Cadastro!$K135)</f>
        <v>0</v>
      </c>
      <c r="I135" s="19" t="str">
        <f>IF(Cadastro!$L135="","",Cadastro!$L135)</f>
        <v/>
      </c>
      <c r="J135" s="21" t="str">
        <f t="shared" si="29"/>
        <v/>
      </c>
      <c r="K135" s="21" t="str">
        <f t="shared" si="30"/>
        <v/>
      </c>
      <c r="L135" s="24" t="str">
        <f t="shared" si="31"/>
        <v/>
      </c>
      <c r="M135" s="21" t="str">
        <f t="shared" si="32"/>
        <v/>
      </c>
      <c r="N135" s="21" t="str">
        <f t="shared" si="33"/>
        <v/>
      </c>
      <c r="O135" s="19" t="str">
        <f t="shared" si="34"/>
        <v/>
      </c>
    </row>
    <row r="136" spans="1:15" x14ac:dyDescent="0.3">
      <c r="A136" s="19" t="str">
        <f>IF(Cadastro!$G136="","",Cadastro!$G136)</f>
        <v/>
      </c>
      <c r="B136" s="19" t="str">
        <f>IF(Cadastro!$H136="","",Cadastro!$H136)</f>
        <v/>
      </c>
      <c r="C136" s="21" t="str">
        <f>IF(Cadastro!$B136="","",Cadastro!$B136)</f>
        <v/>
      </c>
      <c r="D136" s="21" t="str">
        <f>IF(Cadastro!$C136="","",Cadastro!$C136)</f>
        <v/>
      </c>
      <c r="E136" s="19" t="str">
        <f t="shared" si="28"/>
        <v/>
      </c>
      <c r="F136" s="23">
        <f>N(Cadastro!$I136)</f>
        <v>0</v>
      </c>
      <c r="G136" s="24">
        <f>N(Cadastro!$J136)</f>
        <v>0</v>
      </c>
      <c r="H136" s="24">
        <f>N(Cadastro!$K136)</f>
        <v>0</v>
      </c>
      <c r="I136" s="19" t="str">
        <f>IF(Cadastro!$L136="","",Cadastro!$L136)</f>
        <v/>
      </c>
      <c r="J136" s="21" t="str">
        <f t="shared" si="29"/>
        <v/>
      </c>
      <c r="K136" s="21" t="str">
        <f t="shared" si="30"/>
        <v/>
      </c>
      <c r="L136" s="24" t="str">
        <f t="shared" si="31"/>
        <v/>
      </c>
      <c r="M136" s="21" t="str">
        <f t="shared" si="32"/>
        <v/>
      </c>
      <c r="N136" s="21" t="str">
        <f t="shared" si="33"/>
        <v/>
      </c>
      <c r="O136" s="19" t="str">
        <f t="shared" si="34"/>
        <v/>
      </c>
    </row>
    <row r="137" spans="1:15" x14ac:dyDescent="0.3">
      <c r="A137" s="19" t="str">
        <f>IF(Cadastro!$G137="","",Cadastro!$G137)</f>
        <v/>
      </c>
      <c r="B137" s="19" t="str">
        <f>IF(Cadastro!$H137="","",Cadastro!$H137)</f>
        <v/>
      </c>
      <c r="C137" s="21" t="str">
        <f>IF(Cadastro!$B137="","",Cadastro!$B137)</f>
        <v/>
      </c>
      <c r="D137" s="21" t="str">
        <f>IF(Cadastro!$C137="","",Cadastro!$C137)</f>
        <v/>
      </c>
      <c r="E137" s="19" t="str">
        <f t="shared" si="28"/>
        <v/>
      </c>
      <c r="F137" s="23">
        <f>N(Cadastro!$I137)</f>
        <v>0</v>
      </c>
      <c r="G137" s="24">
        <f>N(Cadastro!$J137)</f>
        <v>0</v>
      </c>
      <c r="H137" s="24">
        <f>N(Cadastro!$K137)</f>
        <v>0</v>
      </c>
      <c r="I137" s="19" t="str">
        <f>IF(Cadastro!$L137="","",Cadastro!$L137)</f>
        <v/>
      </c>
      <c r="J137" s="21" t="str">
        <f t="shared" si="29"/>
        <v/>
      </c>
      <c r="K137" s="21" t="str">
        <f t="shared" si="30"/>
        <v/>
      </c>
      <c r="L137" s="24" t="str">
        <f t="shared" si="31"/>
        <v/>
      </c>
      <c r="M137" s="21" t="str">
        <f t="shared" si="32"/>
        <v/>
      </c>
      <c r="N137" s="21" t="str">
        <f t="shared" si="33"/>
        <v/>
      </c>
      <c r="O137" s="19" t="str">
        <f t="shared" si="34"/>
        <v/>
      </c>
    </row>
    <row r="138" spans="1:15" x14ac:dyDescent="0.3">
      <c r="A138" s="19" t="str">
        <f>IF(Cadastro!$G138="","",Cadastro!$G138)</f>
        <v/>
      </c>
      <c r="B138" s="19" t="str">
        <f>IF(Cadastro!$H138="","",Cadastro!$H138)</f>
        <v/>
      </c>
      <c r="C138" s="21" t="str">
        <f>IF(Cadastro!$B138="","",Cadastro!$B138)</f>
        <v/>
      </c>
      <c r="D138" s="21" t="str">
        <f>IF(Cadastro!$C138="","",Cadastro!$C138)</f>
        <v/>
      </c>
      <c r="E138" s="19" t="str">
        <f t="shared" si="28"/>
        <v/>
      </c>
      <c r="F138" s="23">
        <f>N(Cadastro!$I138)</f>
        <v>0</v>
      </c>
      <c r="G138" s="24">
        <f>N(Cadastro!$J138)</f>
        <v>0</v>
      </c>
      <c r="H138" s="24">
        <f>N(Cadastro!$K138)</f>
        <v>0</v>
      </c>
      <c r="I138" s="19" t="str">
        <f>IF(Cadastro!$L138="","",Cadastro!$L138)</f>
        <v/>
      </c>
      <c r="J138" s="21" t="str">
        <f t="shared" si="29"/>
        <v/>
      </c>
      <c r="K138" s="21" t="str">
        <f t="shared" si="30"/>
        <v/>
      </c>
      <c r="L138" s="24" t="str">
        <f t="shared" si="31"/>
        <v/>
      </c>
      <c r="M138" s="21" t="str">
        <f t="shared" si="32"/>
        <v/>
      </c>
      <c r="N138" s="21" t="str">
        <f t="shared" si="33"/>
        <v/>
      </c>
      <c r="O138" s="19" t="str">
        <f t="shared" si="34"/>
        <v/>
      </c>
    </row>
    <row r="139" spans="1:15" x14ac:dyDescent="0.3">
      <c r="A139" s="19" t="str">
        <f>IF(Cadastro!$G139="","",Cadastro!$G139)</f>
        <v/>
      </c>
      <c r="B139" s="19" t="str">
        <f>IF(Cadastro!$H139="","",Cadastro!$H139)</f>
        <v/>
      </c>
      <c r="C139" s="21" t="str">
        <f>IF(Cadastro!$B139="","",Cadastro!$B139)</f>
        <v/>
      </c>
      <c r="D139" s="21" t="str">
        <f>IF(Cadastro!$C139="","",Cadastro!$C139)</f>
        <v/>
      </c>
      <c r="E139" s="19" t="str">
        <f t="shared" si="28"/>
        <v/>
      </c>
      <c r="F139" s="23">
        <f>N(Cadastro!$I139)</f>
        <v>0</v>
      </c>
      <c r="G139" s="24">
        <f>N(Cadastro!$J139)</f>
        <v>0</v>
      </c>
      <c r="H139" s="24">
        <f>N(Cadastro!$K139)</f>
        <v>0</v>
      </c>
      <c r="I139" s="19" t="str">
        <f>IF(Cadastro!$L139="","",Cadastro!$L139)</f>
        <v/>
      </c>
      <c r="J139" s="21" t="str">
        <f t="shared" si="29"/>
        <v/>
      </c>
      <c r="K139" s="21" t="str">
        <f t="shared" si="30"/>
        <v/>
      </c>
      <c r="L139" s="24" t="str">
        <f t="shared" si="31"/>
        <v/>
      </c>
      <c r="M139" s="21" t="str">
        <f t="shared" si="32"/>
        <v/>
      </c>
      <c r="N139" s="21" t="str">
        <f t="shared" si="33"/>
        <v/>
      </c>
      <c r="O139" s="19" t="str">
        <f t="shared" si="34"/>
        <v/>
      </c>
    </row>
    <row r="140" spans="1:15" x14ac:dyDescent="0.3">
      <c r="A140" s="19" t="str">
        <f>IF(Cadastro!$G140="","",Cadastro!$G140)</f>
        <v/>
      </c>
      <c r="B140" s="19" t="str">
        <f>IF(Cadastro!$H140="","",Cadastro!$H140)</f>
        <v/>
      </c>
      <c r="C140" s="21" t="str">
        <f>IF(Cadastro!$B140="","",Cadastro!$B140)</f>
        <v/>
      </c>
      <c r="D140" s="21" t="str">
        <f>IF(Cadastro!$C140="","",Cadastro!$C140)</f>
        <v/>
      </c>
      <c r="E140" s="19" t="str">
        <f t="shared" si="28"/>
        <v/>
      </c>
      <c r="F140" s="23">
        <f>N(Cadastro!$I140)</f>
        <v>0</v>
      </c>
      <c r="G140" s="24">
        <f>N(Cadastro!$J140)</f>
        <v>0</v>
      </c>
      <c r="H140" s="24">
        <f>N(Cadastro!$K140)</f>
        <v>0</v>
      </c>
      <c r="I140" s="19" t="str">
        <f>IF(Cadastro!$L140="","",Cadastro!$L140)</f>
        <v/>
      </c>
      <c r="J140" s="21" t="str">
        <f t="shared" si="29"/>
        <v/>
      </c>
      <c r="K140" s="21" t="str">
        <f t="shared" si="30"/>
        <v/>
      </c>
      <c r="L140" s="24" t="str">
        <f t="shared" si="31"/>
        <v/>
      </c>
      <c r="M140" s="21" t="str">
        <f t="shared" si="32"/>
        <v/>
      </c>
      <c r="N140" s="21" t="str">
        <f t="shared" si="33"/>
        <v/>
      </c>
      <c r="O140" s="19" t="str">
        <f t="shared" si="34"/>
        <v/>
      </c>
    </row>
    <row r="141" spans="1:15" x14ac:dyDescent="0.3">
      <c r="A141" s="19" t="str">
        <f>IF(Cadastro!$G141="","",Cadastro!$G141)</f>
        <v/>
      </c>
      <c r="B141" s="19" t="str">
        <f>IF(Cadastro!$H141="","",Cadastro!$H141)</f>
        <v/>
      </c>
      <c r="C141" s="21" t="str">
        <f>IF(Cadastro!$B141="","",Cadastro!$B141)</f>
        <v/>
      </c>
      <c r="D141" s="21" t="str">
        <f>IF(Cadastro!$C141="","",Cadastro!$C141)</f>
        <v/>
      </c>
      <c r="E141" s="19" t="str">
        <f t="shared" si="28"/>
        <v/>
      </c>
      <c r="F141" s="23">
        <f>N(Cadastro!$I141)</f>
        <v>0</v>
      </c>
      <c r="G141" s="24">
        <f>N(Cadastro!$J141)</f>
        <v>0</v>
      </c>
      <c r="H141" s="24">
        <f>N(Cadastro!$K141)</f>
        <v>0</v>
      </c>
      <c r="I141" s="19" t="str">
        <f>IF(Cadastro!$L141="","",Cadastro!$L141)</f>
        <v/>
      </c>
      <c r="J141" s="21" t="str">
        <f t="shared" si="29"/>
        <v/>
      </c>
      <c r="K141" s="21" t="str">
        <f t="shared" si="30"/>
        <v/>
      </c>
      <c r="L141" s="24" t="str">
        <f t="shared" si="31"/>
        <v/>
      </c>
      <c r="M141" s="21" t="str">
        <f t="shared" si="32"/>
        <v/>
      </c>
      <c r="N141" s="21" t="str">
        <f t="shared" si="33"/>
        <v/>
      </c>
      <c r="O141" s="19" t="str">
        <f t="shared" si="34"/>
        <v/>
      </c>
    </row>
    <row r="142" spans="1:15" x14ac:dyDescent="0.3">
      <c r="A142" s="19" t="str">
        <f>IF(Cadastro!$G142="","",Cadastro!$G142)</f>
        <v/>
      </c>
      <c r="B142" s="19" t="str">
        <f>IF(Cadastro!$H142="","",Cadastro!$H142)</f>
        <v/>
      </c>
      <c r="C142" s="21" t="str">
        <f>IF(Cadastro!$B142="","",Cadastro!$B142)</f>
        <v/>
      </c>
      <c r="D142" s="21" t="str">
        <f>IF(Cadastro!$C142="","",Cadastro!$C142)</f>
        <v/>
      </c>
      <c r="E142" s="19" t="str">
        <f t="shared" si="28"/>
        <v/>
      </c>
      <c r="F142" s="23">
        <f>N(Cadastro!$I142)</f>
        <v>0</v>
      </c>
      <c r="G142" s="24">
        <f>N(Cadastro!$J142)</f>
        <v>0</v>
      </c>
      <c r="H142" s="24">
        <f>N(Cadastro!$K142)</f>
        <v>0</v>
      </c>
      <c r="I142" s="19" t="str">
        <f>IF(Cadastro!$L142="","",Cadastro!$L142)</f>
        <v/>
      </c>
      <c r="J142" s="21" t="str">
        <f t="shared" si="29"/>
        <v/>
      </c>
      <c r="K142" s="21" t="str">
        <f t="shared" si="30"/>
        <v/>
      </c>
      <c r="L142" s="24" t="str">
        <f t="shared" si="31"/>
        <v/>
      </c>
      <c r="M142" s="21" t="str">
        <f t="shared" si="32"/>
        <v/>
      </c>
      <c r="N142" s="21" t="str">
        <f t="shared" si="33"/>
        <v/>
      </c>
      <c r="O142" s="19" t="str">
        <f t="shared" si="34"/>
        <v/>
      </c>
    </row>
    <row r="143" spans="1:15" x14ac:dyDescent="0.3">
      <c r="A143" s="19" t="str">
        <f>IF(Cadastro!$G143="","",Cadastro!$G143)</f>
        <v/>
      </c>
      <c r="B143" s="19" t="str">
        <f>IF(Cadastro!$H143="","",Cadastro!$H143)</f>
        <v/>
      </c>
      <c r="C143" s="21" t="str">
        <f>IF(Cadastro!$B143="","",Cadastro!$B143)</f>
        <v/>
      </c>
      <c r="D143" s="21" t="str">
        <f>IF(Cadastro!$C143="","",Cadastro!$C143)</f>
        <v/>
      </c>
      <c r="E143" s="19" t="str">
        <f t="shared" si="28"/>
        <v/>
      </c>
      <c r="F143" s="23">
        <f>N(Cadastro!$I143)</f>
        <v>0</v>
      </c>
      <c r="G143" s="24">
        <f>N(Cadastro!$J143)</f>
        <v>0</v>
      </c>
      <c r="H143" s="24">
        <f>N(Cadastro!$K143)</f>
        <v>0</v>
      </c>
      <c r="I143" s="19" t="str">
        <f>IF(Cadastro!$L143="","",Cadastro!$L143)</f>
        <v/>
      </c>
      <c r="J143" s="21" t="str">
        <f t="shared" si="29"/>
        <v/>
      </c>
      <c r="K143" s="21" t="str">
        <f t="shared" si="30"/>
        <v/>
      </c>
      <c r="L143" s="24" t="str">
        <f t="shared" si="31"/>
        <v/>
      </c>
      <c r="M143" s="21" t="str">
        <f t="shared" si="32"/>
        <v/>
      </c>
      <c r="N143" s="21" t="str">
        <f t="shared" si="33"/>
        <v/>
      </c>
      <c r="O143" s="19" t="str">
        <f t="shared" si="34"/>
        <v/>
      </c>
    </row>
    <row r="144" spans="1:15" x14ac:dyDescent="0.3">
      <c r="A144" s="19" t="str">
        <f>IF(Cadastro!$G144="","",Cadastro!$G144)</f>
        <v/>
      </c>
      <c r="B144" s="19" t="str">
        <f>IF(Cadastro!$H144="","",Cadastro!$H144)</f>
        <v/>
      </c>
      <c r="C144" s="21" t="str">
        <f>IF(Cadastro!$B144="","",Cadastro!$B144)</f>
        <v/>
      </c>
      <c r="D144" s="21" t="str">
        <f>IF(Cadastro!$C144="","",Cadastro!$C144)</f>
        <v/>
      </c>
      <c r="E144" s="19" t="str">
        <f t="shared" si="28"/>
        <v/>
      </c>
      <c r="F144" s="23">
        <f>N(Cadastro!$I144)</f>
        <v>0</v>
      </c>
      <c r="G144" s="24">
        <f>N(Cadastro!$J144)</f>
        <v>0</v>
      </c>
      <c r="H144" s="24">
        <f>N(Cadastro!$K144)</f>
        <v>0</v>
      </c>
      <c r="I144" s="19" t="str">
        <f>IF(Cadastro!$L144="","",Cadastro!$L144)</f>
        <v/>
      </c>
      <c r="J144" s="21" t="str">
        <f t="shared" si="29"/>
        <v/>
      </c>
      <c r="K144" s="21" t="str">
        <f t="shared" si="30"/>
        <v/>
      </c>
      <c r="L144" s="24" t="str">
        <f t="shared" si="31"/>
        <v/>
      </c>
      <c r="M144" s="21" t="str">
        <f t="shared" si="32"/>
        <v/>
      </c>
      <c r="N144" s="21" t="str">
        <f t="shared" si="33"/>
        <v/>
      </c>
      <c r="O144" s="19" t="str">
        <f t="shared" si="34"/>
        <v/>
      </c>
    </row>
    <row r="145" spans="1:15" x14ac:dyDescent="0.3">
      <c r="A145" s="19" t="str">
        <f>IF(Cadastro!$G145="","",Cadastro!$G145)</f>
        <v/>
      </c>
      <c r="B145" s="19" t="str">
        <f>IF(Cadastro!$H145="","",Cadastro!$H145)</f>
        <v/>
      </c>
      <c r="C145" s="21" t="str">
        <f>IF(Cadastro!$B145="","",Cadastro!$B145)</f>
        <v/>
      </c>
      <c r="D145" s="21" t="str">
        <f>IF(Cadastro!$C145="","",Cadastro!$C145)</f>
        <v/>
      </c>
      <c r="E145" s="19" t="str">
        <f t="shared" si="28"/>
        <v/>
      </c>
      <c r="F145" s="23">
        <f>N(Cadastro!$I145)</f>
        <v>0</v>
      </c>
      <c r="G145" s="24">
        <f>N(Cadastro!$J145)</f>
        <v>0</v>
      </c>
      <c r="H145" s="24">
        <f>N(Cadastro!$K145)</f>
        <v>0</v>
      </c>
      <c r="I145" s="19" t="str">
        <f>IF(Cadastro!$L145="","",Cadastro!$L145)</f>
        <v/>
      </c>
      <c r="J145" s="21" t="str">
        <f t="shared" si="29"/>
        <v/>
      </c>
      <c r="K145" s="21" t="str">
        <f t="shared" si="30"/>
        <v/>
      </c>
      <c r="L145" s="24" t="str">
        <f t="shared" si="31"/>
        <v/>
      </c>
      <c r="M145" s="21" t="str">
        <f t="shared" si="32"/>
        <v/>
      </c>
      <c r="N145" s="21" t="str">
        <f t="shared" si="33"/>
        <v/>
      </c>
      <c r="O145" s="19" t="str">
        <f t="shared" si="34"/>
        <v/>
      </c>
    </row>
    <row r="146" spans="1:15" x14ac:dyDescent="0.3">
      <c r="A146" s="19" t="str">
        <f>IF(Cadastro!$G146="","",Cadastro!$G146)</f>
        <v/>
      </c>
      <c r="B146" s="19" t="str">
        <f>IF(Cadastro!$H146="","",Cadastro!$H146)</f>
        <v/>
      </c>
      <c r="C146" s="21" t="str">
        <f>IF(Cadastro!$B146="","",Cadastro!$B146)</f>
        <v/>
      </c>
      <c r="D146" s="21" t="str">
        <f>IF(Cadastro!$C146="","",Cadastro!$C146)</f>
        <v/>
      </c>
      <c r="E146" s="19" t="str">
        <f t="shared" si="28"/>
        <v/>
      </c>
      <c r="F146" s="23">
        <f>N(Cadastro!$I146)</f>
        <v>0</v>
      </c>
      <c r="G146" s="24">
        <f>N(Cadastro!$J146)</f>
        <v>0</v>
      </c>
      <c r="H146" s="24">
        <f>N(Cadastro!$K146)</f>
        <v>0</v>
      </c>
      <c r="I146" s="19" t="str">
        <f>IF(Cadastro!$L146="","",Cadastro!$L146)</f>
        <v/>
      </c>
      <c r="J146" s="21" t="str">
        <f t="shared" si="29"/>
        <v/>
      </c>
      <c r="K146" s="21" t="str">
        <f t="shared" si="30"/>
        <v/>
      </c>
      <c r="L146" s="24" t="str">
        <f t="shared" si="31"/>
        <v/>
      </c>
      <c r="M146" s="21" t="str">
        <f t="shared" si="32"/>
        <v/>
      </c>
      <c r="N146" s="21" t="str">
        <f t="shared" si="33"/>
        <v/>
      </c>
      <c r="O146" s="19" t="str">
        <f t="shared" si="34"/>
        <v/>
      </c>
    </row>
    <row r="147" spans="1:15" x14ac:dyDescent="0.3">
      <c r="A147" s="19" t="str">
        <f>IF(Cadastro!$G147="","",Cadastro!$G147)</f>
        <v/>
      </c>
      <c r="B147" s="19" t="str">
        <f>IF(Cadastro!$H147="","",Cadastro!$H147)</f>
        <v/>
      </c>
      <c r="C147" s="21" t="str">
        <f>IF(Cadastro!$B147="","",Cadastro!$B147)</f>
        <v/>
      </c>
      <c r="D147" s="21" t="str">
        <f>IF(Cadastro!$C147="","",Cadastro!$C147)</f>
        <v/>
      </c>
      <c r="E147" s="19" t="str">
        <f t="shared" si="28"/>
        <v/>
      </c>
      <c r="F147" s="23">
        <f>N(Cadastro!$I147)</f>
        <v>0</v>
      </c>
      <c r="G147" s="24">
        <f>N(Cadastro!$J147)</f>
        <v>0</v>
      </c>
      <c r="H147" s="24">
        <f>N(Cadastro!$K147)</f>
        <v>0</v>
      </c>
      <c r="I147" s="19" t="str">
        <f>IF(Cadastro!$L147="","",Cadastro!$L147)</f>
        <v/>
      </c>
      <c r="J147" s="21" t="str">
        <f t="shared" si="29"/>
        <v/>
      </c>
      <c r="K147" s="21" t="str">
        <f t="shared" si="30"/>
        <v/>
      </c>
      <c r="L147" s="24" t="str">
        <f t="shared" si="31"/>
        <v/>
      </c>
      <c r="M147" s="21" t="str">
        <f t="shared" si="32"/>
        <v/>
      </c>
      <c r="N147" s="21" t="str">
        <f t="shared" si="33"/>
        <v/>
      </c>
      <c r="O147" s="19" t="str">
        <f t="shared" si="34"/>
        <v/>
      </c>
    </row>
    <row r="148" spans="1:15" x14ac:dyDescent="0.3">
      <c r="A148" s="19" t="str">
        <f>IF(Cadastro!$G148="","",Cadastro!$G148)</f>
        <v/>
      </c>
      <c r="B148" s="19" t="str">
        <f>IF(Cadastro!$H148="","",Cadastro!$H148)</f>
        <v/>
      </c>
      <c r="C148" s="21" t="str">
        <f>IF(Cadastro!$B148="","",Cadastro!$B148)</f>
        <v/>
      </c>
      <c r="D148" s="21" t="str">
        <f>IF(Cadastro!$C148="","",Cadastro!$C148)</f>
        <v/>
      </c>
      <c r="E148" s="19" t="str">
        <f t="shared" si="28"/>
        <v/>
      </c>
      <c r="F148" s="23">
        <f>N(Cadastro!$I148)</f>
        <v>0</v>
      </c>
      <c r="G148" s="24">
        <f>N(Cadastro!$J148)</f>
        <v>0</v>
      </c>
      <c r="H148" s="24">
        <f>N(Cadastro!$K148)</f>
        <v>0</v>
      </c>
      <c r="I148" s="19" t="str">
        <f>IF(Cadastro!$L148="","",Cadastro!$L148)</f>
        <v/>
      </c>
      <c r="J148" s="21" t="str">
        <f t="shared" si="29"/>
        <v/>
      </c>
      <c r="K148" s="21" t="str">
        <f t="shared" si="30"/>
        <v/>
      </c>
      <c r="L148" s="24" t="str">
        <f t="shared" si="31"/>
        <v/>
      </c>
      <c r="M148" s="21" t="str">
        <f t="shared" si="32"/>
        <v/>
      </c>
      <c r="N148" s="21" t="str">
        <f t="shared" si="33"/>
        <v/>
      </c>
      <c r="O148" s="19" t="str">
        <f t="shared" si="34"/>
        <v/>
      </c>
    </row>
    <row r="149" spans="1:15" x14ac:dyDescent="0.3">
      <c r="A149" s="19" t="str">
        <f>IF(Cadastro!$G149="","",Cadastro!$G149)</f>
        <v/>
      </c>
      <c r="B149" s="19" t="str">
        <f>IF(Cadastro!$H149="","",Cadastro!$H149)</f>
        <v/>
      </c>
      <c r="C149" s="21" t="str">
        <f>IF(Cadastro!$B149="","",Cadastro!$B149)</f>
        <v/>
      </c>
      <c r="D149" s="21" t="str">
        <f>IF(Cadastro!$C149="","",Cadastro!$C149)</f>
        <v/>
      </c>
      <c r="E149" s="19" t="str">
        <f t="shared" si="28"/>
        <v/>
      </c>
      <c r="F149" s="23">
        <f>N(Cadastro!$I149)</f>
        <v>0</v>
      </c>
      <c r="G149" s="24">
        <f>N(Cadastro!$J149)</f>
        <v>0</v>
      </c>
      <c r="H149" s="24">
        <f>N(Cadastro!$K149)</f>
        <v>0</v>
      </c>
      <c r="I149" s="19" t="str">
        <f>IF(Cadastro!$L149="","",Cadastro!$L149)</f>
        <v/>
      </c>
      <c r="J149" s="21" t="str">
        <f t="shared" si="29"/>
        <v/>
      </c>
      <c r="K149" s="21" t="str">
        <f t="shared" si="30"/>
        <v/>
      </c>
      <c r="L149" s="24" t="str">
        <f t="shared" si="31"/>
        <v/>
      </c>
      <c r="M149" s="21" t="str">
        <f t="shared" si="32"/>
        <v/>
      </c>
      <c r="N149" s="21" t="str">
        <f t="shared" si="33"/>
        <v/>
      </c>
      <c r="O149" s="19" t="str">
        <f t="shared" si="34"/>
        <v/>
      </c>
    </row>
    <row r="150" spans="1:15" x14ac:dyDescent="0.3">
      <c r="A150" s="19" t="str">
        <f>IF(Cadastro!$G150="","",Cadastro!$G150)</f>
        <v/>
      </c>
      <c r="B150" s="19" t="str">
        <f>IF(Cadastro!$H150="","",Cadastro!$H150)</f>
        <v/>
      </c>
      <c r="C150" s="21" t="str">
        <f>IF(Cadastro!$B150="","",Cadastro!$B150)</f>
        <v/>
      </c>
      <c r="D150" s="21" t="str">
        <f>IF(Cadastro!$C150="","",Cadastro!$C150)</f>
        <v/>
      </c>
      <c r="E150" s="19" t="str">
        <f t="shared" si="28"/>
        <v/>
      </c>
      <c r="F150" s="23">
        <f>N(Cadastro!$I150)</f>
        <v>0</v>
      </c>
      <c r="G150" s="24">
        <f>N(Cadastro!$J150)</f>
        <v>0</v>
      </c>
      <c r="H150" s="24">
        <f>N(Cadastro!$K150)</f>
        <v>0</v>
      </c>
      <c r="I150" s="19" t="str">
        <f>IF(Cadastro!$L150="","",Cadastro!$L150)</f>
        <v/>
      </c>
      <c r="J150" s="21" t="str">
        <f t="shared" si="29"/>
        <v/>
      </c>
      <c r="K150" s="21" t="str">
        <f t="shared" si="30"/>
        <v/>
      </c>
      <c r="L150" s="24" t="str">
        <f t="shared" si="31"/>
        <v/>
      </c>
      <c r="M150" s="21" t="str">
        <f t="shared" si="32"/>
        <v/>
      </c>
      <c r="N150" s="21" t="str">
        <f t="shared" si="33"/>
        <v/>
      </c>
      <c r="O150" s="19" t="str">
        <f t="shared" si="34"/>
        <v/>
      </c>
    </row>
    <row r="151" spans="1:15" x14ac:dyDescent="0.3">
      <c r="A151" s="19" t="str">
        <f>IF(Cadastro!$G151="","",Cadastro!$G151)</f>
        <v/>
      </c>
      <c r="B151" s="19" t="str">
        <f>IF(Cadastro!$H151="","",Cadastro!$H151)</f>
        <v/>
      </c>
      <c r="C151" s="21" t="str">
        <f>IF(Cadastro!$B151="","",Cadastro!$B151)</f>
        <v/>
      </c>
      <c r="D151" s="21" t="str">
        <f>IF(Cadastro!$C151="","",Cadastro!$C151)</f>
        <v/>
      </c>
      <c r="E151" s="19" t="str">
        <f t="shared" si="28"/>
        <v/>
      </c>
      <c r="F151" s="23">
        <f>N(Cadastro!$I151)</f>
        <v>0</v>
      </c>
      <c r="G151" s="24">
        <f>N(Cadastro!$J151)</f>
        <v>0</v>
      </c>
      <c r="H151" s="24">
        <f>N(Cadastro!$K151)</f>
        <v>0</v>
      </c>
      <c r="I151" s="19" t="str">
        <f>IF(Cadastro!$L151="","",Cadastro!$L151)</f>
        <v/>
      </c>
      <c r="J151" s="21" t="str">
        <f t="shared" si="29"/>
        <v/>
      </c>
      <c r="K151" s="21" t="str">
        <f t="shared" si="30"/>
        <v/>
      </c>
      <c r="L151" s="24" t="str">
        <f t="shared" si="31"/>
        <v/>
      </c>
      <c r="M151" s="21" t="str">
        <f t="shared" si="32"/>
        <v/>
      </c>
      <c r="N151" s="21" t="str">
        <f t="shared" si="33"/>
        <v/>
      </c>
      <c r="O151" s="19" t="str">
        <f t="shared" si="34"/>
        <v/>
      </c>
    </row>
    <row r="152" spans="1:15" x14ac:dyDescent="0.3">
      <c r="A152" s="19" t="str">
        <f>IF(Cadastro!$G152="","",Cadastro!$G152)</f>
        <v/>
      </c>
      <c r="B152" s="19" t="str">
        <f>IF(Cadastro!$H152="","",Cadastro!$H152)</f>
        <v/>
      </c>
      <c r="C152" s="21" t="str">
        <f>IF(Cadastro!$B152="","",Cadastro!$B152)</f>
        <v/>
      </c>
      <c r="D152" s="21" t="str">
        <f>IF(Cadastro!$C152="","",Cadastro!$C152)</f>
        <v/>
      </c>
      <c r="E152" s="19" t="str">
        <f t="shared" si="28"/>
        <v/>
      </c>
      <c r="F152" s="23">
        <f>N(Cadastro!$I152)</f>
        <v>0</v>
      </c>
      <c r="G152" s="24">
        <f>N(Cadastro!$J152)</f>
        <v>0</v>
      </c>
      <c r="H152" s="24">
        <f>N(Cadastro!$K152)</f>
        <v>0</v>
      </c>
      <c r="I152" s="19" t="str">
        <f>IF(Cadastro!$L152="","",Cadastro!$L152)</f>
        <v/>
      </c>
      <c r="J152" s="21" t="str">
        <f t="shared" si="29"/>
        <v/>
      </c>
      <c r="K152" s="21" t="str">
        <f t="shared" si="30"/>
        <v/>
      </c>
      <c r="L152" s="24" t="str">
        <f t="shared" si="31"/>
        <v/>
      </c>
      <c r="M152" s="21" t="str">
        <f t="shared" si="32"/>
        <v/>
      </c>
      <c r="N152" s="21" t="str">
        <f t="shared" si="33"/>
        <v/>
      </c>
      <c r="O152" s="19" t="str">
        <f t="shared" si="34"/>
        <v/>
      </c>
    </row>
    <row r="153" spans="1:15" x14ac:dyDescent="0.3">
      <c r="A153" s="19" t="str">
        <f>IF(Cadastro!$G153="","",Cadastro!$G153)</f>
        <v/>
      </c>
      <c r="B153" s="19" t="str">
        <f>IF(Cadastro!$H153="","",Cadastro!$H153)</f>
        <v/>
      </c>
      <c r="C153" s="21" t="str">
        <f>IF(Cadastro!$B153="","",Cadastro!$B153)</f>
        <v/>
      </c>
      <c r="D153" s="21" t="str">
        <f>IF(Cadastro!$C153="","",Cadastro!$C153)</f>
        <v/>
      </c>
      <c r="E153" s="19" t="str">
        <f t="shared" si="28"/>
        <v/>
      </c>
      <c r="F153" s="23">
        <f>N(Cadastro!$I153)</f>
        <v>0</v>
      </c>
      <c r="G153" s="24">
        <f>N(Cadastro!$J153)</f>
        <v>0</v>
      </c>
      <c r="H153" s="24">
        <f>N(Cadastro!$K153)</f>
        <v>0</v>
      </c>
      <c r="I153" s="19" t="str">
        <f>IF(Cadastro!$L153="","",Cadastro!$L153)</f>
        <v/>
      </c>
      <c r="J153" s="21" t="str">
        <f t="shared" si="29"/>
        <v/>
      </c>
      <c r="K153" s="21" t="str">
        <f t="shared" si="30"/>
        <v/>
      </c>
      <c r="L153" s="24" t="str">
        <f t="shared" si="31"/>
        <v/>
      </c>
      <c r="M153" s="21" t="str">
        <f t="shared" si="32"/>
        <v/>
      </c>
      <c r="N153" s="21" t="str">
        <f t="shared" si="33"/>
        <v/>
      </c>
      <c r="O153" s="19" t="str">
        <f t="shared" si="34"/>
        <v/>
      </c>
    </row>
    <row r="154" spans="1:15" x14ac:dyDescent="0.3">
      <c r="A154" s="19" t="str">
        <f>IF(Cadastro!$G154="","",Cadastro!$G154)</f>
        <v/>
      </c>
      <c r="B154" s="19" t="str">
        <f>IF(Cadastro!$H154="","",Cadastro!$H154)</f>
        <v/>
      </c>
      <c r="C154" s="21" t="str">
        <f>IF(Cadastro!$B154="","",Cadastro!$B154)</f>
        <v/>
      </c>
      <c r="D154" s="21" t="str">
        <f>IF(Cadastro!$C154="","",Cadastro!$C154)</f>
        <v/>
      </c>
      <c r="E154" s="19" t="str">
        <f t="shared" si="28"/>
        <v/>
      </c>
      <c r="F154" s="23">
        <f>N(Cadastro!$I154)</f>
        <v>0</v>
      </c>
      <c r="G154" s="24">
        <f>N(Cadastro!$J154)</f>
        <v>0</v>
      </c>
      <c r="H154" s="24">
        <f>N(Cadastro!$K154)</f>
        <v>0</v>
      </c>
      <c r="I154" s="19" t="str">
        <f>IF(Cadastro!$L154="","",Cadastro!$L154)</f>
        <v/>
      </c>
      <c r="J154" s="21" t="str">
        <f t="shared" si="29"/>
        <v/>
      </c>
      <c r="K154" s="21" t="str">
        <f t="shared" si="30"/>
        <v/>
      </c>
      <c r="L154" s="24" t="str">
        <f t="shared" si="31"/>
        <v/>
      </c>
      <c r="M154" s="21" t="str">
        <f t="shared" si="32"/>
        <v/>
      </c>
      <c r="N154" s="21" t="str">
        <f t="shared" si="33"/>
        <v/>
      </c>
      <c r="O154" s="19" t="str">
        <f t="shared" si="34"/>
        <v/>
      </c>
    </row>
  </sheetData>
  <conditionalFormatting sqref="O5:O154">
    <cfRule type="expression" dxfId="8" priority="2">
      <formula>ISNUMBER(SEARCH("ATRAS",$O5))</formula>
    </cfRule>
    <cfRule type="expression" dxfId="7" priority="3">
      <formula>$O5="CONCLUÍDA NO PRAZO"</formula>
    </cfRule>
  </conditionalFormatting>
  <pageMargins left="0.75" right="0.75" top="1" bottom="1" header="0.511811023622047" footer="0.511811023622047"/>
  <pageSetup paperSize="9" orientation="portrait" horizontalDpi="300" verticalDpi="30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6E8FA3"/>
  </sheetPr>
  <dimension ref="A1:O154"/>
  <sheetViews>
    <sheetView showGridLines="0" zoomScaleNormal="100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F17" sqref="F17"/>
    </sheetView>
  </sheetViews>
  <sheetFormatPr defaultColWidth="8.6640625" defaultRowHeight="14.4" x14ac:dyDescent="0.3"/>
  <cols>
    <col min="1" max="4" width="14" customWidth="1"/>
    <col min="5" max="5" width="38" customWidth="1"/>
    <col min="6" max="6" width="44" customWidth="1"/>
    <col min="7" max="7" width="12" customWidth="1"/>
    <col min="8" max="8" width="13" customWidth="1"/>
    <col min="9" max="11" width="11" customWidth="1"/>
    <col min="12" max="12" width="13" customWidth="1"/>
    <col min="13" max="13" width="11" customWidth="1"/>
    <col min="14" max="14" width="10" customWidth="1"/>
    <col min="15" max="15" width="26" customWidth="1"/>
  </cols>
  <sheetData>
    <row r="1" spans="1:15" ht="18" x14ac:dyDescent="0.35">
      <c r="A1" s="12" t="s">
        <v>230</v>
      </c>
    </row>
    <row r="2" spans="1:15" x14ac:dyDescent="0.3">
      <c r="A2" s="15" t="s">
        <v>231</v>
      </c>
    </row>
    <row r="4" spans="1:15" ht="31.5" customHeight="1" x14ac:dyDescent="0.3">
      <c r="A4" s="16" t="s">
        <v>191</v>
      </c>
      <c r="B4" s="16" t="s">
        <v>186</v>
      </c>
      <c r="C4" s="16" t="s">
        <v>34</v>
      </c>
      <c r="D4" s="16" t="s">
        <v>181</v>
      </c>
      <c r="E4" s="16" t="s">
        <v>210</v>
      </c>
      <c r="F4" s="16" t="s">
        <v>192</v>
      </c>
      <c r="G4" s="16" t="s">
        <v>193</v>
      </c>
      <c r="H4" s="16" t="s">
        <v>194</v>
      </c>
      <c r="I4" s="16" t="s">
        <v>195</v>
      </c>
      <c r="J4" s="16" t="s">
        <v>200</v>
      </c>
      <c r="K4" s="16" t="s">
        <v>232</v>
      </c>
      <c r="L4" s="16" t="s">
        <v>233</v>
      </c>
      <c r="M4" s="16" t="s">
        <v>234</v>
      </c>
      <c r="N4" s="16" t="s">
        <v>235</v>
      </c>
      <c r="O4" s="16" t="s">
        <v>236</v>
      </c>
    </row>
    <row r="5" spans="1:15" x14ac:dyDescent="0.3">
      <c r="A5" s="19">
        <f>IF(Cadastro!$M5="","",Cadastro!$M5)</f>
        <v>1803206</v>
      </c>
      <c r="B5" s="19">
        <f>IF(Cadastro!$H5="","",Cadastro!$H5)</f>
        <v>2394628</v>
      </c>
      <c r="C5" s="21">
        <f>IF(Cadastro!$B5="","",Cadastro!$B5)</f>
        <v>440641</v>
      </c>
      <c r="D5" s="21">
        <f>IF(Cadastro!$C5="","",Cadastro!$C5)</f>
        <v>67977</v>
      </c>
      <c r="E5" s="19" t="str">
        <f t="shared" ref="E5:E36" si="0">IF($D5="","",IFERROR(INDEX(Prod_Desc,MATCH($D5,Prod_Cod,0)),"PRODUTO NÃO CADASTRADO"))</f>
        <v>LICENCIAMENTO MONITORAMENTO 04 CAMERAS</v>
      </c>
      <c r="F5" s="19" t="str">
        <f>IF(Cadastro!$N5="","",Cadastro!$N5)</f>
        <v>SAFETY AND INTELLIGENT SYSTEM - TECNOLOGIA DA INFORMACAO EIRELI</v>
      </c>
      <c r="G5" s="24">
        <f>N(Cadastro!$O5)</f>
        <v>46191</v>
      </c>
      <c r="H5" s="24">
        <f>N(Cadastro!$P5)</f>
        <v>46198</v>
      </c>
      <c r="I5" s="23">
        <f>N(Cadastro!$Q5)</f>
        <v>4</v>
      </c>
      <c r="J5" s="21">
        <f t="shared" ref="J5:J36" si="1">IF($A5="","",SUMIFS(Ent_Qtd,Ent_OC,$A5,Ent_Cham,$C5,Ent_Prod,$D5))</f>
        <v>0</v>
      </c>
      <c r="K5" s="21">
        <f t="shared" ref="K5:K36" si="2">IF($A5="","",N($I5)-N($J5))</f>
        <v>4</v>
      </c>
      <c r="L5" s="24" t="str">
        <f t="shared" ref="L5:L36" si="3">IF($A5="","",IF(SUMPRODUCT(MAX((Ent_OC=$A5)*(Ent_Cham=$C5)*(Ent_Prod=$D5)*N(Ent_Data)))=0,"",SUMPRODUCT(MAX((Ent_OC=$A5)*(Ent_Cham=$C5)*(Ent_Prod=$D5)*N(Ent_Data)))))</f>
        <v/>
      </c>
      <c r="M5" s="21">
        <f t="shared" ref="M5:M36" ca="1" si="4">IF(OR($A5="",N($G5)=0),"",IF(AND($K5&lt;=0,$L5&lt;&gt;""),MAX($L5-$G5,0),MAX(DataRef-$G5,0)))</f>
        <v>69</v>
      </c>
      <c r="N5" s="21">
        <f t="shared" ref="N5:N36" si="5">IF($A5="","",IF(N($H5)=0,IFERROR(INDEX(Etapa_SLA,MATCH("ENTREGA DO MATERIAL",Lista_Etapas,0)),35),MAX($H5-$G5,0)))</f>
        <v>7</v>
      </c>
      <c r="O5" s="19" t="str">
        <f t="shared" ref="O5:O36" ca="1" si="6">IF($A5="","",IF($K5&lt;0,"RECEBIMENTO ACIMA DA OC",IF($K5=0,IF($M5&lt;=$N5,"CONCLUÍDA NO PRAZO","CONCLUÍDA COM ATRASO"),IF($M5&gt;$N5,"ENTREGA EM ATRASO",IF($J5=0,"AGUARDANDO ENTREGA","ENTREGA PARCIAL")))))</f>
        <v>ENTREGA EM ATRASO</v>
      </c>
    </row>
    <row r="6" spans="1:15" x14ac:dyDescent="0.3">
      <c r="A6" s="19">
        <f>IF(Cadastro!$M6="","",Cadastro!$M6)</f>
        <v>1896421</v>
      </c>
      <c r="B6" s="19">
        <f>IF(Cadastro!$H6="","",Cadastro!$H6)</f>
        <v>2394603</v>
      </c>
      <c r="C6" s="21">
        <f>IF(Cadastro!$B6="","",Cadastro!$B6)</f>
        <v>440641</v>
      </c>
      <c r="D6" s="21">
        <f>IF(Cadastro!$C6="","",Cadastro!$C6)</f>
        <v>63489</v>
      </c>
      <c r="E6" s="19" t="str">
        <f t="shared" si="0"/>
        <v>HFW2431S-S-S2</v>
      </c>
      <c r="F6" s="19" t="str">
        <f>IF(Cadastro!$N6="","",Cadastro!$N6)</f>
        <v>BRAKO COMÉRCIO DE EQUIPAMENTOS ELETRÔNICOS LTDA</v>
      </c>
      <c r="G6" s="24">
        <f>N(Cadastro!$O6)</f>
        <v>46155</v>
      </c>
      <c r="H6" s="24">
        <f>N(Cadastro!$P6)</f>
        <v>46200</v>
      </c>
      <c r="I6" s="23">
        <f>N(Cadastro!$Q6)</f>
        <v>4</v>
      </c>
      <c r="J6" s="21">
        <f t="shared" si="1"/>
        <v>0</v>
      </c>
      <c r="K6" s="21">
        <f t="shared" si="2"/>
        <v>4</v>
      </c>
      <c r="L6" s="24" t="str">
        <f t="shared" si="3"/>
        <v/>
      </c>
      <c r="M6" s="21">
        <f t="shared" ca="1" si="4"/>
        <v>105</v>
      </c>
      <c r="N6" s="21">
        <f t="shared" si="5"/>
        <v>45</v>
      </c>
      <c r="O6" s="19" t="str">
        <f t="shared" ca="1" si="6"/>
        <v>ENTREGA EM ATRASO</v>
      </c>
    </row>
    <row r="7" spans="1:15" x14ac:dyDescent="0.3">
      <c r="A7" s="19">
        <f>IF(Cadastro!$M7="","",Cadastro!$M7)</f>
        <v>1849451</v>
      </c>
      <c r="B7" s="19">
        <f>IF(Cadastro!$H7="","",Cadastro!$H7)</f>
        <v>2446440</v>
      </c>
      <c r="C7" s="21">
        <f>IF(Cadastro!$B7="","",Cadastro!$B7)</f>
        <v>123</v>
      </c>
      <c r="D7" s="21">
        <f>IF(Cadastro!$C7="","",Cadastro!$C7)</f>
        <v>105356</v>
      </c>
      <c r="E7" s="19" t="str">
        <f t="shared" si="0"/>
        <v>MODULO VIDEOPORTEIRO EXTERNO</v>
      </c>
      <c r="F7" s="19" t="str">
        <f>IF(Cadastro!$N7="","",Cadastro!$N7)</f>
        <v>A DEFINIR</v>
      </c>
      <c r="G7" s="24">
        <f>N(Cadastro!$O7)</f>
        <v>46205</v>
      </c>
      <c r="H7" s="24">
        <f>N(Cadastro!$P7)</f>
        <v>46219</v>
      </c>
      <c r="I7" s="23">
        <f>N(Cadastro!$Q7)</f>
        <v>2</v>
      </c>
      <c r="J7" s="21">
        <f t="shared" si="1"/>
        <v>2</v>
      </c>
      <c r="K7" s="21">
        <f t="shared" si="2"/>
        <v>0</v>
      </c>
      <c r="L7" s="24">
        <f t="shared" si="3"/>
        <v>46228</v>
      </c>
      <c r="M7" s="21">
        <f t="shared" si="4"/>
        <v>23</v>
      </c>
      <c r="N7" s="21">
        <f t="shared" si="5"/>
        <v>14</v>
      </c>
      <c r="O7" s="19" t="str">
        <f t="shared" si="6"/>
        <v>CONCLUÍDA COM ATRASO</v>
      </c>
    </row>
    <row r="8" spans="1:15" x14ac:dyDescent="0.3">
      <c r="A8" s="19">
        <f>IF(Cadastro!$M8="","",Cadastro!$M8)</f>
        <v>1444808</v>
      </c>
      <c r="B8" s="19">
        <f>IF(Cadastro!$H8="","",Cadastro!$H8)</f>
        <v>1813487</v>
      </c>
      <c r="C8" s="21" t="str">
        <f>IF(Cadastro!$B8="","",Cadastro!$B8)</f>
        <v>N/A01</v>
      </c>
      <c r="D8" s="21">
        <f>IF(Cadastro!$C8="","",Cadastro!$C8)</f>
        <v>86698</v>
      </c>
      <c r="E8" s="19" t="str">
        <f t="shared" si="0"/>
        <v>SD6AL245GB-HNV</v>
      </c>
      <c r="F8" s="19" t="str">
        <f>IF(Cadastro!$N8="","",Cadastro!$N8)</f>
        <v>BRAKO COMÉRCIO DE EQUIPAMENTOS ELETRÔNICOS LTDA</v>
      </c>
      <c r="G8" s="24">
        <f>N(Cadastro!$O8)</f>
        <v>45888</v>
      </c>
      <c r="H8" s="24">
        <f>N(Cadastro!$P8)</f>
        <v>0</v>
      </c>
      <c r="I8" s="23">
        <f>N(Cadastro!$Q8)</f>
        <v>1</v>
      </c>
      <c r="J8" s="21">
        <f t="shared" si="1"/>
        <v>1</v>
      </c>
      <c r="K8" s="21">
        <f t="shared" si="2"/>
        <v>0</v>
      </c>
      <c r="L8" s="24">
        <f t="shared" si="3"/>
        <v>46228</v>
      </c>
      <c r="M8" s="21">
        <f t="shared" si="4"/>
        <v>340</v>
      </c>
      <c r="N8" s="21">
        <f t="shared" si="5"/>
        <v>35</v>
      </c>
      <c r="O8" s="19" t="str">
        <f t="shared" si="6"/>
        <v>CONCLUÍDA COM ATRASO</v>
      </c>
    </row>
    <row r="9" spans="1:15" x14ac:dyDescent="0.3">
      <c r="A9" s="19">
        <f>IF(Cadastro!$M9="","",Cadastro!$M9)</f>
        <v>1478354</v>
      </c>
      <c r="B9" s="19">
        <f>IF(Cadastro!$H9="","",Cadastro!$H9)</f>
        <v>1813492</v>
      </c>
      <c r="C9" s="21" t="str">
        <f>IF(Cadastro!$B9="","",Cadastro!$B9)</f>
        <v>N/A01</v>
      </c>
      <c r="D9" s="21">
        <f>IF(Cadastro!$C9="","",Cadastro!$C9)</f>
        <v>85197</v>
      </c>
      <c r="E9" s="19" t="str">
        <f t="shared" si="0"/>
        <v>PW4D-IZ3</v>
      </c>
      <c r="F9" s="19" t="str">
        <f>IF(Cadastro!$N9="","",Cadastro!$N9)</f>
        <v>BRAKO COMÉRCIO DE EQUIPAMENTOS ELETRÔNICOS LTDA</v>
      </c>
      <c r="G9" s="24">
        <f>N(Cadastro!$O9)</f>
        <v>45909</v>
      </c>
      <c r="H9" s="24">
        <f>N(Cadastro!$P9)</f>
        <v>0</v>
      </c>
      <c r="I9" s="23">
        <f>N(Cadastro!$Q9)</f>
        <v>2</v>
      </c>
      <c r="J9" s="21">
        <f t="shared" si="1"/>
        <v>2</v>
      </c>
      <c r="K9" s="21">
        <f t="shared" si="2"/>
        <v>0</v>
      </c>
      <c r="L9" s="24">
        <f t="shared" si="3"/>
        <v>46228</v>
      </c>
      <c r="M9" s="21">
        <f t="shared" si="4"/>
        <v>319</v>
      </c>
      <c r="N9" s="21">
        <f t="shared" si="5"/>
        <v>35</v>
      </c>
      <c r="O9" s="19" t="str">
        <f t="shared" si="6"/>
        <v>CONCLUÍDA COM ATRASO</v>
      </c>
    </row>
    <row r="10" spans="1:15" x14ac:dyDescent="0.3">
      <c r="A10" s="19">
        <f>IF(Cadastro!$M10="","",Cadastro!$M10)</f>
        <v>1478354</v>
      </c>
      <c r="B10" s="19">
        <f>IF(Cadastro!$H10="","",Cadastro!$H10)</f>
        <v>1813489</v>
      </c>
      <c r="C10" s="21" t="str">
        <f>IF(Cadastro!$B10="","",Cadastro!$B10)</f>
        <v>N/A01</v>
      </c>
      <c r="D10" s="21">
        <f>IF(Cadastro!$C10="","",Cadastro!$C10)</f>
        <v>63490</v>
      </c>
      <c r="E10" s="19" t="str">
        <f t="shared" si="0"/>
        <v>HFW3441T-ZAS</v>
      </c>
      <c r="F10" s="19" t="str">
        <f>IF(Cadastro!$N10="","",Cadastro!$N10)</f>
        <v>BRAKO COMÉRCIO DE EQUIPAMENTOS ELETRÔNICOS LTDA</v>
      </c>
      <c r="G10" s="24">
        <f>N(Cadastro!$O10)</f>
        <v>45909</v>
      </c>
      <c r="H10" s="24">
        <f>N(Cadastro!$P10)</f>
        <v>0</v>
      </c>
      <c r="I10" s="23">
        <f>N(Cadastro!$Q10)</f>
        <v>11</v>
      </c>
      <c r="J10" s="21">
        <f t="shared" si="1"/>
        <v>11</v>
      </c>
      <c r="K10" s="21">
        <f t="shared" si="2"/>
        <v>0</v>
      </c>
      <c r="L10" s="24">
        <f t="shared" si="3"/>
        <v>46228</v>
      </c>
      <c r="M10" s="21">
        <f t="shared" si="4"/>
        <v>319</v>
      </c>
      <c r="N10" s="21">
        <f t="shared" si="5"/>
        <v>35</v>
      </c>
      <c r="O10" s="19" t="str">
        <f t="shared" si="6"/>
        <v>CONCLUÍDA COM ATRASO</v>
      </c>
    </row>
    <row r="11" spans="1:15" x14ac:dyDescent="0.3">
      <c r="A11" s="19">
        <f>IF(Cadastro!$M11="","",Cadastro!$M11)</f>
        <v>1478354</v>
      </c>
      <c r="B11" s="19">
        <f>IF(Cadastro!$H11="","",Cadastro!$H11)</f>
        <v>1813493</v>
      </c>
      <c r="C11" s="21" t="str">
        <f>IF(Cadastro!$B11="","",Cadastro!$B11)</f>
        <v>N/A01</v>
      </c>
      <c r="D11" s="21">
        <f>IF(Cadastro!$C11="","",Cadastro!$C11)</f>
        <v>55721</v>
      </c>
      <c r="E11" s="19" t="str">
        <f t="shared" si="0"/>
        <v>LICENCIAMENTO DIREITOS USO SOFTWARE 7,2 ENTERPRISE PERMANENTE P/SISTEMA MONITORAMENTO</v>
      </c>
      <c r="F11" s="19" t="str">
        <f>IF(Cadastro!$N11="","",Cadastro!$N11)</f>
        <v>BRAKO COMÉRCIO DE EQUIPAMENTOS ELETRÔNICOS LTDA</v>
      </c>
      <c r="G11" s="24">
        <f>N(Cadastro!$O11)</f>
        <v>45909</v>
      </c>
      <c r="H11" s="24">
        <f>N(Cadastro!$P11)</f>
        <v>0</v>
      </c>
      <c r="I11" s="23">
        <f>N(Cadastro!$Q11)</f>
        <v>1</v>
      </c>
      <c r="J11" s="21">
        <f t="shared" si="1"/>
        <v>1</v>
      </c>
      <c r="K11" s="21">
        <f t="shared" si="2"/>
        <v>0</v>
      </c>
      <c r="L11" s="24">
        <f t="shared" si="3"/>
        <v>46228</v>
      </c>
      <c r="M11" s="21">
        <f t="shared" si="4"/>
        <v>319</v>
      </c>
      <c r="N11" s="21">
        <f t="shared" si="5"/>
        <v>35</v>
      </c>
      <c r="O11" s="19" t="str">
        <f t="shared" si="6"/>
        <v>CONCLUÍDA COM ATRASO</v>
      </c>
    </row>
    <row r="12" spans="1:15" x14ac:dyDescent="0.3">
      <c r="A12" s="19">
        <f>IF(Cadastro!$M12="","",Cadastro!$M12)</f>
        <v>1478354</v>
      </c>
      <c r="B12" s="19">
        <f>IF(Cadastro!$H12="","",Cadastro!$H12)</f>
        <v>1813484</v>
      </c>
      <c r="C12" s="21" t="str">
        <f>IF(Cadastro!$B12="","",Cadastro!$B12)</f>
        <v>N/A01</v>
      </c>
      <c r="D12" s="21">
        <f>IF(Cadastro!$C12="","",Cadastro!$C12)</f>
        <v>65153</v>
      </c>
      <c r="E12" s="19" t="str">
        <f t="shared" si="0"/>
        <v>DAHUA TECH/EPC230U</v>
      </c>
      <c r="F12" s="19" t="str">
        <f>IF(Cadastro!$N12="","",Cadastro!$N12)</f>
        <v>BRAKO COMÉRCIO DE EQUIPAMENTOS ELETRÔNICOS LTDA</v>
      </c>
      <c r="G12" s="24">
        <f>N(Cadastro!$O12)</f>
        <v>45909</v>
      </c>
      <c r="H12" s="24">
        <f>N(Cadastro!$P12)</f>
        <v>0</v>
      </c>
      <c r="I12" s="23">
        <f>N(Cadastro!$Q12)</f>
        <v>4</v>
      </c>
      <c r="J12" s="21">
        <f t="shared" si="1"/>
        <v>4</v>
      </c>
      <c r="K12" s="21">
        <f t="shared" si="2"/>
        <v>0</v>
      </c>
      <c r="L12" s="24">
        <f t="shared" si="3"/>
        <v>46228</v>
      </c>
      <c r="M12" s="21">
        <f t="shared" si="4"/>
        <v>319</v>
      </c>
      <c r="N12" s="21">
        <f t="shared" si="5"/>
        <v>35</v>
      </c>
      <c r="O12" s="19" t="str">
        <f t="shared" si="6"/>
        <v>CONCLUÍDA COM ATRASO</v>
      </c>
    </row>
    <row r="13" spans="1:15" x14ac:dyDescent="0.3">
      <c r="A13" s="19">
        <f>IF(Cadastro!$M13="","",Cadastro!$M13)</f>
        <v>1894362</v>
      </c>
      <c r="B13" s="19">
        <f>IF(Cadastro!$H13="","",Cadastro!$H13)</f>
        <v>2721417</v>
      </c>
      <c r="C13" s="21" t="str">
        <f>IF(Cadastro!$B13="","",Cadastro!$B13)</f>
        <v>N/A02</v>
      </c>
      <c r="D13" s="21">
        <f>IF(Cadastro!$C13="","",Cadastro!$C13)</f>
        <v>62900</v>
      </c>
      <c r="E13" s="19" t="str">
        <f t="shared" si="0"/>
        <v>DH-IPC-HFW5241E-Z12E</v>
      </c>
      <c r="F13" s="19" t="str">
        <f>IF(Cadastro!$N13="","",Cadastro!$N13)</f>
        <v>BRAKO COMÉRCIO DE EQUIPAMENTOS ELETRÔNICOS LTDA</v>
      </c>
      <c r="G13" s="24">
        <f>N(Cadastro!$O13)</f>
        <v>46217</v>
      </c>
      <c r="H13" s="24">
        <f>N(Cadastro!$P13)</f>
        <v>0</v>
      </c>
      <c r="I13" s="23">
        <f>N(Cadastro!$Q13)</f>
        <v>6</v>
      </c>
      <c r="J13" s="21">
        <f t="shared" si="1"/>
        <v>0</v>
      </c>
      <c r="K13" s="21">
        <f t="shared" si="2"/>
        <v>6</v>
      </c>
      <c r="L13" s="24" t="str">
        <f t="shared" si="3"/>
        <v/>
      </c>
      <c r="M13" s="21">
        <f t="shared" ca="1" si="4"/>
        <v>43</v>
      </c>
      <c r="N13" s="21">
        <f t="shared" si="5"/>
        <v>35</v>
      </c>
      <c r="O13" s="19" t="str">
        <f t="shared" ca="1" si="6"/>
        <v>ENTREGA EM ATRASO</v>
      </c>
    </row>
    <row r="14" spans="1:15" x14ac:dyDescent="0.3">
      <c r="A14" s="19">
        <f>IF(Cadastro!$M14="","",Cadastro!$M14)</f>
        <v>1989702</v>
      </c>
      <c r="B14" s="19">
        <f>IF(Cadastro!$H14="","",Cadastro!$H14)</f>
        <v>2721423</v>
      </c>
      <c r="C14" s="21" t="str">
        <f>IF(Cadastro!$B14="","",Cadastro!$B14)</f>
        <v>N/A02</v>
      </c>
      <c r="D14" s="21">
        <f>IF(Cadastro!$C14="","",Cadastro!$C14)</f>
        <v>67979</v>
      </c>
      <c r="E14" s="19" t="str">
        <f t="shared" si="0"/>
        <v>SOFTWARE GRAVACAO/MONITORAMENTO ADICAO 16 CAMERAS</v>
      </c>
      <c r="F14" s="19" t="str">
        <f>IF(Cadastro!$N14="","",Cadastro!$N14)</f>
        <v>BRAKO COMÉRCIO DE EQUIPAMENTOS ELETRÔNICOS LTDA</v>
      </c>
      <c r="G14" s="24">
        <f>N(Cadastro!$O14)</f>
        <v>46254</v>
      </c>
      <c r="H14" s="24">
        <f>N(Cadastro!$P14)</f>
        <v>0</v>
      </c>
      <c r="I14" s="23">
        <f>N(Cadastro!$Q14)</f>
        <v>1</v>
      </c>
      <c r="J14" s="21">
        <f t="shared" si="1"/>
        <v>0</v>
      </c>
      <c r="K14" s="21">
        <f t="shared" si="2"/>
        <v>1</v>
      </c>
      <c r="L14" s="24" t="str">
        <f t="shared" si="3"/>
        <v/>
      </c>
      <c r="M14" s="21">
        <f t="shared" ca="1" si="4"/>
        <v>6</v>
      </c>
      <c r="N14" s="21">
        <f t="shared" si="5"/>
        <v>35</v>
      </c>
      <c r="O14" s="19" t="str">
        <f t="shared" ca="1" si="6"/>
        <v>AGUARDANDO ENTREGA</v>
      </c>
    </row>
    <row r="15" spans="1:15" x14ac:dyDescent="0.3">
      <c r="A15" s="19">
        <f>IF(Cadastro!$M15="","",Cadastro!$M15)</f>
        <v>1894361</v>
      </c>
      <c r="B15" s="19">
        <f>IF(Cadastro!$H15="","",Cadastro!$H15)</f>
        <v>2721467</v>
      </c>
      <c r="C15" s="21" t="str">
        <f>IF(Cadastro!$B15="","",Cadastro!$B15)</f>
        <v>N/A02</v>
      </c>
      <c r="D15" s="21">
        <f>IF(Cadastro!$C15="","",Cadastro!$C15)</f>
        <v>54824</v>
      </c>
      <c r="E15" s="19" t="str">
        <f t="shared" si="0"/>
        <v>SD6AL245U-HNI-IR</v>
      </c>
      <c r="F15" s="19" t="str">
        <f>IF(Cadastro!$N15="","",Cadastro!$N15)</f>
        <v>BRAKO COMÉRCIO DE EQUIPAMENTOS ELETRÔNICOS LTDA</v>
      </c>
      <c r="G15" s="24">
        <f>N(Cadastro!$O15)</f>
        <v>46217</v>
      </c>
      <c r="H15" s="24">
        <f>N(Cadastro!$P15)</f>
        <v>0</v>
      </c>
      <c r="I15" s="23">
        <f>N(Cadastro!$Q15)</f>
        <v>4</v>
      </c>
      <c r="J15" s="21">
        <f t="shared" si="1"/>
        <v>4</v>
      </c>
      <c r="K15" s="21">
        <f t="shared" si="2"/>
        <v>0</v>
      </c>
      <c r="L15" s="24">
        <f t="shared" si="3"/>
        <v>46228</v>
      </c>
      <c r="M15" s="21">
        <f t="shared" si="4"/>
        <v>11</v>
      </c>
      <c r="N15" s="21">
        <f t="shared" si="5"/>
        <v>35</v>
      </c>
      <c r="O15" s="19" t="str">
        <f t="shared" si="6"/>
        <v>CONCLUÍDA NO PRAZO</v>
      </c>
    </row>
    <row r="16" spans="1:15" x14ac:dyDescent="0.3">
      <c r="A16" s="19">
        <f>IF(Cadastro!$M16="","",Cadastro!$M16)</f>
        <v>1896421</v>
      </c>
      <c r="B16" s="19">
        <f>IF(Cadastro!$H16="","",Cadastro!$H16)</f>
        <v>2394641</v>
      </c>
      <c r="C16" s="21" t="str">
        <f>IF(Cadastro!$B16="","",Cadastro!$B16)</f>
        <v>N/A13</v>
      </c>
      <c r="D16" s="21">
        <f>IF(Cadastro!$C16="","",Cadastro!$C16)</f>
        <v>63489</v>
      </c>
      <c r="E16" s="19" t="str">
        <f t="shared" si="0"/>
        <v>HFW2431S-S-S2</v>
      </c>
      <c r="F16" s="19" t="str">
        <f>IF(Cadastro!$N16="","",Cadastro!$N16)</f>
        <v>BRAKO COMÉRCIO DE EQUIPAMENTOS ELETRÔNICOS LTDA</v>
      </c>
      <c r="G16" s="24">
        <f>N(Cadastro!$O16)</f>
        <v>46155</v>
      </c>
      <c r="H16" s="24">
        <f>N(Cadastro!$P16)</f>
        <v>46200</v>
      </c>
      <c r="I16" s="23">
        <f>N(Cadastro!$Q16)</f>
        <v>4</v>
      </c>
      <c r="J16" s="21">
        <f t="shared" si="1"/>
        <v>0</v>
      </c>
      <c r="K16" s="21">
        <f t="shared" si="2"/>
        <v>4</v>
      </c>
      <c r="L16" s="24" t="str">
        <f t="shared" si="3"/>
        <v/>
      </c>
      <c r="M16" s="21">
        <f t="shared" ca="1" si="4"/>
        <v>105</v>
      </c>
      <c r="N16" s="21">
        <f t="shared" si="5"/>
        <v>45</v>
      </c>
      <c r="O16" s="19" t="str">
        <f t="shared" ca="1" si="6"/>
        <v>ENTREGA EM ATRASO</v>
      </c>
    </row>
    <row r="17" spans="1:15" x14ac:dyDescent="0.3">
      <c r="A17" s="19">
        <f>IF(Cadastro!$M17="","",Cadastro!$M17)</f>
        <v>1849596</v>
      </c>
      <c r="B17" s="19">
        <f>IF(Cadastro!$H17="","",Cadastro!$H17)</f>
        <v>2394650</v>
      </c>
      <c r="C17" s="21" t="str">
        <f>IF(Cadastro!$B17="","",Cadastro!$B17)</f>
        <v>N/A13</v>
      </c>
      <c r="D17" s="21">
        <f>IF(Cadastro!$C17="","",Cadastro!$C17)</f>
        <v>67977</v>
      </c>
      <c r="E17" s="19" t="str">
        <f t="shared" si="0"/>
        <v>LICENCIAMENTO MONITORAMENTO 04 CAMERAS</v>
      </c>
      <c r="F17" s="19" t="str">
        <f>IF(Cadastro!$N17="","",Cadastro!$N17)</f>
        <v>BRAKO COMÉRCIO DE EQUIPAMENTOS ELETRÔNICOS LTDA</v>
      </c>
      <c r="G17" s="24">
        <f>N(Cadastro!$O17)</f>
        <v>46205</v>
      </c>
      <c r="H17" s="24">
        <f>N(Cadastro!$P17)</f>
        <v>46206</v>
      </c>
      <c r="I17" s="23">
        <f>N(Cadastro!$Q17)</f>
        <v>1</v>
      </c>
      <c r="J17" s="21">
        <f t="shared" si="1"/>
        <v>0</v>
      </c>
      <c r="K17" s="21">
        <f t="shared" si="2"/>
        <v>1</v>
      </c>
      <c r="L17" s="24" t="str">
        <f t="shared" si="3"/>
        <v/>
      </c>
      <c r="M17" s="21">
        <f t="shared" ca="1" si="4"/>
        <v>55</v>
      </c>
      <c r="N17" s="21">
        <f t="shared" si="5"/>
        <v>1</v>
      </c>
      <c r="O17" s="19" t="str">
        <f t="shared" ca="1" si="6"/>
        <v>ENTREGA EM ATRASO</v>
      </c>
    </row>
    <row r="18" spans="1:15" x14ac:dyDescent="0.3">
      <c r="A18" s="19">
        <f>IF(Cadastro!$M18="","",Cadastro!$M18)</f>
        <v>1194247</v>
      </c>
      <c r="B18" s="19">
        <f>IF(Cadastro!$H18="","",Cadastro!$H18)</f>
        <v>1569304</v>
      </c>
      <c r="C18" s="21">
        <f>IF(Cadastro!$B18="","",Cadastro!$B18)</f>
        <v>123</v>
      </c>
      <c r="D18" s="21">
        <f>IF(Cadastro!$C18="","",Cadastro!$C18)</f>
        <v>68184</v>
      </c>
      <c r="E18" s="19" t="str">
        <f t="shared" si="0"/>
        <v>12VCC 2 RS485/RJ45 2179KBPS DAHUA TECH/DHI-ITC413-PW4D-Z1</v>
      </c>
      <c r="F18" s="19" t="str">
        <f>IF(Cadastro!$N18="","",Cadastro!$N18)</f>
        <v>BRAKO COMÉRCIO DE EQUIPAMENTOS ELETRÔNICOS LTDA</v>
      </c>
      <c r="G18" s="24">
        <f>N(Cadastro!$O18)</f>
        <v>45735</v>
      </c>
      <c r="H18" s="24">
        <f>N(Cadastro!$P18)</f>
        <v>45895</v>
      </c>
      <c r="I18" s="23">
        <f>N(Cadastro!$Q18)</f>
        <v>4</v>
      </c>
      <c r="J18" s="21">
        <f t="shared" si="1"/>
        <v>4</v>
      </c>
      <c r="K18" s="21">
        <f t="shared" si="2"/>
        <v>0</v>
      </c>
      <c r="L18" s="24">
        <f t="shared" si="3"/>
        <v>46228</v>
      </c>
      <c r="M18" s="21">
        <f t="shared" si="4"/>
        <v>493</v>
      </c>
      <c r="N18" s="21">
        <f t="shared" si="5"/>
        <v>160</v>
      </c>
      <c r="O18" s="19" t="str">
        <f t="shared" si="6"/>
        <v>CONCLUÍDA COM ATRASO</v>
      </c>
    </row>
    <row r="19" spans="1:15" x14ac:dyDescent="0.3">
      <c r="A19" s="19">
        <f>IF(Cadastro!$M19="","",Cadastro!$M19)</f>
        <v>1500841</v>
      </c>
      <c r="B19" s="19">
        <f>IF(Cadastro!$H19="","",Cadastro!$H19)</f>
        <v>1924342</v>
      </c>
      <c r="C19" s="21">
        <f>IF(Cadastro!$B19="","",Cadastro!$B19)</f>
        <v>123</v>
      </c>
      <c r="D19" s="21">
        <f>IF(Cadastro!$C19="","",Cadastro!$C19)</f>
        <v>85197</v>
      </c>
      <c r="E19" s="19" t="str">
        <f t="shared" si="0"/>
        <v>PW4D-IZ3</v>
      </c>
      <c r="F19" s="19" t="str">
        <f>IF(Cadastro!$N19="","",Cadastro!$N19)</f>
        <v>BRAKO COMÉRCIO DE EQUIPAMENTOS ELETRÔNICOS LTDA</v>
      </c>
      <c r="G19" s="24">
        <f>N(Cadastro!$O19)</f>
        <v>45925</v>
      </c>
      <c r="H19" s="24">
        <f>N(Cadastro!$P19)</f>
        <v>45970</v>
      </c>
      <c r="I19" s="23">
        <f>N(Cadastro!$Q19)</f>
        <v>1</v>
      </c>
      <c r="J19" s="21">
        <f t="shared" si="1"/>
        <v>1</v>
      </c>
      <c r="K19" s="21">
        <f t="shared" si="2"/>
        <v>0</v>
      </c>
      <c r="L19" s="24">
        <f t="shared" si="3"/>
        <v>46228</v>
      </c>
      <c r="M19" s="21">
        <f t="shared" si="4"/>
        <v>303</v>
      </c>
      <c r="N19" s="21">
        <f t="shared" si="5"/>
        <v>45</v>
      </c>
      <c r="O19" s="19" t="str">
        <f t="shared" si="6"/>
        <v>CONCLUÍDA COM ATRASO</v>
      </c>
    </row>
    <row r="20" spans="1:15" x14ac:dyDescent="0.3">
      <c r="A20" s="19">
        <f>IF(Cadastro!$M20="","",Cadastro!$M20)</f>
        <v>1486780</v>
      </c>
      <c r="B20" s="19">
        <f>IF(Cadastro!$H20="","",Cadastro!$H20)</f>
        <v>1924343</v>
      </c>
      <c r="C20" s="21">
        <f>IF(Cadastro!$B20="","",Cadastro!$B20)</f>
        <v>123</v>
      </c>
      <c r="D20" s="21">
        <f>IF(Cadastro!$C20="","",Cadastro!$C20)</f>
        <v>63490</v>
      </c>
      <c r="E20" s="19" t="str">
        <f t="shared" si="0"/>
        <v>HFW3441T-ZAS</v>
      </c>
      <c r="F20" s="19" t="str">
        <f>IF(Cadastro!$N20="","",Cadastro!$N20)</f>
        <v>BRAKO COMÉRCIO DE EQUIPAMENTOS ELETRÔNICOS LTDA</v>
      </c>
      <c r="G20" s="24">
        <f>N(Cadastro!$O20)</f>
        <v>45915</v>
      </c>
      <c r="H20" s="24">
        <f>N(Cadastro!$P20)</f>
        <v>46005</v>
      </c>
      <c r="I20" s="23">
        <f>N(Cadastro!$Q20)</f>
        <v>9</v>
      </c>
      <c r="J20" s="21">
        <f t="shared" si="1"/>
        <v>0</v>
      </c>
      <c r="K20" s="21">
        <f t="shared" si="2"/>
        <v>9</v>
      </c>
      <c r="L20" s="24" t="str">
        <f t="shared" si="3"/>
        <v/>
      </c>
      <c r="M20" s="21">
        <f t="shared" ca="1" si="4"/>
        <v>345</v>
      </c>
      <c r="N20" s="21">
        <f t="shared" si="5"/>
        <v>90</v>
      </c>
      <c r="O20" s="19" t="str">
        <f t="shared" ca="1" si="6"/>
        <v>ENTREGA EM ATRASO</v>
      </c>
    </row>
    <row r="21" spans="1:15" x14ac:dyDescent="0.3">
      <c r="A21" s="19">
        <f>IF(Cadastro!$M21="","",Cadastro!$M21)</f>
        <v>1476734</v>
      </c>
      <c r="B21" s="19">
        <f>IF(Cadastro!$H21="","",Cadastro!$H21)</f>
        <v>1806813</v>
      </c>
      <c r="C21" s="21">
        <f>IF(Cadastro!$B21="","",Cadastro!$B21)</f>
        <v>123</v>
      </c>
      <c r="D21" s="21">
        <f>IF(Cadastro!$C21="","",Cadastro!$C21)</f>
        <v>52416</v>
      </c>
      <c r="E21" s="19" t="str">
        <f t="shared" si="0"/>
        <v xml:space="preserve"> 29PORT 24RJ45/4 SFP/1 USB 100-240VCA 43,60X227X442MM HUAWEI/S5735-L24P4XE-A-V2</v>
      </c>
      <c r="F21" s="19" t="str">
        <f>IF(Cadastro!$N21="","",Cadastro!$N21)</f>
        <v>MACTI COMERCIO DE INFORMATICA LTDA</v>
      </c>
      <c r="G21" s="24">
        <f>N(Cadastro!$O21)</f>
        <v>45945</v>
      </c>
      <c r="H21" s="24">
        <f>N(Cadastro!$P21)</f>
        <v>45965</v>
      </c>
      <c r="I21" s="23">
        <f>N(Cadastro!$Q21)</f>
        <v>2</v>
      </c>
      <c r="J21" s="21">
        <f t="shared" si="1"/>
        <v>2</v>
      </c>
      <c r="K21" s="21">
        <f t="shared" si="2"/>
        <v>0</v>
      </c>
      <c r="L21" s="24">
        <f t="shared" si="3"/>
        <v>46228</v>
      </c>
      <c r="M21" s="21">
        <f t="shared" si="4"/>
        <v>283</v>
      </c>
      <c r="N21" s="21">
        <f t="shared" si="5"/>
        <v>20</v>
      </c>
      <c r="O21" s="19" t="str">
        <f t="shared" si="6"/>
        <v>CONCLUÍDA COM ATRASO</v>
      </c>
    </row>
    <row r="22" spans="1:15" x14ac:dyDescent="0.3">
      <c r="A22" s="19">
        <f>IF(Cadastro!$M22="","",Cadastro!$M22)</f>
        <v>1437133</v>
      </c>
      <c r="B22" s="19">
        <f>IF(Cadastro!$H22="","",Cadastro!$H22)</f>
        <v>1806815</v>
      </c>
      <c r="C22" s="21">
        <f>IF(Cadastro!$B22="","",Cadastro!$B22)</f>
        <v>123</v>
      </c>
      <c r="D22" s="21">
        <f>IF(Cadastro!$C22="","",Cadastro!$C22)</f>
        <v>92927</v>
      </c>
      <c r="E22" s="19" t="str">
        <f t="shared" si="0"/>
        <v>INTERFONE PLASTICO ABS 12VCC C/ACIONAMENTO FECHADURA IP/WIFI DAHUA TECH/DHI-VTH5421E(W)-H</v>
      </c>
      <c r="F22" s="19" t="str">
        <f>IF(Cadastro!$N22="","",Cadastro!$N22)</f>
        <v>MULTISEG COMERCIO DE INFORMATICA E TELECOMUNICAÇÕES EIRELI</v>
      </c>
      <c r="G22" s="24">
        <f>N(Cadastro!$O22)</f>
        <v>45884</v>
      </c>
      <c r="H22" s="24">
        <f>N(Cadastro!$P22)</f>
        <v>45905</v>
      </c>
      <c r="I22" s="23">
        <f>N(Cadastro!$Q22)</f>
        <v>2</v>
      </c>
      <c r="J22" s="21">
        <f t="shared" si="1"/>
        <v>2</v>
      </c>
      <c r="K22" s="21">
        <f t="shared" si="2"/>
        <v>0</v>
      </c>
      <c r="L22" s="24">
        <f t="shared" si="3"/>
        <v>46228</v>
      </c>
      <c r="M22" s="21">
        <f t="shared" si="4"/>
        <v>344</v>
      </c>
      <c r="N22" s="21">
        <f t="shared" si="5"/>
        <v>21</v>
      </c>
      <c r="O22" s="19" t="str">
        <f t="shared" si="6"/>
        <v>CONCLUÍDA COM ATRASO</v>
      </c>
    </row>
    <row r="23" spans="1:15" x14ac:dyDescent="0.3">
      <c r="A23" s="19">
        <f>IF(Cadastro!$M23="","",Cadastro!$M23)</f>
        <v>1444810</v>
      </c>
      <c r="B23" s="19">
        <f>IF(Cadastro!$H23="","",Cadastro!$H23)</f>
        <v>1806817</v>
      </c>
      <c r="C23" s="21">
        <f>IF(Cadastro!$B23="","",Cadastro!$B23)</f>
        <v>123</v>
      </c>
      <c r="D23" s="21">
        <f>IF(Cadastro!$C23="","",Cadastro!$C23)</f>
        <v>86736</v>
      </c>
      <c r="E23" s="19" t="str">
        <f t="shared" si="0"/>
        <v>UNIDADE CONTROLE ACESSOS ELETR LCD 7POL FACIAL 218X118X24,20MM C/SUPORTE DAHUA TECH/DHI-ASI7213S-W</v>
      </c>
      <c r="F23" s="19" t="str">
        <f>IF(Cadastro!$N23="","",Cadastro!$N23)</f>
        <v>BRAKO COMÉRCIO DE EQUIPAMENTOS ELETRÔNICOS LTDA</v>
      </c>
      <c r="G23" s="24">
        <f>N(Cadastro!$O23)</f>
        <v>45888</v>
      </c>
      <c r="H23" s="24">
        <f>N(Cadastro!$P23)</f>
        <v>45933</v>
      </c>
      <c r="I23" s="23">
        <f>N(Cadastro!$Q23)</f>
        <v>4</v>
      </c>
      <c r="J23" s="21">
        <f t="shared" si="1"/>
        <v>4</v>
      </c>
      <c r="K23" s="21">
        <f t="shared" si="2"/>
        <v>0</v>
      </c>
      <c r="L23" s="24">
        <f t="shared" si="3"/>
        <v>46228</v>
      </c>
      <c r="M23" s="21">
        <f t="shared" si="4"/>
        <v>340</v>
      </c>
      <c r="N23" s="21">
        <f t="shared" si="5"/>
        <v>45</v>
      </c>
      <c r="O23" s="19" t="str">
        <f t="shared" si="6"/>
        <v>CONCLUÍDA COM ATRASO</v>
      </c>
    </row>
    <row r="24" spans="1:15" x14ac:dyDescent="0.3">
      <c r="A24" s="19">
        <f>IF(Cadastro!$M24="","",Cadastro!$M24)</f>
        <v>1758538</v>
      </c>
      <c r="B24" s="19">
        <f>IF(Cadastro!$H24="","",Cadastro!$H24)</f>
        <v>2502563</v>
      </c>
      <c r="C24" s="21" t="str">
        <f>IF(Cadastro!$B24="","",Cadastro!$B24)</f>
        <v>N/A59</v>
      </c>
      <c r="D24" s="21">
        <f>IF(Cadastro!$C24="","",Cadastro!$C24)</f>
        <v>63489</v>
      </c>
      <c r="E24" s="19" t="str">
        <f t="shared" si="0"/>
        <v>HFW2431S-S-S2</v>
      </c>
      <c r="F24" s="19" t="str">
        <f>IF(Cadastro!$N24="","",Cadastro!$N24)</f>
        <v>BRAKO COMÉRCIO DE EQUIPAMENTOS ELETRÔNICOS LTDA</v>
      </c>
      <c r="G24" s="24">
        <f>N(Cadastro!$O24)</f>
        <v>46175</v>
      </c>
      <c r="H24" s="24">
        <f>N(Cadastro!$P24)</f>
        <v>46220</v>
      </c>
      <c r="I24" s="23">
        <f>N(Cadastro!$Q24)</f>
        <v>60</v>
      </c>
      <c r="J24" s="21">
        <f t="shared" si="1"/>
        <v>0</v>
      </c>
      <c r="K24" s="21">
        <f t="shared" si="2"/>
        <v>60</v>
      </c>
      <c r="L24" s="24" t="str">
        <f t="shared" si="3"/>
        <v/>
      </c>
      <c r="M24" s="21">
        <f t="shared" ca="1" si="4"/>
        <v>85</v>
      </c>
      <c r="N24" s="21">
        <f t="shared" si="5"/>
        <v>45</v>
      </c>
      <c r="O24" s="19" t="str">
        <f t="shared" ca="1" si="6"/>
        <v>ENTREGA EM ATRASO</v>
      </c>
    </row>
    <row r="25" spans="1:15" x14ac:dyDescent="0.3">
      <c r="A25" s="19">
        <f>IF(Cadastro!$M25="","",Cadastro!$M25)</f>
        <v>1756367</v>
      </c>
      <c r="B25" s="19">
        <f>IF(Cadastro!$H25="","",Cadastro!$H25)</f>
        <v>2502559</v>
      </c>
      <c r="C25" s="21" t="str">
        <f>IF(Cadastro!$B25="","",Cadastro!$B25)</f>
        <v>N/A59</v>
      </c>
      <c r="D25" s="21">
        <f>IF(Cadastro!$C25="","",Cadastro!$C25)</f>
        <v>54792</v>
      </c>
      <c r="E25" s="19" t="str">
        <f t="shared" si="0"/>
        <v>HDBW2230E-S-S2</v>
      </c>
      <c r="F25" s="19" t="str">
        <f>IF(Cadastro!$N25="","",Cadastro!$N25)</f>
        <v>BRAKO COMÉRCIO DE EQUIPAMENTOS ELETRÔNICOS LTDA</v>
      </c>
      <c r="G25" s="24">
        <f>N(Cadastro!$O25)</f>
        <v>46174</v>
      </c>
      <c r="H25" s="24">
        <f>N(Cadastro!$P25)</f>
        <v>46219</v>
      </c>
      <c r="I25" s="23">
        <f>N(Cadastro!$Q25)</f>
        <v>130</v>
      </c>
      <c r="J25" s="21">
        <f t="shared" si="1"/>
        <v>0</v>
      </c>
      <c r="K25" s="21">
        <f t="shared" si="2"/>
        <v>130</v>
      </c>
      <c r="L25" s="24" t="str">
        <f t="shared" si="3"/>
        <v/>
      </c>
      <c r="M25" s="21">
        <f t="shared" ca="1" si="4"/>
        <v>86</v>
      </c>
      <c r="N25" s="21">
        <f t="shared" si="5"/>
        <v>45</v>
      </c>
      <c r="O25" s="19" t="str">
        <f t="shared" ca="1" si="6"/>
        <v>ENTREGA EM ATRASO</v>
      </c>
    </row>
    <row r="26" spans="1:15" x14ac:dyDescent="0.3">
      <c r="A26" s="19" t="str">
        <f>IF(Cadastro!$M26="","",Cadastro!$M26)</f>
        <v/>
      </c>
      <c r="B26" s="19" t="str">
        <f>IF(Cadastro!$H26="","",Cadastro!$H26)</f>
        <v/>
      </c>
      <c r="C26" s="21" t="str">
        <f>IF(Cadastro!$B26="","",Cadastro!$B26)</f>
        <v/>
      </c>
      <c r="D26" s="21" t="str">
        <f>IF(Cadastro!$C26="","",Cadastro!$C26)</f>
        <v/>
      </c>
      <c r="E26" s="19" t="str">
        <f t="shared" si="0"/>
        <v/>
      </c>
      <c r="F26" s="19" t="str">
        <f>IF(Cadastro!$N26="","",Cadastro!$N26)</f>
        <v/>
      </c>
      <c r="G26" s="24">
        <f>N(Cadastro!$O26)</f>
        <v>0</v>
      </c>
      <c r="H26" s="24">
        <f>N(Cadastro!$P26)</f>
        <v>0</v>
      </c>
      <c r="I26" s="23">
        <f>N(Cadastro!$Q26)</f>
        <v>0</v>
      </c>
      <c r="J26" s="21" t="str">
        <f t="shared" si="1"/>
        <v/>
      </c>
      <c r="K26" s="21" t="str">
        <f t="shared" si="2"/>
        <v/>
      </c>
      <c r="L26" s="24" t="str">
        <f t="shared" si="3"/>
        <v/>
      </c>
      <c r="M26" s="21" t="str">
        <f t="shared" si="4"/>
        <v/>
      </c>
      <c r="N26" s="21" t="str">
        <f t="shared" si="5"/>
        <v/>
      </c>
      <c r="O26" s="19" t="str">
        <f t="shared" si="6"/>
        <v/>
      </c>
    </row>
    <row r="27" spans="1:15" x14ac:dyDescent="0.3">
      <c r="A27" s="19" t="str">
        <f>IF(Cadastro!$M27="","",Cadastro!$M27)</f>
        <v/>
      </c>
      <c r="B27" s="19" t="str">
        <f>IF(Cadastro!$H27="","",Cadastro!$H27)</f>
        <v/>
      </c>
      <c r="C27" s="21" t="str">
        <f>IF(Cadastro!$B27="","",Cadastro!$B27)</f>
        <v/>
      </c>
      <c r="D27" s="21" t="str">
        <f>IF(Cadastro!$C27="","",Cadastro!$C27)</f>
        <v/>
      </c>
      <c r="E27" s="19" t="str">
        <f t="shared" si="0"/>
        <v/>
      </c>
      <c r="F27" s="19" t="str">
        <f>IF(Cadastro!$N27="","",Cadastro!$N27)</f>
        <v/>
      </c>
      <c r="G27" s="24">
        <f>N(Cadastro!$O27)</f>
        <v>0</v>
      </c>
      <c r="H27" s="24">
        <f>N(Cadastro!$P27)</f>
        <v>0</v>
      </c>
      <c r="I27" s="23">
        <f>N(Cadastro!$Q27)</f>
        <v>0</v>
      </c>
      <c r="J27" s="21" t="str">
        <f t="shared" si="1"/>
        <v/>
      </c>
      <c r="K27" s="21" t="str">
        <f t="shared" si="2"/>
        <v/>
      </c>
      <c r="L27" s="24" t="str">
        <f t="shared" si="3"/>
        <v/>
      </c>
      <c r="M27" s="21" t="str">
        <f t="shared" si="4"/>
        <v/>
      </c>
      <c r="N27" s="21" t="str">
        <f t="shared" si="5"/>
        <v/>
      </c>
      <c r="O27" s="19" t="str">
        <f t="shared" si="6"/>
        <v/>
      </c>
    </row>
    <row r="28" spans="1:15" x14ac:dyDescent="0.3">
      <c r="A28" s="19" t="str">
        <f>IF(Cadastro!$M28="","",Cadastro!$M28)</f>
        <v/>
      </c>
      <c r="B28" s="19" t="str">
        <f>IF(Cadastro!$H28="","",Cadastro!$H28)</f>
        <v/>
      </c>
      <c r="C28" s="21" t="str">
        <f>IF(Cadastro!$B28="","",Cadastro!$B28)</f>
        <v/>
      </c>
      <c r="D28" s="21" t="str">
        <f>IF(Cadastro!$C28="","",Cadastro!$C28)</f>
        <v/>
      </c>
      <c r="E28" s="19" t="str">
        <f t="shared" si="0"/>
        <v/>
      </c>
      <c r="F28" s="19" t="str">
        <f>IF(Cadastro!$N28="","",Cadastro!$N28)</f>
        <v/>
      </c>
      <c r="G28" s="24">
        <f>N(Cadastro!$O28)</f>
        <v>0</v>
      </c>
      <c r="H28" s="24">
        <f>N(Cadastro!$P28)</f>
        <v>0</v>
      </c>
      <c r="I28" s="23">
        <f>N(Cadastro!$Q28)</f>
        <v>0</v>
      </c>
      <c r="J28" s="21" t="str">
        <f t="shared" si="1"/>
        <v/>
      </c>
      <c r="K28" s="21" t="str">
        <f t="shared" si="2"/>
        <v/>
      </c>
      <c r="L28" s="24" t="str">
        <f t="shared" si="3"/>
        <v/>
      </c>
      <c r="M28" s="21" t="str">
        <f t="shared" si="4"/>
        <v/>
      </c>
      <c r="N28" s="21" t="str">
        <f t="shared" si="5"/>
        <v/>
      </c>
      <c r="O28" s="19" t="str">
        <f t="shared" si="6"/>
        <v/>
      </c>
    </row>
    <row r="29" spans="1:15" x14ac:dyDescent="0.3">
      <c r="A29" s="19" t="str">
        <f>IF(Cadastro!$M29="","",Cadastro!$M29)</f>
        <v/>
      </c>
      <c r="B29" s="19" t="str">
        <f>IF(Cadastro!$H29="","",Cadastro!$H29)</f>
        <v/>
      </c>
      <c r="C29" s="21" t="str">
        <f>IF(Cadastro!$B29="","",Cadastro!$B29)</f>
        <v/>
      </c>
      <c r="D29" s="21" t="str">
        <f>IF(Cadastro!$C29="","",Cadastro!$C29)</f>
        <v/>
      </c>
      <c r="E29" s="19" t="str">
        <f t="shared" si="0"/>
        <v/>
      </c>
      <c r="F29" s="19" t="str">
        <f>IF(Cadastro!$N29="","",Cadastro!$N29)</f>
        <v/>
      </c>
      <c r="G29" s="24">
        <f>N(Cadastro!$O29)</f>
        <v>0</v>
      </c>
      <c r="H29" s="24">
        <f>N(Cadastro!$P29)</f>
        <v>0</v>
      </c>
      <c r="I29" s="23">
        <f>N(Cadastro!$Q29)</f>
        <v>0</v>
      </c>
      <c r="J29" s="21" t="str">
        <f t="shared" si="1"/>
        <v/>
      </c>
      <c r="K29" s="21" t="str">
        <f t="shared" si="2"/>
        <v/>
      </c>
      <c r="L29" s="24" t="str">
        <f t="shared" si="3"/>
        <v/>
      </c>
      <c r="M29" s="21" t="str">
        <f t="shared" si="4"/>
        <v/>
      </c>
      <c r="N29" s="21" t="str">
        <f t="shared" si="5"/>
        <v/>
      </c>
      <c r="O29" s="19" t="str">
        <f t="shared" si="6"/>
        <v/>
      </c>
    </row>
    <row r="30" spans="1:15" x14ac:dyDescent="0.3">
      <c r="A30" s="19" t="str">
        <f>IF(Cadastro!$M30="","",Cadastro!$M30)</f>
        <v/>
      </c>
      <c r="B30" s="19" t="str">
        <f>IF(Cadastro!$H30="","",Cadastro!$H30)</f>
        <v/>
      </c>
      <c r="C30" s="21" t="str">
        <f>IF(Cadastro!$B30="","",Cadastro!$B30)</f>
        <v/>
      </c>
      <c r="D30" s="21" t="str">
        <f>IF(Cadastro!$C30="","",Cadastro!$C30)</f>
        <v/>
      </c>
      <c r="E30" s="19" t="str">
        <f t="shared" si="0"/>
        <v/>
      </c>
      <c r="F30" s="19" t="str">
        <f>IF(Cadastro!$N30="","",Cadastro!$N30)</f>
        <v/>
      </c>
      <c r="G30" s="24">
        <f>N(Cadastro!$O30)</f>
        <v>0</v>
      </c>
      <c r="H30" s="24">
        <f>N(Cadastro!$P30)</f>
        <v>0</v>
      </c>
      <c r="I30" s="23">
        <f>N(Cadastro!$Q30)</f>
        <v>0</v>
      </c>
      <c r="J30" s="21" t="str">
        <f t="shared" si="1"/>
        <v/>
      </c>
      <c r="K30" s="21" t="str">
        <f t="shared" si="2"/>
        <v/>
      </c>
      <c r="L30" s="24" t="str">
        <f t="shared" si="3"/>
        <v/>
      </c>
      <c r="M30" s="21" t="str">
        <f t="shared" si="4"/>
        <v/>
      </c>
      <c r="N30" s="21" t="str">
        <f t="shared" si="5"/>
        <v/>
      </c>
      <c r="O30" s="19" t="str">
        <f t="shared" si="6"/>
        <v/>
      </c>
    </row>
    <row r="31" spans="1:15" x14ac:dyDescent="0.3">
      <c r="A31" s="19" t="str">
        <f>IF(Cadastro!$M31="","",Cadastro!$M31)</f>
        <v/>
      </c>
      <c r="B31" s="19" t="str">
        <f>IF(Cadastro!$H31="","",Cadastro!$H31)</f>
        <v/>
      </c>
      <c r="C31" s="21" t="str">
        <f>IF(Cadastro!$B31="","",Cadastro!$B31)</f>
        <v/>
      </c>
      <c r="D31" s="21" t="str">
        <f>IF(Cadastro!$C31="","",Cadastro!$C31)</f>
        <v/>
      </c>
      <c r="E31" s="19" t="str">
        <f t="shared" si="0"/>
        <v/>
      </c>
      <c r="F31" s="19" t="str">
        <f>IF(Cadastro!$N31="","",Cadastro!$N31)</f>
        <v/>
      </c>
      <c r="G31" s="24">
        <f>N(Cadastro!$O31)</f>
        <v>0</v>
      </c>
      <c r="H31" s="24">
        <f>N(Cadastro!$P31)</f>
        <v>0</v>
      </c>
      <c r="I31" s="23">
        <f>N(Cadastro!$Q31)</f>
        <v>0</v>
      </c>
      <c r="J31" s="21" t="str">
        <f t="shared" si="1"/>
        <v/>
      </c>
      <c r="K31" s="21" t="str">
        <f t="shared" si="2"/>
        <v/>
      </c>
      <c r="L31" s="24" t="str">
        <f t="shared" si="3"/>
        <v/>
      </c>
      <c r="M31" s="21" t="str">
        <f t="shared" si="4"/>
        <v/>
      </c>
      <c r="N31" s="21" t="str">
        <f t="shared" si="5"/>
        <v/>
      </c>
      <c r="O31" s="19" t="str">
        <f t="shared" si="6"/>
        <v/>
      </c>
    </row>
    <row r="32" spans="1:15" x14ac:dyDescent="0.3">
      <c r="A32" s="19" t="str">
        <f>IF(Cadastro!$M32="","",Cadastro!$M32)</f>
        <v/>
      </c>
      <c r="B32" s="19" t="str">
        <f>IF(Cadastro!$H32="","",Cadastro!$H32)</f>
        <v/>
      </c>
      <c r="C32" s="21" t="str">
        <f>IF(Cadastro!$B32="","",Cadastro!$B32)</f>
        <v/>
      </c>
      <c r="D32" s="21" t="str">
        <f>IF(Cadastro!$C32="","",Cadastro!$C32)</f>
        <v/>
      </c>
      <c r="E32" s="19" t="str">
        <f t="shared" si="0"/>
        <v/>
      </c>
      <c r="F32" s="19" t="str">
        <f>IF(Cadastro!$N32="","",Cadastro!$N32)</f>
        <v/>
      </c>
      <c r="G32" s="24">
        <f>N(Cadastro!$O32)</f>
        <v>0</v>
      </c>
      <c r="H32" s="24">
        <f>N(Cadastro!$P32)</f>
        <v>0</v>
      </c>
      <c r="I32" s="23">
        <f>N(Cadastro!$Q32)</f>
        <v>0</v>
      </c>
      <c r="J32" s="21" t="str">
        <f t="shared" si="1"/>
        <v/>
      </c>
      <c r="K32" s="21" t="str">
        <f t="shared" si="2"/>
        <v/>
      </c>
      <c r="L32" s="24" t="str">
        <f t="shared" si="3"/>
        <v/>
      </c>
      <c r="M32" s="21" t="str">
        <f t="shared" si="4"/>
        <v/>
      </c>
      <c r="N32" s="21" t="str">
        <f t="shared" si="5"/>
        <v/>
      </c>
      <c r="O32" s="19" t="str">
        <f t="shared" si="6"/>
        <v/>
      </c>
    </row>
    <row r="33" spans="1:15" x14ac:dyDescent="0.3">
      <c r="A33" s="19" t="str">
        <f>IF(Cadastro!$M33="","",Cadastro!$M33)</f>
        <v/>
      </c>
      <c r="B33" s="19" t="str">
        <f>IF(Cadastro!$H33="","",Cadastro!$H33)</f>
        <v/>
      </c>
      <c r="C33" s="21" t="str">
        <f>IF(Cadastro!$B33="","",Cadastro!$B33)</f>
        <v/>
      </c>
      <c r="D33" s="21" t="str">
        <f>IF(Cadastro!$C33="","",Cadastro!$C33)</f>
        <v/>
      </c>
      <c r="E33" s="19" t="str">
        <f t="shared" si="0"/>
        <v/>
      </c>
      <c r="F33" s="19" t="str">
        <f>IF(Cadastro!$N33="","",Cadastro!$N33)</f>
        <v/>
      </c>
      <c r="G33" s="24">
        <f>N(Cadastro!$O33)</f>
        <v>0</v>
      </c>
      <c r="H33" s="24">
        <f>N(Cadastro!$P33)</f>
        <v>0</v>
      </c>
      <c r="I33" s="23">
        <f>N(Cadastro!$Q33)</f>
        <v>0</v>
      </c>
      <c r="J33" s="21" t="str">
        <f t="shared" si="1"/>
        <v/>
      </c>
      <c r="K33" s="21" t="str">
        <f t="shared" si="2"/>
        <v/>
      </c>
      <c r="L33" s="24" t="str">
        <f t="shared" si="3"/>
        <v/>
      </c>
      <c r="M33" s="21" t="str">
        <f t="shared" si="4"/>
        <v/>
      </c>
      <c r="N33" s="21" t="str">
        <f t="shared" si="5"/>
        <v/>
      </c>
      <c r="O33" s="19" t="str">
        <f t="shared" si="6"/>
        <v/>
      </c>
    </row>
    <row r="34" spans="1:15" x14ac:dyDescent="0.3">
      <c r="A34" s="19" t="str">
        <f>IF(Cadastro!$M34="","",Cadastro!$M34)</f>
        <v/>
      </c>
      <c r="B34" s="19" t="str">
        <f>IF(Cadastro!$H34="","",Cadastro!$H34)</f>
        <v/>
      </c>
      <c r="C34" s="21" t="str">
        <f>IF(Cadastro!$B34="","",Cadastro!$B34)</f>
        <v/>
      </c>
      <c r="D34" s="21" t="str">
        <f>IF(Cadastro!$C34="","",Cadastro!$C34)</f>
        <v/>
      </c>
      <c r="E34" s="19" t="str">
        <f t="shared" si="0"/>
        <v/>
      </c>
      <c r="F34" s="19" t="str">
        <f>IF(Cadastro!$N34="","",Cadastro!$N34)</f>
        <v/>
      </c>
      <c r="G34" s="24">
        <f>N(Cadastro!$O34)</f>
        <v>0</v>
      </c>
      <c r="H34" s="24">
        <f>N(Cadastro!$P34)</f>
        <v>0</v>
      </c>
      <c r="I34" s="23">
        <f>N(Cadastro!$Q34)</f>
        <v>0</v>
      </c>
      <c r="J34" s="21" t="str">
        <f t="shared" si="1"/>
        <v/>
      </c>
      <c r="K34" s="21" t="str">
        <f t="shared" si="2"/>
        <v/>
      </c>
      <c r="L34" s="24" t="str">
        <f t="shared" si="3"/>
        <v/>
      </c>
      <c r="M34" s="21" t="str">
        <f t="shared" si="4"/>
        <v/>
      </c>
      <c r="N34" s="21" t="str">
        <f t="shared" si="5"/>
        <v/>
      </c>
      <c r="O34" s="19" t="str">
        <f t="shared" si="6"/>
        <v/>
      </c>
    </row>
    <row r="35" spans="1:15" x14ac:dyDescent="0.3">
      <c r="A35" s="19" t="str">
        <f>IF(Cadastro!$M35="","",Cadastro!$M35)</f>
        <v/>
      </c>
      <c r="B35" s="19" t="str">
        <f>IF(Cadastro!$H35="","",Cadastro!$H35)</f>
        <v/>
      </c>
      <c r="C35" s="21" t="str">
        <f>IF(Cadastro!$B35="","",Cadastro!$B35)</f>
        <v/>
      </c>
      <c r="D35" s="21" t="str">
        <f>IF(Cadastro!$C35="","",Cadastro!$C35)</f>
        <v/>
      </c>
      <c r="E35" s="19" t="str">
        <f t="shared" si="0"/>
        <v/>
      </c>
      <c r="F35" s="19" t="str">
        <f>IF(Cadastro!$N35="","",Cadastro!$N35)</f>
        <v/>
      </c>
      <c r="G35" s="24">
        <f>N(Cadastro!$O35)</f>
        <v>0</v>
      </c>
      <c r="H35" s="24">
        <f>N(Cadastro!$P35)</f>
        <v>0</v>
      </c>
      <c r="I35" s="23">
        <f>N(Cadastro!$Q35)</f>
        <v>0</v>
      </c>
      <c r="J35" s="21" t="str">
        <f t="shared" si="1"/>
        <v/>
      </c>
      <c r="K35" s="21" t="str">
        <f t="shared" si="2"/>
        <v/>
      </c>
      <c r="L35" s="24" t="str">
        <f t="shared" si="3"/>
        <v/>
      </c>
      <c r="M35" s="21" t="str">
        <f t="shared" si="4"/>
        <v/>
      </c>
      <c r="N35" s="21" t="str">
        <f t="shared" si="5"/>
        <v/>
      </c>
      <c r="O35" s="19" t="str">
        <f t="shared" si="6"/>
        <v/>
      </c>
    </row>
    <row r="36" spans="1:15" x14ac:dyDescent="0.3">
      <c r="A36" s="19" t="str">
        <f>IF(Cadastro!$M36="","",Cadastro!$M36)</f>
        <v/>
      </c>
      <c r="B36" s="19" t="str">
        <f>IF(Cadastro!$H36="","",Cadastro!$H36)</f>
        <v/>
      </c>
      <c r="C36" s="21" t="str">
        <f>IF(Cadastro!$B36="","",Cadastro!$B36)</f>
        <v/>
      </c>
      <c r="D36" s="21" t="str">
        <f>IF(Cadastro!$C36="","",Cadastro!$C36)</f>
        <v/>
      </c>
      <c r="E36" s="19" t="str">
        <f t="shared" si="0"/>
        <v/>
      </c>
      <c r="F36" s="19" t="str">
        <f>IF(Cadastro!$N36="","",Cadastro!$N36)</f>
        <v/>
      </c>
      <c r="G36" s="24">
        <f>N(Cadastro!$O36)</f>
        <v>0</v>
      </c>
      <c r="H36" s="24">
        <f>N(Cadastro!$P36)</f>
        <v>0</v>
      </c>
      <c r="I36" s="23">
        <f>N(Cadastro!$Q36)</f>
        <v>0</v>
      </c>
      <c r="J36" s="21" t="str">
        <f t="shared" si="1"/>
        <v/>
      </c>
      <c r="K36" s="21" t="str">
        <f t="shared" si="2"/>
        <v/>
      </c>
      <c r="L36" s="24" t="str">
        <f t="shared" si="3"/>
        <v/>
      </c>
      <c r="M36" s="21" t="str">
        <f t="shared" si="4"/>
        <v/>
      </c>
      <c r="N36" s="21" t="str">
        <f t="shared" si="5"/>
        <v/>
      </c>
      <c r="O36" s="19" t="str">
        <f t="shared" si="6"/>
        <v/>
      </c>
    </row>
    <row r="37" spans="1:15" x14ac:dyDescent="0.3">
      <c r="A37" s="19" t="str">
        <f>IF(Cadastro!$M37="","",Cadastro!$M37)</f>
        <v/>
      </c>
      <c r="B37" s="19" t="str">
        <f>IF(Cadastro!$H37="","",Cadastro!$H37)</f>
        <v/>
      </c>
      <c r="C37" s="21" t="str">
        <f>IF(Cadastro!$B37="","",Cadastro!$B37)</f>
        <v/>
      </c>
      <c r="D37" s="21" t="str">
        <f>IF(Cadastro!$C37="","",Cadastro!$C37)</f>
        <v/>
      </c>
      <c r="E37" s="19" t="str">
        <f t="shared" ref="E37:E68" si="7">IF($D37="","",IFERROR(INDEX(Prod_Desc,MATCH($D37,Prod_Cod,0)),"PRODUTO NÃO CADASTRADO"))</f>
        <v/>
      </c>
      <c r="F37" s="19" t="str">
        <f>IF(Cadastro!$N37="","",Cadastro!$N37)</f>
        <v/>
      </c>
      <c r="G37" s="24">
        <f>N(Cadastro!$O37)</f>
        <v>0</v>
      </c>
      <c r="H37" s="24">
        <f>N(Cadastro!$P37)</f>
        <v>0</v>
      </c>
      <c r="I37" s="23">
        <f>N(Cadastro!$Q37)</f>
        <v>0</v>
      </c>
      <c r="J37" s="21" t="str">
        <f t="shared" ref="J37:J68" si="8">IF($A37="","",SUMIFS(Ent_Qtd,Ent_OC,$A37,Ent_Cham,$C37,Ent_Prod,$D37))</f>
        <v/>
      </c>
      <c r="K37" s="21" t="str">
        <f t="shared" ref="K37:K68" si="9">IF($A37="","",N($I37)-N($J37))</f>
        <v/>
      </c>
      <c r="L37" s="24" t="str">
        <f t="shared" ref="L37:L68" si="10">IF($A37="","",IF(SUMPRODUCT(MAX((Ent_OC=$A37)*(Ent_Cham=$C37)*(Ent_Prod=$D37)*N(Ent_Data)))=0,"",SUMPRODUCT(MAX((Ent_OC=$A37)*(Ent_Cham=$C37)*(Ent_Prod=$D37)*N(Ent_Data)))))</f>
        <v/>
      </c>
      <c r="M37" s="21" t="str">
        <f t="shared" ref="M37:M68" si="11">IF(OR($A37="",N($G37)=0),"",IF(AND($K37&lt;=0,$L37&lt;&gt;""),MAX($L37-$G37,0),MAX(DataRef-$G37,0)))</f>
        <v/>
      </c>
      <c r="N37" s="21" t="str">
        <f t="shared" ref="N37:N68" si="12">IF($A37="","",IF(N($H37)=0,IFERROR(INDEX(Etapa_SLA,MATCH("ENTREGA DO MATERIAL",Lista_Etapas,0)),35),MAX($H37-$G37,0)))</f>
        <v/>
      </c>
      <c r="O37" s="19" t="str">
        <f t="shared" ref="O37:O68" si="13">IF($A37="","",IF($K37&lt;0,"RECEBIMENTO ACIMA DA OC",IF($K37=0,IF($M37&lt;=$N37,"CONCLUÍDA NO PRAZO","CONCLUÍDA COM ATRASO"),IF($M37&gt;$N37,"ENTREGA EM ATRASO",IF($J37=0,"AGUARDANDO ENTREGA","ENTREGA PARCIAL")))))</f>
        <v/>
      </c>
    </row>
    <row r="38" spans="1:15" x14ac:dyDescent="0.3">
      <c r="A38" s="19" t="str">
        <f>IF(Cadastro!$M38="","",Cadastro!$M38)</f>
        <v/>
      </c>
      <c r="B38" s="19" t="str">
        <f>IF(Cadastro!$H38="","",Cadastro!$H38)</f>
        <v/>
      </c>
      <c r="C38" s="21" t="str">
        <f>IF(Cadastro!$B38="","",Cadastro!$B38)</f>
        <v/>
      </c>
      <c r="D38" s="21" t="str">
        <f>IF(Cadastro!$C38="","",Cadastro!$C38)</f>
        <v/>
      </c>
      <c r="E38" s="19" t="str">
        <f t="shared" si="7"/>
        <v/>
      </c>
      <c r="F38" s="19" t="str">
        <f>IF(Cadastro!$N38="","",Cadastro!$N38)</f>
        <v/>
      </c>
      <c r="G38" s="24">
        <f>N(Cadastro!$O38)</f>
        <v>0</v>
      </c>
      <c r="H38" s="24">
        <f>N(Cadastro!$P38)</f>
        <v>0</v>
      </c>
      <c r="I38" s="23">
        <f>N(Cadastro!$Q38)</f>
        <v>0</v>
      </c>
      <c r="J38" s="21" t="str">
        <f t="shared" si="8"/>
        <v/>
      </c>
      <c r="K38" s="21" t="str">
        <f t="shared" si="9"/>
        <v/>
      </c>
      <c r="L38" s="24" t="str">
        <f t="shared" si="10"/>
        <v/>
      </c>
      <c r="M38" s="21" t="str">
        <f t="shared" si="11"/>
        <v/>
      </c>
      <c r="N38" s="21" t="str">
        <f t="shared" si="12"/>
        <v/>
      </c>
      <c r="O38" s="19" t="str">
        <f t="shared" si="13"/>
        <v/>
      </c>
    </row>
    <row r="39" spans="1:15" x14ac:dyDescent="0.3">
      <c r="A39" s="19" t="str">
        <f>IF(Cadastro!$M39="","",Cadastro!$M39)</f>
        <v/>
      </c>
      <c r="B39" s="19" t="str">
        <f>IF(Cadastro!$H39="","",Cadastro!$H39)</f>
        <v/>
      </c>
      <c r="C39" s="21" t="str">
        <f>IF(Cadastro!$B39="","",Cadastro!$B39)</f>
        <v/>
      </c>
      <c r="D39" s="21" t="str">
        <f>IF(Cadastro!$C39="","",Cadastro!$C39)</f>
        <v/>
      </c>
      <c r="E39" s="19" t="str">
        <f t="shared" si="7"/>
        <v/>
      </c>
      <c r="F39" s="19" t="str">
        <f>IF(Cadastro!$N39="","",Cadastro!$N39)</f>
        <v/>
      </c>
      <c r="G39" s="24">
        <f>N(Cadastro!$O39)</f>
        <v>0</v>
      </c>
      <c r="H39" s="24">
        <f>N(Cadastro!$P39)</f>
        <v>0</v>
      </c>
      <c r="I39" s="23">
        <f>N(Cadastro!$Q39)</f>
        <v>0</v>
      </c>
      <c r="J39" s="21" t="str">
        <f t="shared" si="8"/>
        <v/>
      </c>
      <c r="K39" s="21" t="str">
        <f t="shared" si="9"/>
        <v/>
      </c>
      <c r="L39" s="24" t="str">
        <f t="shared" si="10"/>
        <v/>
      </c>
      <c r="M39" s="21" t="str">
        <f t="shared" si="11"/>
        <v/>
      </c>
      <c r="N39" s="21" t="str">
        <f t="shared" si="12"/>
        <v/>
      </c>
      <c r="O39" s="19" t="str">
        <f t="shared" si="13"/>
        <v/>
      </c>
    </row>
    <row r="40" spans="1:15" x14ac:dyDescent="0.3">
      <c r="A40" s="19" t="str">
        <f>IF(Cadastro!$M40="","",Cadastro!$M40)</f>
        <v/>
      </c>
      <c r="B40" s="19" t="str">
        <f>IF(Cadastro!$H40="","",Cadastro!$H40)</f>
        <v/>
      </c>
      <c r="C40" s="21" t="str">
        <f>IF(Cadastro!$B40="","",Cadastro!$B40)</f>
        <v/>
      </c>
      <c r="D40" s="21" t="str">
        <f>IF(Cadastro!$C40="","",Cadastro!$C40)</f>
        <v/>
      </c>
      <c r="E40" s="19" t="str">
        <f t="shared" si="7"/>
        <v/>
      </c>
      <c r="F40" s="19" t="str">
        <f>IF(Cadastro!$N40="","",Cadastro!$N40)</f>
        <v/>
      </c>
      <c r="G40" s="24">
        <f>N(Cadastro!$O40)</f>
        <v>0</v>
      </c>
      <c r="H40" s="24">
        <f>N(Cadastro!$P40)</f>
        <v>0</v>
      </c>
      <c r="I40" s="23">
        <f>N(Cadastro!$Q40)</f>
        <v>0</v>
      </c>
      <c r="J40" s="21" t="str">
        <f t="shared" si="8"/>
        <v/>
      </c>
      <c r="K40" s="21" t="str">
        <f t="shared" si="9"/>
        <v/>
      </c>
      <c r="L40" s="24" t="str">
        <f t="shared" si="10"/>
        <v/>
      </c>
      <c r="M40" s="21" t="str">
        <f t="shared" si="11"/>
        <v/>
      </c>
      <c r="N40" s="21" t="str">
        <f t="shared" si="12"/>
        <v/>
      </c>
      <c r="O40" s="19" t="str">
        <f t="shared" si="13"/>
        <v/>
      </c>
    </row>
    <row r="41" spans="1:15" x14ac:dyDescent="0.3">
      <c r="A41" s="19" t="str">
        <f>IF(Cadastro!$M41="","",Cadastro!$M41)</f>
        <v/>
      </c>
      <c r="B41" s="19" t="str">
        <f>IF(Cadastro!$H41="","",Cadastro!$H41)</f>
        <v/>
      </c>
      <c r="C41" s="21" t="str">
        <f>IF(Cadastro!$B41="","",Cadastro!$B41)</f>
        <v/>
      </c>
      <c r="D41" s="21" t="str">
        <f>IF(Cadastro!$C41="","",Cadastro!$C41)</f>
        <v/>
      </c>
      <c r="E41" s="19" t="str">
        <f t="shared" si="7"/>
        <v/>
      </c>
      <c r="F41" s="19" t="str">
        <f>IF(Cadastro!$N41="","",Cadastro!$N41)</f>
        <v/>
      </c>
      <c r="G41" s="24">
        <f>N(Cadastro!$O41)</f>
        <v>0</v>
      </c>
      <c r="H41" s="24">
        <f>N(Cadastro!$P41)</f>
        <v>0</v>
      </c>
      <c r="I41" s="23">
        <f>N(Cadastro!$Q41)</f>
        <v>0</v>
      </c>
      <c r="J41" s="21" t="str">
        <f t="shared" si="8"/>
        <v/>
      </c>
      <c r="K41" s="21" t="str">
        <f t="shared" si="9"/>
        <v/>
      </c>
      <c r="L41" s="24" t="str">
        <f t="shared" si="10"/>
        <v/>
      </c>
      <c r="M41" s="21" t="str">
        <f t="shared" si="11"/>
        <v/>
      </c>
      <c r="N41" s="21" t="str">
        <f t="shared" si="12"/>
        <v/>
      </c>
      <c r="O41" s="19" t="str">
        <f t="shared" si="13"/>
        <v/>
      </c>
    </row>
    <row r="42" spans="1:15" x14ac:dyDescent="0.3">
      <c r="A42" s="19" t="str">
        <f>IF(Cadastro!$M42="","",Cadastro!$M42)</f>
        <v/>
      </c>
      <c r="B42" s="19" t="str">
        <f>IF(Cadastro!$H42="","",Cadastro!$H42)</f>
        <v/>
      </c>
      <c r="C42" s="21" t="str">
        <f>IF(Cadastro!$B42="","",Cadastro!$B42)</f>
        <v/>
      </c>
      <c r="D42" s="21" t="str">
        <f>IF(Cadastro!$C42="","",Cadastro!$C42)</f>
        <v/>
      </c>
      <c r="E42" s="19" t="str">
        <f t="shared" si="7"/>
        <v/>
      </c>
      <c r="F42" s="19" t="str">
        <f>IF(Cadastro!$N42="","",Cadastro!$N42)</f>
        <v/>
      </c>
      <c r="G42" s="24">
        <f>N(Cadastro!$O42)</f>
        <v>0</v>
      </c>
      <c r="H42" s="24">
        <f>N(Cadastro!$P42)</f>
        <v>0</v>
      </c>
      <c r="I42" s="23">
        <f>N(Cadastro!$Q42)</f>
        <v>0</v>
      </c>
      <c r="J42" s="21" t="str">
        <f t="shared" si="8"/>
        <v/>
      </c>
      <c r="K42" s="21" t="str">
        <f t="shared" si="9"/>
        <v/>
      </c>
      <c r="L42" s="24" t="str">
        <f t="shared" si="10"/>
        <v/>
      </c>
      <c r="M42" s="21" t="str">
        <f t="shared" si="11"/>
        <v/>
      </c>
      <c r="N42" s="21" t="str">
        <f t="shared" si="12"/>
        <v/>
      </c>
      <c r="O42" s="19" t="str">
        <f t="shared" si="13"/>
        <v/>
      </c>
    </row>
    <row r="43" spans="1:15" x14ac:dyDescent="0.3">
      <c r="A43" s="19" t="str">
        <f>IF(Cadastro!$M43="","",Cadastro!$M43)</f>
        <v/>
      </c>
      <c r="B43" s="19" t="str">
        <f>IF(Cadastro!$H43="","",Cadastro!$H43)</f>
        <v/>
      </c>
      <c r="C43" s="21" t="str">
        <f>IF(Cadastro!$B43="","",Cadastro!$B43)</f>
        <v/>
      </c>
      <c r="D43" s="21" t="str">
        <f>IF(Cadastro!$C43="","",Cadastro!$C43)</f>
        <v/>
      </c>
      <c r="E43" s="19" t="str">
        <f t="shared" si="7"/>
        <v/>
      </c>
      <c r="F43" s="19" t="str">
        <f>IF(Cadastro!$N43="","",Cadastro!$N43)</f>
        <v/>
      </c>
      <c r="G43" s="24">
        <f>N(Cadastro!$O43)</f>
        <v>0</v>
      </c>
      <c r="H43" s="24">
        <f>N(Cadastro!$P43)</f>
        <v>0</v>
      </c>
      <c r="I43" s="23">
        <f>N(Cadastro!$Q43)</f>
        <v>0</v>
      </c>
      <c r="J43" s="21" t="str">
        <f t="shared" si="8"/>
        <v/>
      </c>
      <c r="K43" s="21" t="str">
        <f t="shared" si="9"/>
        <v/>
      </c>
      <c r="L43" s="24" t="str">
        <f t="shared" si="10"/>
        <v/>
      </c>
      <c r="M43" s="21" t="str">
        <f t="shared" si="11"/>
        <v/>
      </c>
      <c r="N43" s="21" t="str">
        <f t="shared" si="12"/>
        <v/>
      </c>
      <c r="O43" s="19" t="str">
        <f t="shared" si="13"/>
        <v/>
      </c>
    </row>
    <row r="44" spans="1:15" x14ac:dyDescent="0.3">
      <c r="A44" s="19" t="str">
        <f>IF(Cadastro!$M44="","",Cadastro!$M44)</f>
        <v/>
      </c>
      <c r="B44" s="19" t="str">
        <f>IF(Cadastro!$H44="","",Cadastro!$H44)</f>
        <v/>
      </c>
      <c r="C44" s="21" t="str">
        <f>IF(Cadastro!$B44="","",Cadastro!$B44)</f>
        <v/>
      </c>
      <c r="D44" s="21" t="str">
        <f>IF(Cadastro!$C44="","",Cadastro!$C44)</f>
        <v/>
      </c>
      <c r="E44" s="19" t="str">
        <f t="shared" si="7"/>
        <v/>
      </c>
      <c r="F44" s="19" t="str">
        <f>IF(Cadastro!$N44="","",Cadastro!$N44)</f>
        <v/>
      </c>
      <c r="G44" s="24">
        <f>N(Cadastro!$O44)</f>
        <v>0</v>
      </c>
      <c r="H44" s="24">
        <f>N(Cadastro!$P44)</f>
        <v>0</v>
      </c>
      <c r="I44" s="23">
        <f>N(Cadastro!$Q44)</f>
        <v>0</v>
      </c>
      <c r="J44" s="21" t="str">
        <f t="shared" si="8"/>
        <v/>
      </c>
      <c r="K44" s="21" t="str">
        <f t="shared" si="9"/>
        <v/>
      </c>
      <c r="L44" s="24" t="str">
        <f t="shared" si="10"/>
        <v/>
      </c>
      <c r="M44" s="21" t="str">
        <f t="shared" si="11"/>
        <v/>
      </c>
      <c r="N44" s="21" t="str">
        <f t="shared" si="12"/>
        <v/>
      </c>
      <c r="O44" s="19" t="str">
        <f t="shared" si="13"/>
        <v/>
      </c>
    </row>
    <row r="45" spans="1:15" x14ac:dyDescent="0.3">
      <c r="A45" s="19" t="str">
        <f>IF(Cadastro!$M45="","",Cadastro!$M45)</f>
        <v/>
      </c>
      <c r="B45" s="19" t="str">
        <f>IF(Cadastro!$H45="","",Cadastro!$H45)</f>
        <v/>
      </c>
      <c r="C45" s="21" t="str">
        <f>IF(Cadastro!$B45="","",Cadastro!$B45)</f>
        <v/>
      </c>
      <c r="D45" s="21" t="str">
        <f>IF(Cadastro!$C45="","",Cadastro!$C45)</f>
        <v/>
      </c>
      <c r="E45" s="19" t="str">
        <f t="shared" si="7"/>
        <v/>
      </c>
      <c r="F45" s="19" t="str">
        <f>IF(Cadastro!$N45="","",Cadastro!$N45)</f>
        <v/>
      </c>
      <c r="G45" s="24">
        <f>N(Cadastro!$O45)</f>
        <v>0</v>
      </c>
      <c r="H45" s="24">
        <f>N(Cadastro!$P45)</f>
        <v>0</v>
      </c>
      <c r="I45" s="23">
        <f>N(Cadastro!$Q45)</f>
        <v>0</v>
      </c>
      <c r="J45" s="21" t="str">
        <f t="shared" si="8"/>
        <v/>
      </c>
      <c r="K45" s="21" t="str">
        <f t="shared" si="9"/>
        <v/>
      </c>
      <c r="L45" s="24" t="str">
        <f t="shared" si="10"/>
        <v/>
      </c>
      <c r="M45" s="21" t="str">
        <f t="shared" si="11"/>
        <v/>
      </c>
      <c r="N45" s="21" t="str">
        <f t="shared" si="12"/>
        <v/>
      </c>
      <c r="O45" s="19" t="str">
        <f t="shared" si="13"/>
        <v/>
      </c>
    </row>
    <row r="46" spans="1:15" x14ac:dyDescent="0.3">
      <c r="A46" s="19" t="str">
        <f>IF(Cadastro!$M46="","",Cadastro!$M46)</f>
        <v/>
      </c>
      <c r="B46" s="19" t="str">
        <f>IF(Cadastro!$H46="","",Cadastro!$H46)</f>
        <v/>
      </c>
      <c r="C46" s="21" t="str">
        <f>IF(Cadastro!$B46="","",Cadastro!$B46)</f>
        <v/>
      </c>
      <c r="D46" s="21" t="str">
        <f>IF(Cadastro!$C46="","",Cadastro!$C46)</f>
        <v/>
      </c>
      <c r="E46" s="19" t="str">
        <f t="shared" si="7"/>
        <v/>
      </c>
      <c r="F46" s="19" t="str">
        <f>IF(Cadastro!$N46="","",Cadastro!$N46)</f>
        <v/>
      </c>
      <c r="G46" s="24">
        <f>N(Cadastro!$O46)</f>
        <v>0</v>
      </c>
      <c r="H46" s="24">
        <f>N(Cadastro!$P46)</f>
        <v>0</v>
      </c>
      <c r="I46" s="23">
        <f>N(Cadastro!$Q46)</f>
        <v>0</v>
      </c>
      <c r="J46" s="21" t="str">
        <f t="shared" si="8"/>
        <v/>
      </c>
      <c r="K46" s="21" t="str">
        <f t="shared" si="9"/>
        <v/>
      </c>
      <c r="L46" s="24" t="str">
        <f t="shared" si="10"/>
        <v/>
      </c>
      <c r="M46" s="21" t="str">
        <f t="shared" si="11"/>
        <v/>
      </c>
      <c r="N46" s="21" t="str">
        <f t="shared" si="12"/>
        <v/>
      </c>
      <c r="O46" s="19" t="str">
        <f t="shared" si="13"/>
        <v/>
      </c>
    </row>
    <row r="47" spans="1:15" x14ac:dyDescent="0.3">
      <c r="A47" s="19" t="str">
        <f>IF(Cadastro!$M47="","",Cadastro!$M47)</f>
        <v/>
      </c>
      <c r="B47" s="19" t="str">
        <f>IF(Cadastro!$H47="","",Cadastro!$H47)</f>
        <v/>
      </c>
      <c r="C47" s="21" t="str">
        <f>IF(Cadastro!$B47="","",Cadastro!$B47)</f>
        <v/>
      </c>
      <c r="D47" s="21" t="str">
        <f>IF(Cadastro!$C47="","",Cadastro!$C47)</f>
        <v/>
      </c>
      <c r="E47" s="19" t="str">
        <f t="shared" si="7"/>
        <v/>
      </c>
      <c r="F47" s="19" t="str">
        <f>IF(Cadastro!$N47="","",Cadastro!$N47)</f>
        <v/>
      </c>
      <c r="G47" s="24">
        <f>N(Cadastro!$O47)</f>
        <v>0</v>
      </c>
      <c r="H47" s="24">
        <f>N(Cadastro!$P47)</f>
        <v>0</v>
      </c>
      <c r="I47" s="23">
        <f>N(Cadastro!$Q47)</f>
        <v>0</v>
      </c>
      <c r="J47" s="21" t="str">
        <f t="shared" si="8"/>
        <v/>
      </c>
      <c r="K47" s="21" t="str">
        <f t="shared" si="9"/>
        <v/>
      </c>
      <c r="L47" s="24" t="str">
        <f t="shared" si="10"/>
        <v/>
      </c>
      <c r="M47" s="21" t="str">
        <f t="shared" si="11"/>
        <v/>
      </c>
      <c r="N47" s="21" t="str">
        <f t="shared" si="12"/>
        <v/>
      </c>
      <c r="O47" s="19" t="str">
        <f t="shared" si="13"/>
        <v/>
      </c>
    </row>
    <row r="48" spans="1:15" x14ac:dyDescent="0.3">
      <c r="A48" s="19" t="str">
        <f>IF(Cadastro!$M48="","",Cadastro!$M48)</f>
        <v/>
      </c>
      <c r="B48" s="19" t="str">
        <f>IF(Cadastro!$H48="","",Cadastro!$H48)</f>
        <v/>
      </c>
      <c r="C48" s="21" t="str">
        <f>IF(Cadastro!$B48="","",Cadastro!$B48)</f>
        <v/>
      </c>
      <c r="D48" s="21" t="str">
        <f>IF(Cadastro!$C48="","",Cadastro!$C48)</f>
        <v/>
      </c>
      <c r="E48" s="19" t="str">
        <f t="shared" si="7"/>
        <v/>
      </c>
      <c r="F48" s="19" t="str">
        <f>IF(Cadastro!$N48="","",Cadastro!$N48)</f>
        <v/>
      </c>
      <c r="G48" s="24">
        <f>N(Cadastro!$O48)</f>
        <v>0</v>
      </c>
      <c r="H48" s="24">
        <f>N(Cadastro!$P48)</f>
        <v>0</v>
      </c>
      <c r="I48" s="23">
        <f>N(Cadastro!$Q48)</f>
        <v>0</v>
      </c>
      <c r="J48" s="21" t="str">
        <f t="shared" si="8"/>
        <v/>
      </c>
      <c r="K48" s="21" t="str">
        <f t="shared" si="9"/>
        <v/>
      </c>
      <c r="L48" s="24" t="str">
        <f t="shared" si="10"/>
        <v/>
      </c>
      <c r="M48" s="21" t="str">
        <f t="shared" si="11"/>
        <v/>
      </c>
      <c r="N48" s="21" t="str">
        <f t="shared" si="12"/>
        <v/>
      </c>
      <c r="O48" s="19" t="str">
        <f t="shared" si="13"/>
        <v/>
      </c>
    </row>
    <row r="49" spans="1:15" x14ac:dyDescent="0.3">
      <c r="A49" s="19" t="str">
        <f>IF(Cadastro!$M49="","",Cadastro!$M49)</f>
        <v/>
      </c>
      <c r="B49" s="19" t="str">
        <f>IF(Cadastro!$H49="","",Cadastro!$H49)</f>
        <v/>
      </c>
      <c r="C49" s="21" t="str">
        <f>IF(Cadastro!$B49="","",Cadastro!$B49)</f>
        <v/>
      </c>
      <c r="D49" s="21" t="str">
        <f>IF(Cadastro!$C49="","",Cadastro!$C49)</f>
        <v/>
      </c>
      <c r="E49" s="19" t="str">
        <f t="shared" si="7"/>
        <v/>
      </c>
      <c r="F49" s="19" t="str">
        <f>IF(Cadastro!$N49="","",Cadastro!$N49)</f>
        <v/>
      </c>
      <c r="G49" s="24">
        <f>N(Cadastro!$O49)</f>
        <v>0</v>
      </c>
      <c r="H49" s="24">
        <f>N(Cadastro!$P49)</f>
        <v>0</v>
      </c>
      <c r="I49" s="23">
        <f>N(Cadastro!$Q49)</f>
        <v>0</v>
      </c>
      <c r="J49" s="21" t="str">
        <f t="shared" si="8"/>
        <v/>
      </c>
      <c r="K49" s="21" t="str">
        <f t="shared" si="9"/>
        <v/>
      </c>
      <c r="L49" s="24" t="str">
        <f t="shared" si="10"/>
        <v/>
      </c>
      <c r="M49" s="21" t="str">
        <f t="shared" si="11"/>
        <v/>
      </c>
      <c r="N49" s="21" t="str">
        <f t="shared" si="12"/>
        <v/>
      </c>
      <c r="O49" s="19" t="str">
        <f t="shared" si="13"/>
        <v/>
      </c>
    </row>
    <row r="50" spans="1:15" x14ac:dyDescent="0.3">
      <c r="A50" s="19" t="str">
        <f>IF(Cadastro!$M50="","",Cadastro!$M50)</f>
        <v/>
      </c>
      <c r="B50" s="19" t="str">
        <f>IF(Cadastro!$H50="","",Cadastro!$H50)</f>
        <v/>
      </c>
      <c r="C50" s="21" t="str">
        <f>IF(Cadastro!$B50="","",Cadastro!$B50)</f>
        <v/>
      </c>
      <c r="D50" s="21" t="str">
        <f>IF(Cadastro!$C50="","",Cadastro!$C50)</f>
        <v/>
      </c>
      <c r="E50" s="19" t="str">
        <f t="shared" si="7"/>
        <v/>
      </c>
      <c r="F50" s="19" t="str">
        <f>IF(Cadastro!$N50="","",Cadastro!$N50)</f>
        <v/>
      </c>
      <c r="G50" s="24">
        <f>N(Cadastro!$O50)</f>
        <v>0</v>
      </c>
      <c r="H50" s="24">
        <f>N(Cadastro!$P50)</f>
        <v>0</v>
      </c>
      <c r="I50" s="23">
        <f>N(Cadastro!$Q50)</f>
        <v>0</v>
      </c>
      <c r="J50" s="21" t="str">
        <f t="shared" si="8"/>
        <v/>
      </c>
      <c r="K50" s="21" t="str">
        <f t="shared" si="9"/>
        <v/>
      </c>
      <c r="L50" s="24" t="str">
        <f t="shared" si="10"/>
        <v/>
      </c>
      <c r="M50" s="21" t="str">
        <f t="shared" si="11"/>
        <v/>
      </c>
      <c r="N50" s="21" t="str">
        <f t="shared" si="12"/>
        <v/>
      </c>
      <c r="O50" s="19" t="str">
        <f t="shared" si="13"/>
        <v/>
      </c>
    </row>
    <row r="51" spans="1:15" x14ac:dyDescent="0.3">
      <c r="A51" s="19" t="str">
        <f>IF(Cadastro!$M51="","",Cadastro!$M51)</f>
        <v/>
      </c>
      <c r="B51" s="19" t="str">
        <f>IF(Cadastro!$H51="","",Cadastro!$H51)</f>
        <v/>
      </c>
      <c r="C51" s="21" t="str">
        <f>IF(Cadastro!$B51="","",Cadastro!$B51)</f>
        <v/>
      </c>
      <c r="D51" s="21" t="str">
        <f>IF(Cadastro!$C51="","",Cadastro!$C51)</f>
        <v/>
      </c>
      <c r="E51" s="19" t="str">
        <f t="shared" si="7"/>
        <v/>
      </c>
      <c r="F51" s="19" t="str">
        <f>IF(Cadastro!$N51="","",Cadastro!$N51)</f>
        <v/>
      </c>
      <c r="G51" s="24">
        <f>N(Cadastro!$O51)</f>
        <v>0</v>
      </c>
      <c r="H51" s="24">
        <f>N(Cadastro!$P51)</f>
        <v>0</v>
      </c>
      <c r="I51" s="23">
        <f>N(Cadastro!$Q51)</f>
        <v>0</v>
      </c>
      <c r="J51" s="21" t="str">
        <f t="shared" si="8"/>
        <v/>
      </c>
      <c r="K51" s="21" t="str">
        <f t="shared" si="9"/>
        <v/>
      </c>
      <c r="L51" s="24" t="str">
        <f t="shared" si="10"/>
        <v/>
      </c>
      <c r="M51" s="21" t="str">
        <f t="shared" si="11"/>
        <v/>
      </c>
      <c r="N51" s="21" t="str">
        <f t="shared" si="12"/>
        <v/>
      </c>
      <c r="O51" s="19" t="str">
        <f t="shared" si="13"/>
        <v/>
      </c>
    </row>
    <row r="52" spans="1:15" x14ac:dyDescent="0.3">
      <c r="A52" s="19" t="str">
        <f>IF(Cadastro!$M52="","",Cadastro!$M52)</f>
        <v/>
      </c>
      <c r="B52" s="19" t="str">
        <f>IF(Cadastro!$H52="","",Cadastro!$H52)</f>
        <v/>
      </c>
      <c r="C52" s="21" t="str">
        <f>IF(Cadastro!$B52="","",Cadastro!$B52)</f>
        <v/>
      </c>
      <c r="D52" s="21" t="str">
        <f>IF(Cadastro!$C52="","",Cadastro!$C52)</f>
        <v/>
      </c>
      <c r="E52" s="19" t="str">
        <f t="shared" si="7"/>
        <v/>
      </c>
      <c r="F52" s="19" t="str">
        <f>IF(Cadastro!$N52="","",Cadastro!$N52)</f>
        <v/>
      </c>
      <c r="G52" s="24">
        <f>N(Cadastro!$O52)</f>
        <v>0</v>
      </c>
      <c r="H52" s="24">
        <f>N(Cadastro!$P52)</f>
        <v>0</v>
      </c>
      <c r="I52" s="23">
        <f>N(Cadastro!$Q52)</f>
        <v>0</v>
      </c>
      <c r="J52" s="21" t="str">
        <f t="shared" si="8"/>
        <v/>
      </c>
      <c r="K52" s="21" t="str">
        <f t="shared" si="9"/>
        <v/>
      </c>
      <c r="L52" s="24" t="str">
        <f t="shared" si="10"/>
        <v/>
      </c>
      <c r="M52" s="21" t="str">
        <f t="shared" si="11"/>
        <v/>
      </c>
      <c r="N52" s="21" t="str">
        <f t="shared" si="12"/>
        <v/>
      </c>
      <c r="O52" s="19" t="str">
        <f t="shared" si="13"/>
        <v/>
      </c>
    </row>
    <row r="53" spans="1:15" x14ac:dyDescent="0.3">
      <c r="A53" s="19" t="str">
        <f>IF(Cadastro!$M53="","",Cadastro!$M53)</f>
        <v/>
      </c>
      <c r="B53" s="19" t="str">
        <f>IF(Cadastro!$H53="","",Cadastro!$H53)</f>
        <v/>
      </c>
      <c r="C53" s="21" t="str">
        <f>IF(Cadastro!$B53="","",Cadastro!$B53)</f>
        <v/>
      </c>
      <c r="D53" s="21" t="str">
        <f>IF(Cadastro!$C53="","",Cadastro!$C53)</f>
        <v/>
      </c>
      <c r="E53" s="19" t="str">
        <f t="shared" si="7"/>
        <v/>
      </c>
      <c r="F53" s="19" t="str">
        <f>IF(Cadastro!$N53="","",Cadastro!$N53)</f>
        <v/>
      </c>
      <c r="G53" s="24">
        <f>N(Cadastro!$O53)</f>
        <v>0</v>
      </c>
      <c r="H53" s="24">
        <f>N(Cadastro!$P53)</f>
        <v>0</v>
      </c>
      <c r="I53" s="23">
        <f>N(Cadastro!$Q53)</f>
        <v>0</v>
      </c>
      <c r="J53" s="21" t="str">
        <f t="shared" si="8"/>
        <v/>
      </c>
      <c r="K53" s="21" t="str">
        <f t="shared" si="9"/>
        <v/>
      </c>
      <c r="L53" s="24" t="str">
        <f t="shared" si="10"/>
        <v/>
      </c>
      <c r="M53" s="21" t="str">
        <f t="shared" si="11"/>
        <v/>
      </c>
      <c r="N53" s="21" t="str">
        <f t="shared" si="12"/>
        <v/>
      </c>
      <c r="O53" s="19" t="str">
        <f t="shared" si="13"/>
        <v/>
      </c>
    </row>
    <row r="54" spans="1:15" x14ac:dyDescent="0.3">
      <c r="A54" s="19" t="str">
        <f>IF(Cadastro!$M54="","",Cadastro!$M54)</f>
        <v/>
      </c>
      <c r="B54" s="19" t="str">
        <f>IF(Cadastro!$H54="","",Cadastro!$H54)</f>
        <v/>
      </c>
      <c r="C54" s="21" t="str">
        <f>IF(Cadastro!$B54="","",Cadastro!$B54)</f>
        <v/>
      </c>
      <c r="D54" s="21" t="str">
        <f>IF(Cadastro!$C54="","",Cadastro!$C54)</f>
        <v/>
      </c>
      <c r="E54" s="19" t="str">
        <f t="shared" si="7"/>
        <v/>
      </c>
      <c r="F54" s="19" t="str">
        <f>IF(Cadastro!$N54="","",Cadastro!$N54)</f>
        <v/>
      </c>
      <c r="G54" s="24">
        <f>N(Cadastro!$O54)</f>
        <v>0</v>
      </c>
      <c r="H54" s="24">
        <f>N(Cadastro!$P54)</f>
        <v>0</v>
      </c>
      <c r="I54" s="23">
        <f>N(Cadastro!$Q54)</f>
        <v>0</v>
      </c>
      <c r="J54" s="21" t="str">
        <f t="shared" si="8"/>
        <v/>
      </c>
      <c r="K54" s="21" t="str">
        <f t="shared" si="9"/>
        <v/>
      </c>
      <c r="L54" s="24" t="str">
        <f t="shared" si="10"/>
        <v/>
      </c>
      <c r="M54" s="21" t="str">
        <f t="shared" si="11"/>
        <v/>
      </c>
      <c r="N54" s="21" t="str">
        <f t="shared" si="12"/>
        <v/>
      </c>
      <c r="O54" s="19" t="str">
        <f t="shared" si="13"/>
        <v/>
      </c>
    </row>
    <row r="55" spans="1:15" x14ac:dyDescent="0.3">
      <c r="A55" s="19" t="str">
        <f>IF(Cadastro!$M55="","",Cadastro!$M55)</f>
        <v/>
      </c>
      <c r="B55" s="19" t="str">
        <f>IF(Cadastro!$H55="","",Cadastro!$H55)</f>
        <v/>
      </c>
      <c r="C55" s="21" t="str">
        <f>IF(Cadastro!$B55="","",Cadastro!$B55)</f>
        <v/>
      </c>
      <c r="D55" s="21" t="str">
        <f>IF(Cadastro!$C55="","",Cadastro!$C55)</f>
        <v/>
      </c>
      <c r="E55" s="19" t="str">
        <f t="shared" si="7"/>
        <v/>
      </c>
      <c r="F55" s="19" t="str">
        <f>IF(Cadastro!$N55="","",Cadastro!$N55)</f>
        <v/>
      </c>
      <c r="G55" s="24">
        <f>N(Cadastro!$O55)</f>
        <v>0</v>
      </c>
      <c r="H55" s="24">
        <f>N(Cadastro!$P55)</f>
        <v>0</v>
      </c>
      <c r="I55" s="23">
        <f>N(Cadastro!$Q55)</f>
        <v>0</v>
      </c>
      <c r="J55" s="21" t="str">
        <f t="shared" si="8"/>
        <v/>
      </c>
      <c r="K55" s="21" t="str">
        <f t="shared" si="9"/>
        <v/>
      </c>
      <c r="L55" s="24" t="str">
        <f t="shared" si="10"/>
        <v/>
      </c>
      <c r="M55" s="21" t="str">
        <f t="shared" si="11"/>
        <v/>
      </c>
      <c r="N55" s="21" t="str">
        <f t="shared" si="12"/>
        <v/>
      </c>
      <c r="O55" s="19" t="str">
        <f t="shared" si="13"/>
        <v/>
      </c>
    </row>
    <row r="56" spans="1:15" x14ac:dyDescent="0.3">
      <c r="A56" s="19" t="str">
        <f>IF(Cadastro!$M56="","",Cadastro!$M56)</f>
        <v/>
      </c>
      <c r="B56" s="19" t="str">
        <f>IF(Cadastro!$H56="","",Cadastro!$H56)</f>
        <v/>
      </c>
      <c r="C56" s="21" t="str">
        <f>IF(Cadastro!$B56="","",Cadastro!$B56)</f>
        <v/>
      </c>
      <c r="D56" s="21" t="str">
        <f>IF(Cadastro!$C56="","",Cadastro!$C56)</f>
        <v/>
      </c>
      <c r="E56" s="19" t="str">
        <f t="shared" si="7"/>
        <v/>
      </c>
      <c r="F56" s="19" t="str">
        <f>IF(Cadastro!$N56="","",Cadastro!$N56)</f>
        <v/>
      </c>
      <c r="G56" s="24">
        <f>N(Cadastro!$O56)</f>
        <v>0</v>
      </c>
      <c r="H56" s="24">
        <f>N(Cadastro!$P56)</f>
        <v>0</v>
      </c>
      <c r="I56" s="23">
        <f>N(Cadastro!$Q56)</f>
        <v>0</v>
      </c>
      <c r="J56" s="21" t="str">
        <f t="shared" si="8"/>
        <v/>
      </c>
      <c r="K56" s="21" t="str">
        <f t="shared" si="9"/>
        <v/>
      </c>
      <c r="L56" s="24" t="str">
        <f t="shared" si="10"/>
        <v/>
      </c>
      <c r="M56" s="21" t="str">
        <f t="shared" si="11"/>
        <v/>
      </c>
      <c r="N56" s="21" t="str">
        <f t="shared" si="12"/>
        <v/>
      </c>
      <c r="O56" s="19" t="str">
        <f t="shared" si="13"/>
        <v/>
      </c>
    </row>
    <row r="57" spans="1:15" x14ac:dyDescent="0.3">
      <c r="A57" s="19" t="str">
        <f>IF(Cadastro!$M57="","",Cadastro!$M57)</f>
        <v/>
      </c>
      <c r="B57" s="19" t="str">
        <f>IF(Cadastro!$H57="","",Cadastro!$H57)</f>
        <v/>
      </c>
      <c r="C57" s="21" t="str">
        <f>IF(Cadastro!$B57="","",Cadastro!$B57)</f>
        <v/>
      </c>
      <c r="D57" s="21" t="str">
        <f>IF(Cadastro!$C57="","",Cadastro!$C57)</f>
        <v/>
      </c>
      <c r="E57" s="19" t="str">
        <f t="shared" si="7"/>
        <v/>
      </c>
      <c r="F57" s="19" t="str">
        <f>IF(Cadastro!$N57="","",Cadastro!$N57)</f>
        <v/>
      </c>
      <c r="G57" s="24">
        <f>N(Cadastro!$O57)</f>
        <v>0</v>
      </c>
      <c r="H57" s="24">
        <f>N(Cadastro!$P57)</f>
        <v>0</v>
      </c>
      <c r="I57" s="23">
        <f>N(Cadastro!$Q57)</f>
        <v>0</v>
      </c>
      <c r="J57" s="21" t="str">
        <f t="shared" si="8"/>
        <v/>
      </c>
      <c r="K57" s="21" t="str">
        <f t="shared" si="9"/>
        <v/>
      </c>
      <c r="L57" s="24" t="str">
        <f t="shared" si="10"/>
        <v/>
      </c>
      <c r="M57" s="21" t="str">
        <f t="shared" si="11"/>
        <v/>
      </c>
      <c r="N57" s="21" t="str">
        <f t="shared" si="12"/>
        <v/>
      </c>
      <c r="O57" s="19" t="str">
        <f t="shared" si="13"/>
        <v/>
      </c>
    </row>
    <row r="58" spans="1:15" x14ac:dyDescent="0.3">
      <c r="A58" s="19" t="str">
        <f>IF(Cadastro!$M58="","",Cadastro!$M58)</f>
        <v/>
      </c>
      <c r="B58" s="19" t="str">
        <f>IF(Cadastro!$H58="","",Cadastro!$H58)</f>
        <v/>
      </c>
      <c r="C58" s="21" t="str">
        <f>IF(Cadastro!$B58="","",Cadastro!$B58)</f>
        <v/>
      </c>
      <c r="D58" s="21" t="str">
        <f>IF(Cadastro!$C58="","",Cadastro!$C58)</f>
        <v/>
      </c>
      <c r="E58" s="19" t="str">
        <f t="shared" si="7"/>
        <v/>
      </c>
      <c r="F58" s="19" t="str">
        <f>IF(Cadastro!$N58="","",Cadastro!$N58)</f>
        <v/>
      </c>
      <c r="G58" s="24">
        <f>N(Cadastro!$O58)</f>
        <v>0</v>
      </c>
      <c r="H58" s="24">
        <f>N(Cadastro!$P58)</f>
        <v>0</v>
      </c>
      <c r="I58" s="23">
        <f>N(Cadastro!$Q58)</f>
        <v>0</v>
      </c>
      <c r="J58" s="21" t="str">
        <f t="shared" si="8"/>
        <v/>
      </c>
      <c r="K58" s="21" t="str">
        <f t="shared" si="9"/>
        <v/>
      </c>
      <c r="L58" s="24" t="str">
        <f t="shared" si="10"/>
        <v/>
      </c>
      <c r="M58" s="21" t="str">
        <f t="shared" si="11"/>
        <v/>
      </c>
      <c r="N58" s="21" t="str">
        <f t="shared" si="12"/>
        <v/>
      </c>
      <c r="O58" s="19" t="str">
        <f t="shared" si="13"/>
        <v/>
      </c>
    </row>
    <row r="59" spans="1:15" x14ac:dyDescent="0.3">
      <c r="A59" s="19" t="str">
        <f>IF(Cadastro!$M59="","",Cadastro!$M59)</f>
        <v/>
      </c>
      <c r="B59" s="19" t="str">
        <f>IF(Cadastro!$H59="","",Cadastro!$H59)</f>
        <v/>
      </c>
      <c r="C59" s="21" t="str">
        <f>IF(Cadastro!$B59="","",Cadastro!$B59)</f>
        <v/>
      </c>
      <c r="D59" s="21" t="str">
        <f>IF(Cadastro!$C59="","",Cadastro!$C59)</f>
        <v/>
      </c>
      <c r="E59" s="19" t="str">
        <f t="shared" si="7"/>
        <v/>
      </c>
      <c r="F59" s="19" t="str">
        <f>IF(Cadastro!$N59="","",Cadastro!$N59)</f>
        <v/>
      </c>
      <c r="G59" s="24">
        <f>N(Cadastro!$O59)</f>
        <v>0</v>
      </c>
      <c r="H59" s="24">
        <f>N(Cadastro!$P59)</f>
        <v>0</v>
      </c>
      <c r="I59" s="23">
        <f>N(Cadastro!$Q59)</f>
        <v>0</v>
      </c>
      <c r="J59" s="21" t="str">
        <f t="shared" si="8"/>
        <v/>
      </c>
      <c r="K59" s="21" t="str">
        <f t="shared" si="9"/>
        <v/>
      </c>
      <c r="L59" s="24" t="str">
        <f t="shared" si="10"/>
        <v/>
      </c>
      <c r="M59" s="21" t="str">
        <f t="shared" si="11"/>
        <v/>
      </c>
      <c r="N59" s="21" t="str">
        <f t="shared" si="12"/>
        <v/>
      </c>
      <c r="O59" s="19" t="str">
        <f t="shared" si="13"/>
        <v/>
      </c>
    </row>
    <row r="60" spans="1:15" x14ac:dyDescent="0.3">
      <c r="A60" s="19" t="str">
        <f>IF(Cadastro!$M60="","",Cadastro!$M60)</f>
        <v/>
      </c>
      <c r="B60" s="19" t="str">
        <f>IF(Cadastro!$H60="","",Cadastro!$H60)</f>
        <v/>
      </c>
      <c r="C60" s="21" t="str">
        <f>IF(Cadastro!$B60="","",Cadastro!$B60)</f>
        <v/>
      </c>
      <c r="D60" s="21" t="str">
        <f>IF(Cadastro!$C60="","",Cadastro!$C60)</f>
        <v/>
      </c>
      <c r="E60" s="19" t="str">
        <f t="shared" si="7"/>
        <v/>
      </c>
      <c r="F60" s="19" t="str">
        <f>IF(Cadastro!$N60="","",Cadastro!$N60)</f>
        <v/>
      </c>
      <c r="G60" s="24">
        <f>N(Cadastro!$O60)</f>
        <v>0</v>
      </c>
      <c r="H60" s="24">
        <f>N(Cadastro!$P60)</f>
        <v>0</v>
      </c>
      <c r="I60" s="23">
        <f>N(Cadastro!$Q60)</f>
        <v>0</v>
      </c>
      <c r="J60" s="21" t="str">
        <f t="shared" si="8"/>
        <v/>
      </c>
      <c r="K60" s="21" t="str">
        <f t="shared" si="9"/>
        <v/>
      </c>
      <c r="L60" s="24" t="str">
        <f t="shared" si="10"/>
        <v/>
      </c>
      <c r="M60" s="21" t="str">
        <f t="shared" si="11"/>
        <v/>
      </c>
      <c r="N60" s="21" t="str">
        <f t="shared" si="12"/>
        <v/>
      </c>
      <c r="O60" s="19" t="str">
        <f t="shared" si="13"/>
        <v/>
      </c>
    </row>
    <row r="61" spans="1:15" x14ac:dyDescent="0.3">
      <c r="A61" s="19" t="str">
        <f>IF(Cadastro!$M61="","",Cadastro!$M61)</f>
        <v/>
      </c>
      <c r="B61" s="19" t="str">
        <f>IF(Cadastro!$H61="","",Cadastro!$H61)</f>
        <v/>
      </c>
      <c r="C61" s="21" t="str">
        <f>IF(Cadastro!$B61="","",Cadastro!$B61)</f>
        <v/>
      </c>
      <c r="D61" s="21" t="str">
        <f>IF(Cadastro!$C61="","",Cadastro!$C61)</f>
        <v/>
      </c>
      <c r="E61" s="19" t="str">
        <f t="shared" si="7"/>
        <v/>
      </c>
      <c r="F61" s="19" t="str">
        <f>IF(Cadastro!$N61="","",Cadastro!$N61)</f>
        <v/>
      </c>
      <c r="G61" s="24">
        <f>N(Cadastro!$O61)</f>
        <v>0</v>
      </c>
      <c r="H61" s="24">
        <f>N(Cadastro!$P61)</f>
        <v>0</v>
      </c>
      <c r="I61" s="23">
        <f>N(Cadastro!$Q61)</f>
        <v>0</v>
      </c>
      <c r="J61" s="21" t="str">
        <f t="shared" si="8"/>
        <v/>
      </c>
      <c r="K61" s="21" t="str">
        <f t="shared" si="9"/>
        <v/>
      </c>
      <c r="L61" s="24" t="str">
        <f t="shared" si="10"/>
        <v/>
      </c>
      <c r="M61" s="21" t="str">
        <f t="shared" si="11"/>
        <v/>
      </c>
      <c r="N61" s="21" t="str">
        <f t="shared" si="12"/>
        <v/>
      </c>
      <c r="O61" s="19" t="str">
        <f t="shared" si="13"/>
        <v/>
      </c>
    </row>
    <row r="62" spans="1:15" x14ac:dyDescent="0.3">
      <c r="A62" s="19" t="str">
        <f>IF(Cadastro!$M62="","",Cadastro!$M62)</f>
        <v/>
      </c>
      <c r="B62" s="19" t="str">
        <f>IF(Cadastro!$H62="","",Cadastro!$H62)</f>
        <v/>
      </c>
      <c r="C62" s="21" t="str">
        <f>IF(Cadastro!$B62="","",Cadastro!$B62)</f>
        <v/>
      </c>
      <c r="D62" s="21" t="str">
        <f>IF(Cadastro!$C62="","",Cadastro!$C62)</f>
        <v/>
      </c>
      <c r="E62" s="19" t="str">
        <f t="shared" si="7"/>
        <v/>
      </c>
      <c r="F62" s="19" t="str">
        <f>IF(Cadastro!$N62="","",Cadastro!$N62)</f>
        <v/>
      </c>
      <c r="G62" s="24">
        <f>N(Cadastro!$O62)</f>
        <v>0</v>
      </c>
      <c r="H62" s="24">
        <f>N(Cadastro!$P62)</f>
        <v>0</v>
      </c>
      <c r="I62" s="23">
        <f>N(Cadastro!$Q62)</f>
        <v>0</v>
      </c>
      <c r="J62" s="21" t="str">
        <f t="shared" si="8"/>
        <v/>
      </c>
      <c r="K62" s="21" t="str">
        <f t="shared" si="9"/>
        <v/>
      </c>
      <c r="L62" s="24" t="str">
        <f t="shared" si="10"/>
        <v/>
      </c>
      <c r="M62" s="21" t="str">
        <f t="shared" si="11"/>
        <v/>
      </c>
      <c r="N62" s="21" t="str">
        <f t="shared" si="12"/>
        <v/>
      </c>
      <c r="O62" s="19" t="str">
        <f t="shared" si="13"/>
        <v/>
      </c>
    </row>
    <row r="63" spans="1:15" x14ac:dyDescent="0.3">
      <c r="A63" s="19" t="str">
        <f>IF(Cadastro!$M63="","",Cadastro!$M63)</f>
        <v/>
      </c>
      <c r="B63" s="19" t="str">
        <f>IF(Cadastro!$H63="","",Cadastro!$H63)</f>
        <v/>
      </c>
      <c r="C63" s="21" t="str">
        <f>IF(Cadastro!$B63="","",Cadastro!$B63)</f>
        <v/>
      </c>
      <c r="D63" s="21" t="str">
        <f>IF(Cadastro!$C63="","",Cadastro!$C63)</f>
        <v/>
      </c>
      <c r="E63" s="19" t="str">
        <f t="shared" si="7"/>
        <v/>
      </c>
      <c r="F63" s="19" t="str">
        <f>IF(Cadastro!$N63="","",Cadastro!$N63)</f>
        <v/>
      </c>
      <c r="G63" s="24">
        <f>N(Cadastro!$O63)</f>
        <v>0</v>
      </c>
      <c r="H63" s="24">
        <f>N(Cadastro!$P63)</f>
        <v>0</v>
      </c>
      <c r="I63" s="23">
        <f>N(Cadastro!$Q63)</f>
        <v>0</v>
      </c>
      <c r="J63" s="21" t="str">
        <f t="shared" si="8"/>
        <v/>
      </c>
      <c r="K63" s="21" t="str">
        <f t="shared" si="9"/>
        <v/>
      </c>
      <c r="L63" s="24" t="str">
        <f t="shared" si="10"/>
        <v/>
      </c>
      <c r="M63" s="21" t="str">
        <f t="shared" si="11"/>
        <v/>
      </c>
      <c r="N63" s="21" t="str">
        <f t="shared" si="12"/>
        <v/>
      </c>
      <c r="O63" s="19" t="str">
        <f t="shared" si="13"/>
        <v/>
      </c>
    </row>
    <row r="64" spans="1:15" x14ac:dyDescent="0.3">
      <c r="A64" s="19" t="str">
        <f>IF(Cadastro!$M64="","",Cadastro!$M64)</f>
        <v/>
      </c>
      <c r="B64" s="19" t="str">
        <f>IF(Cadastro!$H64="","",Cadastro!$H64)</f>
        <v/>
      </c>
      <c r="C64" s="21" t="str">
        <f>IF(Cadastro!$B64="","",Cadastro!$B64)</f>
        <v/>
      </c>
      <c r="D64" s="21" t="str">
        <f>IF(Cadastro!$C64="","",Cadastro!$C64)</f>
        <v/>
      </c>
      <c r="E64" s="19" t="str">
        <f t="shared" si="7"/>
        <v/>
      </c>
      <c r="F64" s="19" t="str">
        <f>IF(Cadastro!$N64="","",Cadastro!$N64)</f>
        <v/>
      </c>
      <c r="G64" s="24">
        <f>N(Cadastro!$O64)</f>
        <v>0</v>
      </c>
      <c r="H64" s="24">
        <f>N(Cadastro!$P64)</f>
        <v>0</v>
      </c>
      <c r="I64" s="23">
        <f>N(Cadastro!$Q64)</f>
        <v>0</v>
      </c>
      <c r="J64" s="21" t="str">
        <f t="shared" si="8"/>
        <v/>
      </c>
      <c r="K64" s="21" t="str">
        <f t="shared" si="9"/>
        <v/>
      </c>
      <c r="L64" s="24" t="str">
        <f t="shared" si="10"/>
        <v/>
      </c>
      <c r="M64" s="21" t="str">
        <f t="shared" si="11"/>
        <v/>
      </c>
      <c r="N64" s="21" t="str">
        <f t="shared" si="12"/>
        <v/>
      </c>
      <c r="O64" s="19" t="str">
        <f t="shared" si="13"/>
        <v/>
      </c>
    </row>
    <row r="65" spans="1:15" x14ac:dyDescent="0.3">
      <c r="A65" s="19" t="str">
        <f>IF(Cadastro!$M65="","",Cadastro!$M65)</f>
        <v/>
      </c>
      <c r="B65" s="19" t="str">
        <f>IF(Cadastro!$H65="","",Cadastro!$H65)</f>
        <v/>
      </c>
      <c r="C65" s="21" t="str">
        <f>IF(Cadastro!$B65="","",Cadastro!$B65)</f>
        <v/>
      </c>
      <c r="D65" s="21" t="str">
        <f>IF(Cadastro!$C65="","",Cadastro!$C65)</f>
        <v/>
      </c>
      <c r="E65" s="19" t="str">
        <f t="shared" si="7"/>
        <v/>
      </c>
      <c r="F65" s="19" t="str">
        <f>IF(Cadastro!$N65="","",Cadastro!$N65)</f>
        <v/>
      </c>
      <c r="G65" s="24">
        <f>N(Cadastro!$O65)</f>
        <v>0</v>
      </c>
      <c r="H65" s="24">
        <f>N(Cadastro!$P65)</f>
        <v>0</v>
      </c>
      <c r="I65" s="23">
        <f>N(Cadastro!$Q65)</f>
        <v>0</v>
      </c>
      <c r="J65" s="21" t="str">
        <f t="shared" si="8"/>
        <v/>
      </c>
      <c r="K65" s="21" t="str">
        <f t="shared" si="9"/>
        <v/>
      </c>
      <c r="L65" s="24" t="str">
        <f t="shared" si="10"/>
        <v/>
      </c>
      <c r="M65" s="21" t="str">
        <f t="shared" si="11"/>
        <v/>
      </c>
      <c r="N65" s="21" t="str">
        <f t="shared" si="12"/>
        <v/>
      </c>
      <c r="O65" s="19" t="str">
        <f t="shared" si="13"/>
        <v/>
      </c>
    </row>
    <row r="66" spans="1:15" x14ac:dyDescent="0.3">
      <c r="A66" s="19" t="str">
        <f>IF(Cadastro!$M66="","",Cadastro!$M66)</f>
        <v/>
      </c>
      <c r="B66" s="19" t="str">
        <f>IF(Cadastro!$H66="","",Cadastro!$H66)</f>
        <v/>
      </c>
      <c r="C66" s="21" t="str">
        <f>IF(Cadastro!$B66="","",Cadastro!$B66)</f>
        <v/>
      </c>
      <c r="D66" s="21" t="str">
        <f>IF(Cadastro!$C66="","",Cadastro!$C66)</f>
        <v/>
      </c>
      <c r="E66" s="19" t="str">
        <f t="shared" si="7"/>
        <v/>
      </c>
      <c r="F66" s="19" t="str">
        <f>IF(Cadastro!$N66="","",Cadastro!$N66)</f>
        <v/>
      </c>
      <c r="G66" s="24">
        <f>N(Cadastro!$O66)</f>
        <v>0</v>
      </c>
      <c r="H66" s="24">
        <f>N(Cadastro!$P66)</f>
        <v>0</v>
      </c>
      <c r="I66" s="23">
        <f>N(Cadastro!$Q66)</f>
        <v>0</v>
      </c>
      <c r="J66" s="21" t="str">
        <f t="shared" si="8"/>
        <v/>
      </c>
      <c r="K66" s="21" t="str">
        <f t="shared" si="9"/>
        <v/>
      </c>
      <c r="L66" s="24" t="str">
        <f t="shared" si="10"/>
        <v/>
      </c>
      <c r="M66" s="21" t="str">
        <f t="shared" si="11"/>
        <v/>
      </c>
      <c r="N66" s="21" t="str">
        <f t="shared" si="12"/>
        <v/>
      </c>
      <c r="O66" s="19" t="str">
        <f t="shared" si="13"/>
        <v/>
      </c>
    </row>
    <row r="67" spans="1:15" x14ac:dyDescent="0.3">
      <c r="A67" s="19" t="str">
        <f>IF(Cadastro!$M67="","",Cadastro!$M67)</f>
        <v/>
      </c>
      <c r="B67" s="19" t="str">
        <f>IF(Cadastro!$H67="","",Cadastro!$H67)</f>
        <v/>
      </c>
      <c r="C67" s="21" t="str">
        <f>IF(Cadastro!$B67="","",Cadastro!$B67)</f>
        <v/>
      </c>
      <c r="D67" s="21" t="str">
        <f>IF(Cadastro!$C67="","",Cadastro!$C67)</f>
        <v/>
      </c>
      <c r="E67" s="19" t="str">
        <f t="shared" si="7"/>
        <v/>
      </c>
      <c r="F67" s="19" t="str">
        <f>IF(Cadastro!$N67="","",Cadastro!$N67)</f>
        <v/>
      </c>
      <c r="G67" s="24">
        <f>N(Cadastro!$O67)</f>
        <v>0</v>
      </c>
      <c r="H67" s="24">
        <f>N(Cadastro!$P67)</f>
        <v>0</v>
      </c>
      <c r="I67" s="23">
        <f>N(Cadastro!$Q67)</f>
        <v>0</v>
      </c>
      <c r="J67" s="21" t="str">
        <f t="shared" si="8"/>
        <v/>
      </c>
      <c r="K67" s="21" t="str">
        <f t="shared" si="9"/>
        <v/>
      </c>
      <c r="L67" s="24" t="str">
        <f t="shared" si="10"/>
        <v/>
      </c>
      <c r="M67" s="21" t="str">
        <f t="shared" si="11"/>
        <v/>
      </c>
      <c r="N67" s="21" t="str">
        <f t="shared" si="12"/>
        <v/>
      </c>
      <c r="O67" s="19" t="str">
        <f t="shared" si="13"/>
        <v/>
      </c>
    </row>
    <row r="68" spans="1:15" x14ac:dyDescent="0.3">
      <c r="A68" s="19" t="str">
        <f>IF(Cadastro!$M68="","",Cadastro!$M68)</f>
        <v/>
      </c>
      <c r="B68" s="19" t="str">
        <f>IF(Cadastro!$H68="","",Cadastro!$H68)</f>
        <v/>
      </c>
      <c r="C68" s="21" t="str">
        <f>IF(Cadastro!$B68="","",Cadastro!$B68)</f>
        <v/>
      </c>
      <c r="D68" s="21" t="str">
        <f>IF(Cadastro!$C68="","",Cadastro!$C68)</f>
        <v/>
      </c>
      <c r="E68" s="19" t="str">
        <f t="shared" si="7"/>
        <v/>
      </c>
      <c r="F68" s="19" t="str">
        <f>IF(Cadastro!$N68="","",Cadastro!$N68)</f>
        <v/>
      </c>
      <c r="G68" s="24">
        <f>N(Cadastro!$O68)</f>
        <v>0</v>
      </c>
      <c r="H68" s="24">
        <f>N(Cadastro!$P68)</f>
        <v>0</v>
      </c>
      <c r="I68" s="23">
        <f>N(Cadastro!$Q68)</f>
        <v>0</v>
      </c>
      <c r="J68" s="21" t="str">
        <f t="shared" si="8"/>
        <v/>
      </c>
      <c r="K68" s="21" t="str">
        <f t="shared" si="9"/>
        <v/>
      </c>
      <c r="L68" s="24" t="str">
        <f t="shared" si="10"/>
        <v/>
      </c>
      <c r="M68" s="21" t="str">
        <f t="shared" si="11"/>
        <v/>
      </c>
      <c r="N68" s="21" t="str">
        <f t="shared" si="12"/>
        <v/>
      </c>
      <c r="O68" s="19" t="str">
        <f t="shared" si="13"/>
        <v/>
      </c>
    </row>
    <row r="69" spans="1:15" x14ac:dyDescent="0.3">
      <c r="A69" s="19" t="str">
        <f>IF(Cadastro!$M69="","",Cadastro!$M69)</f>
        <v/>
      </c>
      <c r="B69" s="19" t="str">
        <f>IF(Cadastro!$H69="","",Cadastro!$H69)</f>
        <v/>
      </c>
      <c r="C69" s="21" t="str">
        <f>IF(Cadastro!$B69="","",Cadastro!$B69)</f>
        <v/>
      </c>
      <c r="D69" s="21" t="str">
        <f>IF(Cadastro!$C69="","",Cadastro!$C69)</f>
        <v/>
      </c>
      <c r="E69" s="19" t="str">
        <f t="shared" ref="E69:E100" si="14">IF($D69="","",IFERROR(INDEX(Prod_Desc,MATCH($D69,Prod_Cod,0)),"PRODUTO NÃO CADASTRADO"))</f>
        <v/>
      </c>
      <c r="F69" s="19" t="str">
        <f>IF(Cadastro!$N69="","",Cadastro!$N69)</f>
        <v/>
      </c>
      <c r="G69" s="24">
        <f>N(Cadastro!$O69)</f>
        <v>0</v>
      </c>
      <c r="H69" s="24">
        <f>N(Cadastro!$P69)</f>
        <v>0</v>
      </c>
      <c r="I69" s="23">
        <f>N(Cadastro!$Q69)</f>
        <v>0</v>
      </c>
      <c r="J69" s="21" t="str">
        <f t="shared" ref="J69:J100" si="15">IF($A69="","",SUMIFS(Ent_Qtd,Ent_OC,$A69,Ent_Cham,$C69,Ent_Prod,$D69))</f>
        <v/>
      </c>
      <c r="K69" s="21" t="str">
        <f t="shared" ref="K69:K100" si="16">IF($A69="","",N($I69)-N($J69))</f>
        <v/>
      </c>
      <c r="L69" s="24" t="str">
        <f t="shared" ref="L69:L100" si="17">IF($A69="","",IF(SUMPRODUCT(MAX((Ent_OC=$A69)*(Ent_Cham=$C69)*(Ent_Prod=$D69)*N(Ent_Data)))=0,"",SUMPRODUCT(MAX((Ent_OC=$A69)*(Ent_Cham=$C69)*(Ent_Prod=$D69)*N(Ent_Data)))))</f>
        <v/>
      </c>
      <c r="M69" s="21" t="str">
        <f t="shared" ref="M69:M100" si="18">IF(OR($A69="",N($G69)=0),"",IF(AND($K69&lt;=0,$L69&lt;&gt;""),MAX($L69-$G69,0),MAX(DataRef-$G69,0)))</f>
        <v/>
      </c>
      <c r="N69" s="21" t="str">
        <f t="shared" ref="N69:N100" si="19">IF($A69="","",IF(N($H69)=0,IFERROR(INDEX(Etapa_SLA,MATCH("ENTREGA DO MATERIAL",Lista_Etapas,0)),35),MAX($H69-$G69,0)))</f>
        <v/>
      </c>
      <c r="O69" s="19" t="str">
        <f t="shared" ref="O69:O100" si="20">IF($A69="","",IF($K69&lt;0,"RECEBIMENTO ACIMA DA OC",IF($K69=0,IF($M69&lt;=$N69,"CONCLUÍDA NO PRAZO","CONCLUÍDA COM ATRASO"),IF($M69&gt;$N69,"ENTREGA EM ATRASO",IF($J69=0,"AGUARDANDO ENTREGA","ENTREGA PARCIAL")))))</f>
        <v/>
      </c>
    </row>
    <row r="70" spans="1:15" x14ac:dyDescent="0.3">
      <c r="A70" s="19" t="str">
        <f>IF(Cadastro!$M70="","",Cadastro!$M70)</f>
        <v/>
      </c>
      <c r="B70" s="19" t="str">
        <f>IF(Cadastro!$H70="","",Cadastro!$H70)</f>
        <v/>
      </c>
      <c r="C70" s="21" t="str">
        <f>IF(Cadastro!$B70="","",Cadastro!$B70)</f>
        <v/>
      </c>
      <c r="D70" s="21" t="str">
        <f>IF(Cadastro!$C70="","",Cadastro!$C70)</f>
        <v/>
      </c>
      <c r="E70" s="19" t="str">
        <f t="shared" si="14"/>
        <v/>
      </c>
      <c r="F70" s="19" t="str">
        <f>IF(Cadastro!$N70="","",Cadastro!$N70)</f>
        <v/>
      </c>
      <c r="G70" s="24">
        <f>N(Cadastro!$O70)</f>
        <v>0</v>
      </c>
      <c r="H70" s="24">
        <f>N(Cadastro!$P70)</f>
        <v>0</v>
      </c>
      <c r="I70" s="23">
        <f>N(Cadastro!$Q70)</f>
        <v>0</v>
      </c>
      <c r="J70" s="21" t="str">
        <f t="shared" si="15"/>
        <v/>
      </c>
      <c r="K70" s="21" t="str">
        <f t="shared" si="16"/>
        <v/>
      </c>
      <c r="L70" s="24" t="str">
        <f t="shared" si="17"/>
        <v/>
      </c>
      <c r="M70" s="21" t="str">
        <f t="shared" si="18"/>
        <v/>
      </c>
      <c r="N70" s="21" t="str">
        <f t="shared" si="19"/>
        <v/>
      </c>
      <c r="O70" s="19" t="str">
        <f t="shared" si="20"/>
        <v/>
      </c>
    </row>
    <row r="71" spans="1:15" x14ac:dyDescent="0.3">
      <c r="A71" s="19" t="str">
        <f>IF(Cadastro!$M71="","",Cadastro!$M71)</f>
        <v/>
      </c>
      <c r="B71" s="19" t="str">
        <f>IF(Cadastro!$H71="","",Cadastro!$H71)</f>
        <v/>
      </c>
      <c r="C71" s="21" t="str">
        <f>IF(Cadastro!$B71="","",Cadastro!$B71)</f>
        <v/>
      </c>
      <c r="D71" s="21" t="str">
        <f>IF(Cadastro!$C71="","",Cadastro!$C71)</f>
        <v/>
      </c>
      <c r="E71" s="19" t="str">
        <f t="shared" si="14"/>
        <v/>
      </c>
      <c r="F71" s="19" t="str">
        <f>IF(Cadastro!$N71="","",Cadastro!$N71)</f>
        <v/>
      </c>
      <c r="G71" s="24">
        <f>N(Cadastro!$O71)</f>
        <v>0</v>
      </c>
      <c r="H71" s="24">
        <f>N(Cadastro!$P71)</f>
        <v>0</v>
      </c>
      <c r="I71" s="23">
        <f>N(Cadastro!$Q71)</f>
        <v>0</v>
      </c>
      <c r="J71" s="21" t="str">
        <f t="shared" si="15"/>
        <v/>
      </c>
      <c r="K71" s="21" t="str">
        <f t="shared" si="16"/>
        <v/>
      </c>
      <c r="L71" s="24" t="str">
        <f t="shared" si="17"/>
        <v/>
      </c>
      <c r="M71" s="21" t="str">
        <f t="shared" si="18"/>
        <v/>
      </c>
      <c r="N71" s="21" t="str">
        <f t="shared" si="19"/>
        <v/>
      </c>
      <c r="O71" s="19" t="str">
        <f t="shared" si="20"/>
        <v/>
      </c>
    </row>
    <row r="72" spans="1:15" x14ac:dyDescent="0.3">
      <c r="A72" s="19" t="str">
        <f>IF(Cadastro!$M72="","",Cadastro!$M72)</f>
        <v/>
      </c>
      <c r="B72" s="19" t="str">
        <f>IF(Cadastro!$H72="","",Cadastro!$H72)</f>
        <v/>
      </c>
      <c r="C72" s="21" t="str">
        <f>IF(Cadastro!$B72="","",Cadastro!$B72)</f>
        <v/>
      </c>
      <c r="D72" s="21" t="str">
        <f>IF(Cadastro!$C72="","",Cadastro!$C72)</f>
        <v/>
      </c>
      <c r="E72" s="19" t="str">
        <f t="shared" si="14"/>
        <v/>
      </c>
      <c r="F72" s="19" t="str">
        <f>IF(Cadastro!$N72="","",Cadastro!$N72)</f>
        <v/>
      </c>
      <c r="G72" s="24">
        <f>N(Cadastro!$O72)</f>
        <v>0</v>
      </c>
      <c r="H72" s="24">
        <f>N(Cadastro!$P72)</f>
        <v>0</v>
      </c>
      <c r="I72" s="23">
        <f>N(Cadastro!$Q72)</f>
        <v>0</v>
      </c>
      <c r="J72" s="21" t="str">
        <f t="shared" si="15"/>
        <v/>
      </c>
      <c r="K72" s="21" t="str">
        <f t="shared" si="16"/>
        <v/>
      </c>
      <c r="L72" s="24" t="str">
        <f t="shared" si="17"/>
        <v/>
      </c>
      <c r="M72" s="21" t="str">
        <f t="shared" si="18"/>
        <v/>
      </c>
      <c r="N72" s="21" t="str">
        <f t="shared" si="19"/>
        <v/>
      </c>
      <c r="O72" s="19" t="str">
        <f t="shared" si="20"/>
        <v/>
      </c>
    </row>
    <row r="73" spans="1:15" x14ac:dyDescent="0.3">
      <c r="A73" s="19" t="str">
        <f>IF(Cadastro!$M73="","",Cadastro!$M73)</f>
        <v/>
      </c>
      <c r="B73" s="19" t="str">
        <f>IF(Cadastro!$H73="","",Cadastro!$H73)</f>
        <v/>
      </c>
      <c r="C73" s="21" t="str">
        <f>IF(Cadastro!$B73="","",Cadastro!$B73)</f>
        <v/>
      </c>
      <c r="D73" s="21" t="str">
        <f>IF(Cadastro!$C73="","",Cadastro!$C73)</f>
        <v/>
      </c>
      <c r="E73" s="19" t="str">
        <f t="shared" si="14"/>
        <v/>
      </c>
      <c r="F73" s="19" t="str">
        <f>IF(Cadastro!$N73="","",Cadastro!$N73)</f>
        <v/>
      </c>
      <c r="G73" s="24">
        <f>N(Cadastro!$O73)</f>
        <v>0</v>
      </c>
      <c r="H73" s="24">
        <f>N(Cadastro!$P73)</f>
        <v>0</v>
      </c>
      <c r="I73" s="23">
        <f>N(Cadastro!$Q73)</f>
        <v>0</v>
      </c>
      <c r="J73" s="21" t="str">
        <f t="shared" si="15"/>
        <v/>
      </c>
      <c r="K73" s="21" t="str">
        <f t="shared" si="16"/>
        <v/>
      </c>
      <c r="L73" s="24" t="str">
        <f t="shared" si="17"/>
        <v/>
      </c>
      <c r="M73" s="21" t="str">
        <f t="shared" si="18"/>
        <v/>
      </c>
      <c r="N73" s="21" t="str">
        <f t="shared" si="19"/>
        <v/>
      </c>
      <c r="O73" s="19" t="str">
        <f t="shared" si="20"/>
        <v/>
      </c>
    </row>
    <row r="74" spans="1:15" x14ac:dyDescent="0.3">
      <c r="A74" s="19" t="str">
        <f>IF(Cadastro!$M74="","",Cadastro!$M74)</f>
        <v/>
      </c>
      <c r="B74" s="19" t="str">
        <f>IF(Cadastro!$H74="","",Cadastro!$H74)</f>
        <v/>
      </c>
      <c r="C74" s="21" t="str">
        <f>IF(Cadastro!$B74="","",Cadastro!$B74)</f>
        <v/>
      </c>
      <c r="D74" s="21" t="str">
        <f>IF(Cadastro!$C74="","",Cadastro!$C74)</f>
        <v/>
      </c>
      <c r="E74" s="19" t="str">
        <f t="shared" si="14"/>
        <v/>
      </c>
      <c r="F74" s="19" t="str">
        <f>IF(Cadastro!$N74="","",Cadastro!$N74)</f>
        <v/>
      </c>
      <c r="G74" s="24">
        <f>N(Cadastro!$O74)</f>
        <v>0</v>
      </c>
      <c r="H74" s="24">
        <f>N(Cadastro!$P74)</f>
        <v>0</v>
      </c>
      <c r="I74" s="23">
        <f>N(Cadastro!$Q74)</f>
        <v>0</v>
      </c>
      <c r="J74" s="21" t="str">
        <f t="shared" si="15"/>
        <v/>
      </c>
      <c r="K74" s="21" t="str">
        <f t="shared" si="16"/>
        <v/>
      </c>
      <c r="L74" s="24" t="str">
        <f t="shared" si="17"/>
        <v/>
      </c>
      <c r="M74" s="21" t="str">
        <f t="shared" si="18"/>
        <v/>
      </c>
      <c r="N74" s="21" t="str">
        <f t="shared" si="19"/>
        <v/>
      </c>
      <c r="O74" s="19" t="str">
        <f t="shared" si="20"/>
        <v/>
      </c>
    </row>
    <row r="75" spans="1:15" x14ac:dyDescent="0.3">
      <c r="A75" s="19" t="str">
        <f>IF(Cadastro!$M75="","",Cadastro!$M75)</f>
        <v/>
      </c>
      <c r="B75" s="19" t="str">
        <f>IF(Cadastro!$H75="","",Cadastro!$H75)</f>
        <v/>
      </c>
      <c r="C75" s="21" t="str">
        <f>IF(Cadastro!$B75="","",Cadastro!$B75)</f>
        <v/>
      </c>
      <c r="D75" s="21" t="str">
        <f>IF(Cadastro!$C75="","",Cadastro!$C75)</f>
        <v/>
      </c>
      <c r="E75" s="19" t="str">
        <f t="shared" si="14"/>
        <v/>
      </c>
      <c r="F75" s="19" t="str">
        <f>IF(Cadastro!$N75="","",Cadastro!$N75)</f>
        <v/>
      </c>
      <c r="G75" s="24">
        <f>N(Cadastro!$O75)</f>
        <v>0</v>
      </c>
      <c r="H75" s="24">
        <f>N(Cadastro!$P75)</f>
        <v>0</v>
      </c>
      <c r="I75" s="23">
        <f>N(Cadastro!$Q75)</f>
        <v>0</v>
      </c>
      <c r="J75" s="21" t="str">
        <f t="shared" si="15"/>
        <v/>
      </c>
      <c r="K75" s="21" t="str">
        <f t="shared" si="16"/>
        <v/>
      </c>
      <c r="L75" s="24" t="str">
        <f t="shared" si="17"/>
        <v/>
      </c>
      <c r="M75" s="21" t="str">
        <f t="shared" si="18"/>
        <v/>
      </c>
      <c r="N75" s="21" t="str">
        <f t="shared" si="19"/>
        <v/>
      </c>
      <c r="O75" s="19" t="str">
        <f t="shared" si="20"/>
        <v/>
      </c>
    </row>
    <row r="76" spans="1:15" x14ac:dyDescent="0.3">
      <c r="A76" s="19" t="str">
        <f>IF(Cadastro!$M76="","",Cadastro!$M76)</f>
        <v/>
      </c>
      <c r="B76" s="19" t="str">
        <f>IF(Cadastro!$H76="","",Cadastro!$H76)</f>
        <v/>
      </c>
      <c r="C76" s="21" t="str">
        <f>IF(Cadastro!$B76="","",Cadastro!$B76)</f>
        <v/>
      </c>
      <c r="D76" s="21" t="str">
        <f>IF(Cadastro!$C76="","",Cadastro!$C76)</f>
        <v/>
      </c>
      <c r="E76" s="19" t="str">
        <f t="shared" si="14"/>
        <v/>
      </c>
      <c r="F76" s="19" t="str">
        <f>IF(Cadastro!$N76="","",Cadastro!$N76)</f>
        <v/>
      </c>
      <c r="G76" s="24">
        <f>N(Cadastro!$O76)</f>
        <v>0</v>
      </c>
      <c r="H76" s="24">
        <f>N(Cadastro!$P76)</f>
        <v>0</v>
      </c>
      <c r="I76" s="23">
        <f>N(Cadastro!$Q76)</f>
        <v>0</v>
      </c>
      <c r="J76" s="21" t="str">
        <f t="shared" si="15"/>
        <v/>
      </c>
      <c r="K76" s="21" t="str">
        <f t="shared" si="16"/>
        <v/>
      </c>
      <c r="L76" s="24" t="str">
        <f t="shared" si="17"/>
        <v/>
      </c>
      <c r="M76" s="21" t="str">
        <f t="shared" si="18"/>
        <v/>
      </c>
      <c r="N76" s="21" t="str">
        <f t="shared" si="19"/>
        <v/>
      </c>
      <c r="O76" s="19" t="str">
        <f t="shared" si="20"/>
        <v/>
      </c>
    </row>
    <row r="77" spans="1:15" x14ac:dyDescent="0.3">
      <c r="A77" s="19" t="str">
        <f>IF(Cadastro!$M77="","",Cadastro!$M77)</f>
        <v/>
      </c>
      <c r="B77" s="19" t="str">
        <f>IF(Cadastro!$H77="","",Cadastro!$H77)</f>
        <v/>
      </c>
      <c r="C77" s="21" t="str">
        <f>IF(Cadastro!$B77="","",Cadastro!$B77)</f>
        <v/>
      </c>
      <c r="D77" s="21" t="str">
        <f>IF(Cadastro!$C77="","",Cadastro!$C77)</f>
        <v/>
      </c>
      <c r="E77" s="19" t="str">
        <f t="shared" si="14"/>
        <v/>
      </c>
      <c r="F77" s="19" t="str">
        <f>IF(Cadastro!$N77="","",Cadastro!$N77)</f>
        <v/>
      </c>
      <c r="G77" s="24">
        <f>N(Cadastro!$O77)</f>
        <v>0</v>
      </c>
      <c r="H77" s="24">
        <f>N(Cadastro!$P77)</f>
        <v>0</v>
      </c>
      <c r="I77" s="23">
        <f>N(Cadastro!$Q77)</f>
        <v>0</v>
      </c>
      <c r="J77" s="21" t="str">
        <f t="shared" si="15"/>
        <v/>
      </c>
      <c r="K77" s="21" t="str">
        <f t="shared" si="16"/>
        <v/>
      </c>
      <c r="L77" s="24" t="str">
        <f t="shared" si="17"/>
        <v/>
      </c>
      <c r="M77" s="21" t="str">
        <f t="shared" si="18"/>
        <v/>
      </c>
      <c r="N77" s="21" t="str">
        <f t="shared" si="19"/>
        <v/>
      </c>
      <c r="O77" s="19" t="str">
        <f t="shared" si="20"/>
        <v/>
      </c>
    </row>
    <row r="78" spans="1:15" x14ac:dyDescent="0.3">
      <c r="A78" s="19" t="str">
        <f>IF(Cadastro!$M78="","",Cadastro!$M78)</f>
        <v/>
      </c>
      <c r="B78" s="19" t="str">
        <f>IF(Cadastro!$H78="","",Cadastro!$H78)</f>
        <v/>
      </c>
      <c r="C78" s="21" t="str">
        <f>IF(Cadastro!$B78="","",Cadastro!$B78)</f>
        <v/>
      </c>
      <c r="D78" s="21" t="str">
        <f>IF(Cadastro!$C78="","",Cadastro!$C78)</f>
        <v/>
      </c>
      <c r="E78" s="19" t="str">
        <f t="shared" si="14"/>
        <v/>
      </c>
      <c r="F78" s="19" t="str">
        <f>IF(Cadastro!$N78="","",Cadastro!$N78)</f>
        <v/>
      </c>
      <c r="G78" s="24">
        <f>N(Cadastro!$O78)</f>
        <v>0</v>
      </c>
      <c r="H78" s="24">
        <f>N(Cadastro!$P78)</f>
        <v>0</v>
      </c>
      <c r="I78" s="23">
        <f>N(Cadastro!$Q78)</f>
        <v>0</v>
      </c>
      <c r="J78" s="21" t="str">
        <f t="shared" si="15"/>
        <v/>
      </c>
      <c r="K78" s="21" t="str">
        <f t="shared" si="16"/>
        <v/>
      </c>
      <c r="L78" s="24" t="str">
        <f t="shared" si="17"/>
        <v/>
      </c>
      <c r="M78" s="21" t="str">
        <f t="shared" si="18"/>
        <v/>
      </c>
      <c r="N78" s="21" t="str">
        <f t="shared" si="19"/>
        <v/>
      </c>
      <c r="O78" s="19" t="str">
        <f t="shared" si="20"/>
        <v/>
      </c>
    </row>
    <row r="79" spans="1:15" x14ac:dyDescent="0.3">
      <c r="A79" s="19" t="str">
        <f>IF(Cadastro!$M79="","",Cadastro!$M79)</f>
        <v/>
      </c>
      <c r="B79" s="19" t="str">
        <f>IF(Cadastro!$H79="","",Cadastro!$H79)</f>
        <v/>
      </c>
      <c r="C79" s="21" t="str">
        <f>IF(Cadastro!$B79="","",Cadastro!$B79)</f>
        <v/>
      </c>
      <c r="D79" s="21" t="str">
        <f>IF(Cadastro!$C79="","",Cadastro!$C79)</f>
        <v/>
      </c>
      <c r="E79" s="19" t="str">
        <f t="shared" si="14"/>
        <v/>
      </c>
      <c r="F79" s="19" t="str">
        <f>IF(Cadastro!$N79="","",Cadastro!$N79)</f>
        <v/>
      </c>
      <c r="G79" s="24">
        <f>N(Cadastro!$O79)</f>
        <v>0</v>
      </c>
      <c r="H79" s="24">
        <f>N(Cadastro!$P79)</f>
        <v>0</v>
      </c>
      <c r="I79" s="23">
        <f>N(Cadastro!$Q79)</f>
        <v>0</v>
      </c>
      <c r="J79" s="21" t="str">
        <f t="shared" si="15"/>
        <v/>
      </c>
      <c r="K79" s="21" t="str">
        <f t="shared" si="16"/>
        <v/>
      </c>
      <c r="L79" s="24" t="str">
        <f t="shared" si="17"/>
        <v/>
      </c>
      <c r="M79" s="21" t="str">
        <f t="shared" si="18"/>
        <v/>
      </c>
      <c r="N79" s="21" t="str">
        <f t="shared" si="19"/>
        <v/>
      </c>
      <c r="O79" s="19" t="str">
        <f t="shared" si="20"/>
        <v/>
      </c>
    </row>
    <row r="80" spans="1:15" x14ac:dyDescent="0.3">
      <c r="A80" s="19" t="str">
        <f>IF(Cadastro!$M80="","",Cadastro!$M80)</f>
        <v/>
      </c>
      <c r="B80" s="19" t="str">
        <f>IF(Cadastro!$H80="","",Cadastro!$H80)</f>
        <v/>
      </c>
      <c r="C80" s="21" t="str">
        <f>IF(Cadastro!$B80="","",Cadastro!$B80)</f>
        <v/>
      </c>
      <c r="D80" s="21" t="str">
        <f>IF(Cadastro!$C80="","",Cadastro!$C80)</f>
        <v/>
      </c>
      <c r="E80" s="19" t="str">
        <f t="shared" si="14"/>
        <v/>
      </c>
      <c r="F80" s="19" t="str">
        <f>IF(Cadastro!$N80="","",Cadastro!$N80)</f>
        <v/>
      </c>
      <c r="G80" s="24">
        <f>N(Cadastro!$O80)</f>
        <v>0</v>
      </c>
      <c r="H80" s="24">
        <f>N(Cadastro!$P80)</f>
        <v>0</v>
      </c>
      <c r="I80" s="23">
        <f>N(Cadastro!$Q80)</f>
        <v>0</v>
      </c>
      <c r="J80" s="21" t="str">
        <f t="shared" si="15"/>
        <v/>
      </c>
      <c r="K80" s="21" t="str">
        <f t="shared" si="16"/>
        <v/>
      </c>
      <c r="L80" s="24" t="str">
        <f t="shared" si="17"/>
        <v/>
      </c>
      <c r="M80" s="21" t="str">
        <f t="shared" si="18"/>
        <v/>
      </c>
      <c r="N80" s="21" t="str">
        <f t="shared" si="19"/>
        <v/>
      </c>
      <c r="O80" s="19" t="str">
        <f t="shared" si="20"/>
        <v/>
      </c>
    </row>
    <row r="81" spans="1:15" x14ac:dyDescent="0.3">
      <c r="A81" s="19" t="str">
        <f>IF(Cadastro!$M81="","",Cadastro!$M81)</f>
        <v/>
      </c>
      <c r="B81" s="19" t="str">
        <f>IF(Cadastro!$H81="","",Cadastro!$H81)</f>
        <v/>
      </c>
      <c r="C81" s="21" t="str">
        <f>IF(Cadastro!$B81="","",Cadastro!$B81)</f>
        <v/>
      </c>
      <c r="D81" s="21" t="str">
        <f>IF(Cadastro!$C81="","",Cadastro!$C81)</f>
        <v/>
      </c>
      <c r="E81" s="19" t="str">
        <f t="shared" si="14"/>
        <v/>
      </c>
      <c r="F81" s="19" t="str">
        <f>IF(Cadastro!$N81="","",Cadastro!$N81)</f>
        <v/>
      </c>
      <c r="G81" s="24">
        <f>N(Cadastro!$O81)</f>
        <v>0</v>
      </c>
      <c r="H81" s="24">
        <f>N(Cadastro!$P81)</f>
        <v>0</v>
      </c>
      <c r="I81" s="23">
        <f>N(Cadastro!$Q81)</f>
        <v>0</v>
      </c>
      <c r="J81" s="21" t="str">
        <f t="shared" si="15"/>
        <v/>
      </c>
      <c r="K81" s="21" t="str">
        <f t="shared" si="16"/>
        <v/>
      </c>
      <c r="L81" s="24" t="str">
        <f t="shared" si="17"/>
        <v/>
      </c>
      <c r="M81" s="21" t="str">
        <f t="shared" si="18"/>
        <v/>
      </c>
      <c r="N81" s="21" t="str">
        <f t="shared" si="19"/>
        <v/>
      </c>
      <c r="O81" s="19" t="str">
        <f t="shared" si="20"/>
        <v/>
      </c>
    </row>
    <row r="82" spans="1:15" x14ac:dyDescent="0.3">
      <c r="A82" s="19" t="str">
        <f>IF(Cadastro!$M82="","",Cadastro!$M82)</f>
        <v/>
      </c>
      <c r="B82" s="19" t="str">
        <f>IF(Cadastro!$H82="","",Cadastro!$H82)</f>
        <v/>
      </c>
      <c r="C82" s="21" t="str">
        <f>IF(Cadastro!$B82="","",Cadastro!$B82)</f>
        <v/>
      </c>
      <c r="D82" s="21" t="str">
        <f>IF(Cadastro!$C82="","",Cadastro!$C82)</f>
        <v/>
      </c>
      <c r="E82" s="19" t="str">
        <f t="shared" si="14"/>
        <v/>
      </c>
      <c r="F82" s="19" t="str">
        <f>IF(Cadastro!$N82="","",Cadastro!$N82)</f>
        <v/>
      </c>
      <c r="G82" s="24">
        <f>N(Cadastro!$O82)</f>
        <v>0</v>
      </c>
      <c r="H82" s="24">
        <f>N(Cadastro!$P82)</f>
        <v>0</v>
      </c>
      <c r="I82" s="23">
        <f>N(Cadastro!$Q82)</f>
        <v>0</v>
      </c>
      <c r="J82" s="21" t="str">
        <f t="shared" si="15"/>
        <v/>
      </c>
      <c r="K82" s="21" t="str">
        <f t="shared" si="16"/>
        <v/>
      </c>
      <c r="L82" s="24" t="str">
        <f t="shared" si="17"/>
        <v/>
      </c>
      <c r="M82" s="21" t="str">
        <f t="shared" si="18"/>
        <v/>
      </c>
      <c r="N82" s="21" t="str">
        <f t="shared" si="19"/>
        <v/>
      </c>
      <c r="O82" s="19" t="str">
        <f t="shared" si="20"/>
        <v/>
      </c>
    </row>
    <row r="83" spans="1:15" x14ac:dyDescent="0.3">
      <c r="A83" s="19" t="str">
        <f>IF(Cadastro!$M83="","",Cadastro!$M83)</f>
        <v/>
      </c>
      <c r="B83" s="19" t="str">
        <f>IF(Cadastro!$H83="","",Cadastro!$H83)</f>
        <v/>
      </c>
      <c r="C83" s="21" t="str">
        <f>IF(Cadastro!$B83="","",Cadastro!$B83)</f>
        <v/>
      </c>
      <c r="D83" s="21" t="str">
        <f>IF(Cadastro!$C83="","",Cadastro!$C83)</f>
        <v/>
      </c>
      <c r="E83" s="19" t="str">
        <f t="shared" si="14"/>
        <v/>
      </c>
      <c r="F83" s="19" t="str">
        <f>IF(Cadastro!$N83="","",Cadastro!$N83)</f>
        <v/>
      </c>
      <c r="G83" s="24">
        <f>N(Cadastro!$O83)</f>
        <v>0</v>
      </c>
      <c r="H83" s="24">
        <f>N(Cadastro!$P83)</f>
        <v>0</v>
      </c>
      <c r="I83" s="23">
        <f>N(Cadastro!$Q83)</f>
        <v>0</v>
      </c>
      <c r="J83" s="21" t="str">
        <f t="shared" si="15"/>
        <v/>
      </c>
      <c r="K83" s="21" t="str">
        <f t="shared" si="16"/>
        <v/>
      </c>
      <c r="L83" s="24" t="str">
        <f t="shared" si="17"/>
        <v/>
      </c>
      <c r="M83" s="21" t="str">
        <f t="shared" si="18"/>
        <v/>
      </c>
      <c r="N83" s="21" t="str">
        <f t="shared" si="19"/>
        <v/>
      </c>
      <c r="O83" s="19" t="str">
        <f t="shared" si="20"/>
        <v/>
      </c>
    </row>
    <row r="84" spans="1:15" x14ac:dyDescent="0.3">
      <c r="A84" s="19" t="str">
        <f>IF(Cadastro!$M84="","",Cadastro!$M84)</f>
        <v/>
      </c>
      <c r="B84" s="19" t="str">
        <f>IF(Cadastro!$H84="","",Cadastro!$H84)</f>
        <v/>
      </c>
      <c r="C84" s="21" t="str">
        <f>IF(Cadastro!$B84="","",Cadastro!$B84)</f>
        <v/>
      </c>
      <c r="D84" s="21" t="str">
        <f>IF(Cadastro!$C84="","",Cadastro!$C84)</f>
        <v/>
      </c>
      <c r="E84" s="19" t="str">
        <f t="shared" si="14"/>
        <v/>
      </c>
      <c r="F84" s="19" t="str">
        <f>IF(Cadastro!$N84="","",Cadastro!$N84)</f>
        <v/>
      </c>
      <c r="G84" s="24">
        <f>N(Cadastro!$O84)</f>
        <v>0</v>
      </c>
      <c r="H84" s="24">
        <f>N(Cadastro!$P84)</f>
        <v>0</v>
      </c>
      <c r="I84" s="23">
        <f>N(Cadastro!$Q84)</f>
        <v>0</v>
      </c>
      <c r="J84" s="21" t="str">
        <f t="shared" si="15"/>
        <v/>
      </c>
      <c r="K84" s="21" t="str">
        <f t="shared" si="16"/>
        <v/>
      </c>
      <c r="L84" s="24" t="str">
        <f t="shared" si="17"/>
        <v/>
      </c>
      <c r="M84" s="21" t="str">
        <f t="shared" si="18"/>
        <v/>
      </c>
      <c r="N84" s="21" t="str">
        <f t="shared" si="19"/>
        <v/>
      </c>
      <c r="O84" s="19" t="str">
        <f t="shared" si="20"/>
        <v/>
      </c>
    </row>
    <row r="85" spans="1:15" x14ac:dyDescent="0.3">
      <c r="A85" s="19" t="str">
        <f>IF(Cadastro!$M85="","",Cadastro!$M85)</f>
        <v/>
      </c>
      <c r="B85" s="19" t="str">
        <f>IF(Cadastro!$H85="","",Cadastro!$H85)</f>
        <v/>
      </c>
      <c r="C85" s="21" t="str">
        <f>IF(Cadastro!$B85="","",Cadastro!$B85)</f>
        <v/>
      </c>
      <c r="D85" s="21" t="str">
        <f>IF(Cadastro!$C85="","",Cadastro!$C85)</f>
        <v/>
      </c>
      <c r="E85" s="19" t="str">
        <f t="shared" si="14"/>
        <v/>
      </c>
      <c r="F85" s="19" t="str">
        <f>IF(Cadastro!$N85="","",Cadastro!$N85)</f>
        <v/>
      </c>
      <c r="G85" s="24">
        <f>N(Cadastro!$O85)</f>
        <v>0</v>
      </c>
      <c r="H85" s="24">
        <f>N(Cadastro!$P85)</f>
        <v>0</v>
      </c>
      <c r="I85" s="23">
        <f>N(Cadastro!$Q85)</f>
        <v>0</v>
      </c>
      <c r="J85" s="21" t="str">
        <f t="shared" si="15"/>
        <v/>
      </c>
      <c r="K85" s="21" t="str">
        <f t="shared" si="16"/>
        <v/>
      </c>
      <c r="L85" s="24" t="str">
        <f t="shared" si="17"/>
        <v/>
      </c>
      <c r="M85" s="21" t="str">
        <f t="shared" si="18"/>
        <v/>
      </c>
      <c r="N85" s="21" t="str">
        <f t="shared" si="19"/>
        <v/>
      </c>
      <c r="O85" s="19" t="str">
        <f t="shared" si="20"/>
        <v/>
      </c>
    </row>
    <row r="86" spans="1:15" x14ac:dyDescent="0.3">
      <c r="A86" s="19" t="str">
        <f>IF(Cadastro!$M86="","",Cadastro!$M86)</f>
        <v/>
      </c>
      <c r="B86" s="19" t="str">
        <f>IF(Cadastro!$H86="","",Cadastro!$H86)</f>
        <v/>
      </c>
      <c r="C86" s="21" t="str">
        <f>IF(Cadastro!$B86="","",Cadastro!$B86)</f>
        <v/>
      </c>
      <c r="D86" s="21" t="str">
        <f>IF(Cadastro!$C86="","",Cadastro!$C86)</f>
        <v/>
      </c>
      <c r="E86" s="19" t="str">
        <f t="shared" si="14"/>
        <v/>
      </c>
      <c r="F86" s="19" t="str">
        <f>IF(Cadastro!$N86="","",Cadastro!$N86)</f>
        <v/>
      </c>
      <c r="G86" s="24">
        <f>N(Cadastro!$O86)</f>
        <v>0</v>
      </c>
      <c r="H86" s="24">
        <f>N(Cadastro!$P86)</f>
        <v>0</v>
      </c>
      <c r="I86" s="23">
        <f>N(Cadastro!$Q86)</f>
        <v>0</v>
      </c>
      <c r="J86" s="21" t="str">
        <f t="shared" si="15"/>
        <v/>
      </c>
      <c r="K86" s="21" t="str">
        <f t="shared" si="16"/>
        <v/>
      </c>
      <c r="L86" s="24" t="str">
        <f t="shared" si="17"/>
        <v/>
      </c>
      <c r="M86" s="21" t="str">
        <f t="shared" si="18"/>
        <v/>
      </c>
      <c r="N86" s="21" t="str">
        <f t="shared" si="19"/>
        <v/>
      </c>
      <c r="O86" s="19" t="str">
        <f t="shared" si="20"/>
        <v/>
      </c>
    </row>
    <row r="87" spans="1:15" x14ac:dyDescent="0.3">
      <c r="A87" s="19" t="str">
        <f>IF(Cadastro!$M87="","",Cadastro!$M87)</f>
        <v/>
      </c>
      <c r="B87" s="19" t="str">
        <f>IF(Cadastro!$H87="","",Cadastro!$H87)</f>
        <v/>
      </c>
      <c r="C87" s="21" t="str">
        <f>IF(Cadastro!$B87="","",Cadastro!$B87)</f>
        <v/>
      </c>
      <c r="D87" s="21" t="str">
        <f>IF(Cadastro!$C87="","",Cadastro!$C87)</f>
        <v/>
      </c>
      <c r="E87" s="19" t="str">
        <f t="shared" si="14"/>
        <v/>
      </c>
      <c r="F87" s="19" t="str">
        <f>IF(Cadastro!$N87="","",Cadastro!$N87)</f>
        <v/>
      </c>
      <c r="G87" s="24">
        <f>N(Cadastro!$O87)</f>
        <v>0</v>
      </c>
      <c r="H87" s="24">
        <f>N(Cadastro!$P87)</f>
        <v>0</v>
      </c>
      <c r="I87" s="23">
        <f>N(Cadastro!$Q87)</f>
        <v>0</v>
      </c>
      <c r="J87" s="21" t="str">
        <f t="shared" si="15"/>
        <v/>
      </c>
      <c r="K87" s="21" t="str">
        <f t="shared" si="16"/>
        <v/>
      </c>
      <c r="L87" s="24" t="str">
        <f t="shared" si="17"/>
        <v/>
      </c>
      <c r="M87" s="21" t="str">
        <f t="shared" si="18"/>
        <v/>
      </c>
      <c r="N87" s="21" t="str">
        <f t="shared" si="19"/>
        <v/>
      </c>
      <c r="O87" s="19" t="str">
        <f t="shared" si="20"/>
        <v/>
      </c>
    </row>
    <row r="88" spans="1:15" x14ac:dyDescent="0.3">
      <c r="A88" s="19" t="str">
        <f>IF(Cadastro!$M88="","",Cadastro!$M88)</f>
        <v/>
      </c>
      <c r="B88" s="19" t="str">
        <f>IF(Cadastro!$H88="","",Cadastro!$H88)</f>
        <v/>
      </c>
      <c r="C88" s="21" t="str">
        <f>IF(Cadastro!$B88="","",Cadastro!$B88)</f>
        <v/>
      </c>
      <c r="D88" s="21" t="str">
        <f>IF(Cadastro!$C88="","",Cadastro!$C88)</f>
        <v/>
      </c>
      <c r="E88" s="19" t="str">
        <f t="shared" si="14"/>
        <v/>
      </c>
      <c r="F88" s="19" t="str">
        <f>IF(Cadastro!$N88="","",Cadastro!$N88)</f>
        <v/>
      </c>
      <c r="G88" s="24">
        <f>N(Cadastro!$O88)</f>
        <v>0</v>
      </c>
      <c r="H88" s="24">
        <f>N(Cadastro!$P88)</f>
        <v>0</v>
      </c>
      <c r="I88" s="23">
        <f>N(Cadastro!$Q88)</f>
        <v>0</v>
      </c>
      <c r="J88" s="21" t="str">
        <f t="shared" si="15"/>
        <v/>
      </c>
      <c r="K88" s="21" t="str">
        <f t="shared" si="16"/>
        <v/>
      </c>
      <c r="L88" s="24" t="str">
        <f t="shared" si="17"/>
        <v/>
      </c>
      <c r="M88" s="21" t="str">
        <f t="shared" si="18"/>
        <v/>
      </c>
      <c r="N88" s="21" t="str">
        <f t="shared" si="19"/>
        <v/>
      </c>
      <c r="O88" s="19" t="str">
        <f t="shared" si="20"/>
        <v/>
      </c>
    </row>
    <row r="89" spans="1:15" x14ac:dyDescent="0.3">
      <c r="A89" s="19" t="str">
        <f>IF(Cadastro!$M89="","",Cadastro!$M89)</f>
        <v/>
      </c>
      <c r="B89" s="19" t="str">
        <f>IF(Cadastro!$H89="","",Cadastro!$H89)</f>
        <v/>
      </c>
      <c r="C89" s="21" t="str">
        <f>IF(Cadastro!$B89="","",Cadastro!$B89)</f>
        <v/>
      </c>
      <c r="D89" s="21" t="str">
        <f>IF(Cadastro!$C89="","",Cadastro!$C89)</f>
        <v/>
      </c>
      <c r="E89" s="19" t="str">
        <f t="shared" si="14"/>
        <v/>
      </c>
      <c r="F89" s="19" t="str">
        <f>IF(Cadastro!$N89="","",Cadastro!$N89)</f>
        <v/>
      </c>
      <c r="G89" s="24">
        <f>N(Cadastro!$O89)</f>
        <v>0</v>
      </c>
      <c r="H89" s="24">
        <f>N(Cadastro!$P89)</f>
        <v>0</v>
      </c>
      <c r="I89" s="23">
        <f>N(Cadastro!$Q89)</f>
        <v>0</v>
      </c>
      <c r="J89" s="21" t="str">
        <f t="shared" si="15"/>
        <v/>
      </c>
      <c r="K89" s="21" t="str">
        <f t="shared" si="16"/>
        <v/>
      </c>
      <c r="L89" s="24" t="str">
        <f t="shared" si="17"/>
        <v/>
      </c>
      <c r="M89" s="21" t="str">
        <f t="shared" si="18"/>
        <v/>
      </c>
      <c r="N89" s="21" t="str">
        <f t="shared" si="19"/>
        <v/>
      </c>
      <c r="O89" s="19" t="str">
        <f t="shared" si="20"/>
        <v/>
      </c>
    </row>
    <row r="90" spans="1:15" x14ac:dyDescent="0.3">
      <c r="A90" s="19" t="str">
        <f>IF(Cadastro!$M90="","",Cadastro!$M90)</f>
        <v/>
      </c>
      <c r="B90" s="19" t="str">
        <f>IF(Cadastro!$H90="","",Cadastro!$H90)</f>
        <v/>
      </c>
      <c r="C90" s="21" t="str">
        <f>IF(Cadastro!$B90="","",Cadastro!$B90)</f>
        <v/>
      </c>
      <c r="D90" s="21" t="str">
        <f>IF(Cadastro!$C90="","",Cadastro!$C90)</f>
        <v/>
      </c>
      <c r="E90" s="19" t="str">
        <f t="shared" si="14"/>
        <v/>
      </c>
      <c r="F90" s="19" t="str">
        <f>IF(Cadastro!$N90="","",Cadastro!$N90)</f>
        <v/>
      </c>
      <c r="G90" s="24">
        <f>N(Cadastro!$O90)</f>
        <v>0</v>
      </c>
      <c r="H90" s="24">
        <f>N(Cadastro!$P90)</f>
        <v>0</v>
      </c>
      <c r="I90" s="23">
        <f>N(Cadastro!$Q90)</f>
        <v>0</v>
      </c>
      <c r="J90" s="21" t="str">
        <f t="shared" si="15"/>
        <v/>
      </c>
      <c r="K90" s="21" t="str">
        <f t="shared" si="16"/>
        <v/>
      </c>
      <c r="L90" s="24" t="str">
        <f t="shared" si="17"/>
        <v/>
      </c>
      <c r="M90" s="21" t="str">
        <f t="shared" si="18"/>
        <v/>
      </c>
      <c r="N90" s="21" t="str">
        <f t="shared" si="19"/>
        <v/>
      </c>
      <c r="O90" s="19" t="str">
        <f t="shared" si="20"/>
        <v/>
      </c>
    </row>
    <row r="91" spans="1:15" x14ac:dyDescent="0.3">
      <c r="A91" s="19" t="str">
        <f>IF(Cadastro!$M91="","",Cadastro!$M91)</f>
        <v/>
      </c>
      <c r="B91" s="19" t="str">
        <f>IF(Cadastro!$H91="","",Cadastro!$H91)</f>
        <v/>
      </c>
      <c r="C91" s="21" t="str">
        <f>IF(Cadastro!$B91="","",Cadastro!$B91)</f>
        <v/>
      </c>
      <c r="D91" s="21" t="str">
        <f>IF(Cadastro!$C91="","",Cadastro!$C91)</f>
        <v/>
      </c>
      <c r="E91" s="19" t="str">
        <f t="shared" si="14"/>
        <v/>
      </c>
      <c r="F91" s="19" t="str">
        <f>IF(Cadastro!$N91="","",Cadastro!$N91)</f>
        <v/>
      </c>
      <c r="G91" s="24">
        <f>N(Cadastro!$O91)</f>
        <v>0</v>
      </c>
      <c r="H91" s="24">
        <f>N(Cadastro!$P91)</f>
        <v>0</v>
      </c>
      <c r="I91" s="23">
        <f>N(Cadastro!$Q91)</f>
        <v>0</v>
      </c>
      <c r="J91" s="21" t="str">
        <f t="shared" si="15"/>
        <v/>
      </c>
      <c r="K91" s="21" t="str">
        <f t="shared" si="16"/>
        <v/>
      </c>
      <c r="L91" s="24" t="str">
        <f t="shared" si="17"/>
        <v/>
      </c>
      <c r="M91" s="21" t="str">
        <f t="shared" si="18"/>
        <v/>
      </c>
      <c r="N91" s="21" t="str">
        <f t="shared" si="19"/>
        <v/>
      </c>
      <c r="O91" s="19" t="str">
        <f t="shared" si="20"/>
        <v/>
      </c>
    </row>
    <row r="92" spans="1:15" x14ac:dyDescent="0.3">
      <c r="A92" s="19" t="str">
        <f>IF(Cadastro!$M92="","",Cadastro!$M92)</f>
        <v/>
      </c>
      <c r="B92" s="19" t="str">
        <f>IF(Cadastro!$H92="","",Cadastro!$H92)</f>
        <v/>
      </c>
      <c r="C92" s="21" t="str">
        <f>IF(Cadastro!$B92="","",Cadastro!$B92)</f>
        <v/>
      </c>
      <c r="D92" s="21" t="str">
        <f>IF(Cadastro!$C92="","",Cadastro!$C92)</f>
        <v/>
      </c>
      <c r="E92" s="19" t="str">
        <f t="shared" si="14"/>
        <v/>
      </c>
      <c r="F92" s="19" t="str">
        <f>IF(Cadastro!$N92="","",Cadastro!$N92)</f>
        <v/>
      </c>
      <c r="G92" s="24">
        <f>N(Cadastro!$O92)</f>
        <v>0</v>
      </c>
      <c r="H92" s="24">
        <f>N(Cadastro!$P92)</f>
        <v>0</v>
      </c>
      <c r="I92" s="23">
        <f>N(Cadastro!$Q92)</f>
        <v>0</v>
      </c>
      <c r="J92" s="21" t="str">
        <f t="shared" si="15"/>
        <v/>
      </c>
      <c r="K92" s="21" t="str">
        <f t="shared" si="16"/>
        <v/>
      </c>
      <c r="L92" s="24" t="str">
        <f t="shared" si="17"/>
        <v/>
      </c>
      <c r="M92" s="21" t="str">
        <f t="shared" si="18"/>
        <v/>
      </c>
      <c r="N92" s="21" t="str">
        <f t="shared" si="19"/>
        <v/>
      </c>
      <c r="O92" s="19" t="str">
        <f t="shared" si="20"/>
        <v/>
      </c>
    </row>
    <row r="93" spans="1:15" x14ac:dyDescent="0.3">
      <c r="A93" s="19" t="str">
        <f>IF(Cadastro!$M93="","",Cadastro!$M93)</f>
        <v/>
      </c>
      <c r="B93" s="19" t="str">
        <f>IF(Cadastro!$H93="","",Cadastro!$H93)</f>
        <v/>
      </c>
      <c r="C93" s="21" t="str">
        <f>IF(Cadastro!$B93="","",Cadastro!$B93)</f>
        <v/>
      </c>
      <c r="D93" s="21" t="str">
        <f>IF(Cadastro!$C93="","",Cadastro!$C93)</f>
        <v/>
      </c>
      <c r="E93" s="19" t="str">
        <f t="shared" si="14"/>
        <v/>
      </c>
      <c r="F93" s="19" t="str">
        <f>IF(Cadastro!$N93="","",Cadastro!$N93)</f>
        <v/>
      </c>
      <c r="G93" s="24">
        <f>N(Cadastro!$O93)</f>
        <v>0</v>
      </c>
      <c r="H93" s="24">
        <f>N(Cadastro!$P93)</f>
        <v>0</v>
      </c>
      <c r="I93" s="23">
        <f>N(Cadastro!$Q93)</f>
        <v>0</v>
      </c>
      <c r="J93" s="21" t="str">
        <f t="shared" si="15"/>
        <v/>
      </c>
      <c r="K93" s="21" t="str">
        <f t="shared" si="16"/>
        <v/>
      </c>
      <c r="L93" s="24" t="str">
        <f t="shared" si="17"/>
        <v/>
      </c>
      <c r="M93" s="21" t="str">
        <f t="shared" si="18"/>
        <v/>
      </c>
      <c r="N93" s="21" t="str">
        <f t="shared" si="19"/>
        <v/>
      </c>
      <c r="O93" s="19" t="str">
        <f t="shared" si="20"/>
        <v/>
      </c>
    </row>
    <row r="94" spans="1:15" x14ac:dyDescent="0.3">
      <c r="A94" s="19" t="str">
        <f>IF(Cadastro!$M94="","",Cadastro!$M94)</f>
        <v/>
      </c>
      <c r="B94" s="19" t="str">
        <f>IF(Cadastro!$H94="","",Cadastro!$H94)</f>
        <v/>
      </c>
      <c r="C94" s="21" t="str">
        <f>IF(Cadastro!$B94="","",Cadastro!$B94)</f>
        <v/>
      </c>
      <c r="D94" s="21" t="str">
        <f>IF(Cadastro!$C94="","",Cadastro!$C94)</f>
        <v/>
      </c>
      <c r="E94" s="19" t="str">
        <f t="shared" si="14"/>
        <v/>
      </c>
      <c r="F94" s="19" t="str">
        <f>IF(Cadastro!$N94="","",Cadastro!$N94)</f>
        <v/>
      </c>
      <c r="G94" s="24">
        <f>N(Cadastro!$O94)</f>
        <v>0</v>
      </c>
      <c r="H94" s="24">
        <f>N(Cadastro!$P94)</f>
        <v>0</v>
      </c>
      <c r="I94" s="23">
        <f>N(Cadastro!$Q94)</f>
        <v>0</v>
      </c>
      <c r="J94" s="21" t="str">
        <f t="shared" si="15"/>
        <v/>
      </c>
      <c r="K94" s="21" t="str">
        <f t="shared" si="16"/>
        <v/>
      </c>
      <c r="L94" s="24" t="str">
        <f t="shared" si="17"/>
        <v/>
      </c>
      <c r="M94" s="21" t="str">
        <f t="shared" si="18"/>
        <v/>
      </c>
      <c r="N94" s="21" t="str">
        <f t="shared" si="19"/>
        <v/>
      </c>
      <c r="O94" s="19" t="str">
        <f t="shared" si="20"/>
        <v/>
      </c>
    </row>
    <row r="95" spans="1:15" x14ac:dyDescent="0.3">
      <c r="A95" s="19" t="str">
        <f>IF(Cadastro!$M95="","",Cadastro!$M95)</f>
        <v/>
      </c>
      <c r="B95" s="19" t="str">
        <f>IF(Cadastro!$H95="","",Cadastro!$H95)</f>
        <v/>
      </c>
      <c r="C95" s="21" t="str">
        <f>IF(Cadastro!$B95="","",Cadastro!$B95)</f>
        <v/>
      </c>
      <c r="D95" s="21" t="str">
        <f>IF(Cadastro!$C95="","",Cadastro!$C95)</f>
        <v/>
      </c>
      <c r="E95" s="19" t="str">
        <f t="shared" si="14"/>
        <v/>
      </c>
      <c r="F95" s="19" t="str">
        <f>IF(Cadastro!$N95="","",Cadastro!$N95)</f>
        <v/>
      </c>
      <c r="G95" s="24">
        <f>N(Cadastro!$O95)</f>
        <v>0</v>
      </c>
      <c r="H95" s="24">
        <f>N(Cadastro!$P95)</f>
        <v>0</v>
      </c>
      <c r="I95" s="23">
        <f>N(Cadastro!$Q95)</f>
        <v>0</v>
      </c>
      <c r="J95" s="21" t="str">
        <f t="shared" si="15"/>
        <v/>
      </c>
      <c r="K95" s="21" t="str">
        <f t="shared" si="16"/>
        <v/>
      </c>
      <c r="L95" s="24" t="str">
        <f t="shared" si="17"/>
        <v/>
      </c>
      <c r="M95" s="21" t="str">
        <f t="shared" si="18"/>
        <v/>
      </c>
      <c r="N95" s="21" t="str">
        <f t="shared" si="19"/>
        <v/>
      </c>
      <c r="O95" s="19" t="str">
        <f t="shared" si="20"/>
        <v/>
      </c>
    </row>
    <row r="96" spans="1:15" x14ac:dyDescent="0.3">
      <c r="A96" s="19" t="str">
        <f>IF(Cadastro!$M96="","",Cadastro!$M96)</f>
        <v/>
      </c>
      <c r="B96" s="19" t="str">
        <f>IF(Cadastro!$H96="","",Cadastro!$H96)</f>
        <v/>
      </c>
      <c r="C96" s="21" t="str">
        <f>IF(Cadastro!$B96="","",Cadastro!$B96)</f>
        <v/>
      </c>
      <c r="D96" s="21" t="str">
        <f>IF(Cadastro!$C96="","",Cadastro!$C96)</f>
        <v/>
      </c>
      <c r="E96" s="19" t="str">
        <f t="shared" si="14"/>
        <v/>
      </c>
      <c r="F96" s="19" t="str">
        <f>IF(Cadastro!$N96="","",Cadastro!$N96)</f>
        <v/>
      </c>
      <c r="G96" s="24">
        <f>N(Cadastro!$O96)</f>
        <v>0</v>
      </c>
      <c r="H96" s="24">
        <f>N(Cadastro!$P96)</f>
        <v>0</v>
      </c>
      <c r="I96" s="23">
        <f>N(Cadastro!$Q96)</f>
        <v>0</v>
      </c>
      <c r="J96" s="21" t="str">
        <f t="shared" si="15"/>
        <v/>
      </c>
      <c r="K96" s="21" t="str">
        <f t="shared" si="16"/>
        <v/>
      </c>
      <c r="L96" s="24" t="str">
        <f t="shared" si="17"/>
        <v/>
      </c>
      <c r="M96" s="21" t="str">
        <f t="shared" si="18"/>
        <v/>
      </c>
      <c r="N96" s="21" t="str">
        <f t="shared" si="19"/>
        <v/>
      </c>
      <c r="O96" s="19" t="str">
        <f t="shared" si="20"/>
        <v/>
      </c>
    </row>
    <row r="97" spans="1:15" x14ac:dyDescent="0.3">
      <c r="A97" s="19" t="str">
        <f>IF(Cadastro!$M97="","",Cadastro!$M97)</f>
        <v/>
      </c>
      <c r="B97" s="19" t="str">
        <f>IF(Cadastro!$H97="","",Cadastro!$H97)</f>
        <v/>
      </c>
      <c r="C97" s="21" t="str">
        <f>IF(Cadastro!$B97="","",Cadastro!$B97)</f>
        <v/>
      </c>
      <c r="D97" s="21" t="str">
        <f>IF(Cadastro!$C97="","",Cadastro!$C97)</f>
        <v/>
      </c>
      <c r="E97" s="19" t="str">
        <f t="shared" si="14"/>
        <v/>
      </c>
      <c r="F97" s="19" t="str">
        <f>IF(Cadastro!$N97="","",Cadastro!$N97)</f>
        <v/>
      </c>
      <c r="G97" s="24">
        <f>N(Cadastro!$O97)</f>
        <v>0</v>
      </c>
      <c r="H97" s="24">
        <f>N(Cadastro!$P97)</f>
        <v>0</v>
      </c>
      <c r="I97" s="23">
        <f>N(Cadastro!$Q97)</f>
        <v>0</v>
      </c>
      <c r="J97" s="21" t="str">
        <f t="shared" si="15"/>
        <v/>
      </c>
      <c r="K97" s="21" t="str">
        <f t="shared" si="16"/>
        <v/>
      </c>
      <c r="L97" s="24" t="str">
        <f t="shared" si="17"/>
        <v/>
      </c>
      <c r="M97" s="21" t="str">
        <f t="shared" si="18"/>
        <v/>
      </c>
      <c r="N97" s="21" t="str">
        <f t="shared" si="19"/>
        <v/>
      </c>
      <c r="O97" s="19" t="str">
        <f t="shared" si="20"/>
        <v/>
      </c>
    </row>
    <row r="98" spans="1:15" x14ac:dyDescent="0.3">
      <c r="A98" s="19" t="str">
        <f>IF(Cadastro!$M98="","",Cadastro!$M98)</f>
        <v/>
      </c>
      <c r="B98" s="19" t="str">
        <f>IF(Cadastro!$H98="","",Cadastro!$H98)</f>
        <v/>
      </c>
      <c r="C98" s="21" t="str">
        <f>IF(Cadastro!$B98="","",Cadastro!$B98)</f>
        <v/>
      </c>
      <c r="D98" s="21" t="str">
        <f>IF(Cadastro!$C98="","",Cadastro!$C98)</f>
        <v/>
      </c>
      <c r="E98" s="19" t="str">
        <f t="shared" si="14"/>
        <v/>
      </c>
      <c r="F98" s="19" t="str">
        <f>IF(Cadastro!$N98="","",Cadastro!$N98)</f>
        <v/>
      </c>
      <c r="G98" s="24">
        <f>N(Cadastro!$O98)</f>
        <v>0</v>
      </c>
      <c r="H98" s="24">
        <f>N(Cadastro!$P98)</f>
        <v>0</v>
      </c>
      <c r="I98" s="23">
        <f>N(Cadastro!$Q98)</f>
        <v>0</v>
      </c>
      <c r="J98" s="21" t="str">
        <f t="shared" si="15"/>
        <v/>
      </c>
      <c r="K98" s="21" t="str">
        <f t="shared" si="16"/>
        <v/>
      </c>
      <c r="L98" s="24" t="str">
        <f t="shared" si="17"/>
        <v/>
      </c>
      <c r="M98" s="21" t="str">
        <f t="shared" si="18"/>
        <v/>
      </c>
      <c r="N98" s="21" t="str">
        <f t="shared" si="19"/>
        <v/>
      </c>
      <c r="O98" s="19" t="str">
        <f t="shared" si="20"/>
        <v/>
      </c>
    </row>
    <row r="99" spans="1:15" x14ac:dyDescent="0.3">
      <c r="A99" s="19" t="str">
        <f>IF(Cadastro!$M99="","",Cadastro!$M99)</f>
        <v/>
      </c>
      <c r="B99" s="19" t="str">
        <f>IF(Cadastro!$H99="","",Cadastro!$H99)</f>
        <v/>
      </c>
      <c r="C99" s="21" t="str">
        <f>IF(Cadastro!$B99="","",Cadastro!$B99)</f>
        <v/>
      </c>
      <c r="D99" s="21" t="str">
        <f>IF(Cadastro!$C99="","",Cadastro!$C99)</f>
        <v/>
      </c>
      <c r="E99" s="19" t="str">
        <f t="shared" si="14"/>
        <v/>
      </c>
      <c r="F99" s="19" t="str">
        <f>IF(Cadastro!$N99="","",Cadastro!$N99)</f>
        <v/>
      </c>
      <c r="G99" s="24">
        <f>N(Cadastro!$O99)</f>
        <v>0</v>
      </c>
      <c r="H99" s="24">
        <f>N(Cadastro!$P99)</f>
        <v>0</v>
      </c>
      <c r="I99" s="23">
        <f>N(Cadastro!$Q99)</f>
        <v>0</v>
      </c>
      <c r="J99" s="21" t="str">
        <f t="shared" si="15"/>
        <v/>
      </c>
      <c r="K99" s="21" t="str">
        <f t="shared" si="16"/>
        <v/>
      </c>
      <c r="L99" s="24" t="str">
        <f t="shared" si="17"/>
        <v/>
      </c>
      <c r="M99" s="21" t="str">
        <f t="shared" si="18"/>
        <v/>
      </c>
      <c r="N99" s="21" t="str">
        <f t="shared" si="19"/>
        <v/>
      </c>
      <c r="O99" s="19" t="str">
        <f t="shared" si="20"/>
        <v/>
      </c>
    </row>
    <row r="100" spans="1:15" x14ac:dyDescent="0.3">
      <c r="A100" s="19" t="str">
        <f>IF(Cadastro!$M100="","",Cadastro!$M100)</f>
        <v/>
      </c>
      <c r="B100" s="19" t="str">
        <f>IF(Cadastro!$H100="","",Cadastro!$H100)</f>
        <v/>
      </c>
      <c r="C100" s="21" t="str">
        <f>IF(Cadastro!$B100="","",Cadastro!$B100)</f>
        <v/>
      </c>
      <c r="D100" s="21" t="str">
        <f>IF(Cadastro!$C100="","",Cadastro!$C100)</f>
        <v/>
      </c>
      <c r="E100" s="19" t="str">
        <f t="shared" si="14"/>
        <v/>
      </c>
      <c r="F100" s="19" t="str">
        <f>IF(Cadastro!$N100="","",Cadastro!$N100)</f>
        <v/>
      </c>
      <c r="G100" s="24">
        <f>N(Cadastro!$O100)</f>
        <v>0</v>
      </c>
      <c r="H100" s="24">
        <f>N(Cadastro!$P100)</f>
        <v>0</v>
      </c>
      <c r="I100" s="23">
        <f>N(Cadastro!$Q100)</f>
        <v>0</v>
      </c>
      <c r="J100" s="21" t="str">
        <f t="shared" si="15"/>
        <v/>
      </c>
      <c r="K100" s="21" t="str">
        <f t="shared" si="16"/>
        <v/>
      </c>
      <c r="L100" s="24" t="str">
        <f t="shared" si="17"/>
        <v/>
      </c>
      <c r="M100" s="21" t="str">
        <f t="shared" si="18"/>
        <v/>
      </c>
      <c r="N100" s="21" t="str">
        <f t="shared" si="19"/>
        <v/>
      </c>
      <c r="O100" s="19" t="str">
        <f t="shared" si="20"/>
        <v/>
      </c>
    </row>
    <row r="101" spans="1:15" x14ac:dyDescent="0.3">
      <c r="A101" s="19" t="str">
        <f>IF(Cadastro!$M101="","",Cadastro!$M101)</f>
        <v/>
      </c>
      <c r="B101" s="19" t="str">
        <f>IF(Cadastro!$H101="","",Cadastro!$H101)</f>
        <v/>
      </c>
      <c r="C101" s="21" t="str">
        <f>IF(Cadastro!$B101="","",Cadastro!$B101)</f>
        <v/>
      </c>
      <c r="D101" s="21" t="str">
        <f>IF(Cadastro!$C101="","",Cadastro!$C101)</f>
        <v/>
      </c>
      <c r="E101" s="19" t="str">
        <f t="shared" ref="E101:E132" si="21">IF($D101="","",IFERROR(INDEX(Prod_Desc,MATCH($D101,Prod_Cod,0)),"PRODUTO NÃO CADASTRADO"))</f>
        <v/>
      </c>
      <c r="F101" s="19" t="str">
        <f>IF(Cadastro!$N101="","",Cadastro!$N101)</f>
        <v/>
      </c>
      <c r="G101" s="24">
        <f>N(Cadastro!$O101)</f>
        <v>0</v>
      </c>
      <c r="H101" s="24">
        <f>N(Cadastro!$P101)</f>
        <v>0</v>
      </c>
      <c r="I101" s="23">
        <f>N(Cadastro!$Q101)</f>
        <v>0</v>
      </c>
      <c r="J101" s="21" t="str">
        <f t="shared" ref="J101:J132" si="22">IF($A101="","",SUMIFS(Ent_Qtd,Ent_OC,$A101,Ent_Cham,$C101,Ent_Prod,$D101))</f>
        <v/>
      </c>
      <c r="K101" s="21" t="str">
        <f t="shared" ref="K101:K132" si="23">IF($A101="","",N($I101)-N($J101))</f>
        <v/>
      </c>
      <c r="L101" s="24" t="str">
        <f t="shared" ref="L101:L132" si="24">IF($A101="","",IF(SUMPRODUCT(MAX((Ent_OC=$A101)*(Ent_Cham=$C101)*(Ent_Prod=$D101)*N(Ent_Data)))=0,"",SUMPRODUCT(MAX((Ent_OC=$A101)*(Ent_Cham=$C101)*(Ent_Prod=$D101)*N(Ent_Data)))))</f>
        <v/>
      </c>
      <c r="M101" s="21" t="str">
        <f t="shared" ref="M101:M132" si="25">IF(OR($A101="",N($G101)=0),"",IF(AND($K101&lt;=0,$L101&lt;&gt;""),MAX($L101-$G101,0),MAX(DataRef-$G101,0)))</f>
        <v/>
      </c>
      <c r="N101" s="21" t="str">
        <f t="shared" ref="N101:N132" si="26">IF($A101="","",IF(N($H101)=0,IFERROR(INDEX(Etapa_SLA,MATCH("ENTREGA DO MATERIAL",Lista_Etapas,0)),35),MAX($H101-$G101,0)))</f>
        <v/>
      </c>
      <c r="O101" s="19" t="str">
        <f t="shared" ref="O101:O132" si="27">IF($A101="","",IF($K101&lt;0,"RECEBIMENTO ACIMA DA OC",IF($K101=0,IF($M101&lt;=$N101,"CONCLUÍDA NO PRAZO","CONCLUÍDA COM ATRASO"),IF($M101&gt;$N101,"ENTREGA EM ATRASO",IF($J101=0,"AGUARDANDO ENTREGA","ENTREGA PARCIAL")))))</f>
        <v/>
      </c>
    </row>
    <row r="102" spans="1:15" x14ac:dyDescent="0.3">
      <c r="A102" s="19" t="str">
        <f>IF(Cadastro!$M102="","",Cadastro!$M102)</f>
        <v/>
      </c>
      <c r="B102" s="19" t="str">
        <f>IF(Cadastro!$H102="","",Cadastro!$H102)</f>
        <v/>
      </c>
      <c r="C102" s="21" t="str">
        <f>IF(Cadastro!$B102="","",Cadastro!$B102)</f>
        <v/>
      </c>
      <c r="D102" s="21" t="str">
        <f>IF(Cadastro!$C102="","",Cadastro!$C102)</f>
        <v/>
      </c>
      <c r="E102" s="19" t="str">
        <f t="shared" si="21"/>
        <v/>
      </c>
      <c r="F102" s="19" t="str">
        <f>IF(Cadastro!$N102="","",Cadastro!$N102)</f>
        <v/>
      </c>
      <c r="G102" s="24">
        <f>N(Cadastro!$O102)</f>
        <v>0</v>
      </c>
      <c r="H102" s="24">
        <f>N(Cadastro!$P102)</f>
        <v>0</v>
      </c>
      <c r="I102" s="23">
        <f>N(Cadastro!$Q102)</f>
        <v>0</v>
      </c>
      <c r="J102" s="21" t="str">
        <f t="shared" si="22"/>
        <v/>
      </c>
      <c r="K102" s="21" t="str">
        <f t="shared" si="23"/>
        <v/>
      </c>
      <c r="L102" s="24" t="str">
        <f t="shared" si="24"/>
        <v/>
      </c>
      <c r="M102" s="21" t="str">
        <f t="shared" si="25"/>
        <v/>
      </c>
      <c r="N102" s="21" t="str">
        <f t="shared" si="26"/>
        <v/>
      </c>
      <c r="O102" s="19" t="str">
        <f t="shared" si="27"/>
        <v/>
      </c>
    </row>
    <row r="103" spans="1:15" x14ac:dyDescent="0.3">
      <c r="A103" s="19" t="str">
        <f>IF(Cadastro!$M103="","",Cadastro!$M103)</f>
        <v/>
      </c>
      <c r="B103" s="19" t="str">
        <f>IF(Cadastro!$H103="","",Cadastro!$H103)</f>
        <v/>
      </c>
      <c r="C103" s="21" t="str">
        <f>IF(Cadastro!$B103="","",Cadastro!$B103)</f>
        <v/>
      </c>
      <c r="D103" s="21" t="str">
        <f>IF(Cadastro!$C103="","",Cadastro!$C103)</f>
        <v/>
      </c>
      <c r="E103" s="19" t="str">
        <f t="shared" si="21"/>
        <v/>
      </c>
      <c r="F103" s="19" t="str">
        <f>IF(Cadastro!$N103="","",Cadastro!$N103)</f>
        <v/>
      </c>
      <c r="G103" s="24">
        <f>N(Cadastro!$O103)</f>
        <v>0</v>
      </c>
      <c r="H103" s="24">
        <f>N(Cadastro!$P103)</f>
        <v>0</v>
      </c>
      <c r="I103" s="23">
        <f>N(Cadastro!$Q103)</f>
        <v>0</v>
      </c>
      <c r="J103" s="21" t="str">
        <f t="shared" si="22"/>
        <v/>
      </c>
      <c r="K103" s="21" t="str">
        <f t="shared" si="23"/>
        <v/>
      </c>
      <c r="L103" s="24" t="str">
        <f t="shared" si="24"/>
        <v/>
      </c>
      <c r="M103" s="21" t="str">
        <f t="shared" si="25"/>
        <v/>
      </c>
      <c r="N103" s="21" t="str">
        <f t="shared" si="26"/>
        <v/>
      </c>
      <c r="O103" s="19" t="str">
        <f t="shared" si="27"/>
        <v/>
      </c>
    </row>
    <row r="104" spans="1:15" x14ac:dyDescent="0.3">
      <c r="A104" s="19" t="str">
        <f>IF(Cadastro!$M104="","",Cadastro!$M104)</f>
        <v/>
      </c>
      <c r="B104" s="19" t="str">
        <f>IF(Cadastro!$H104="","",Cadastro!$H104)</f>
        <v/>
      </c>
      <c r="C104" s="21" t="str">
        <f>IF(Cadastro!$B104="","",Cadastro!$B104)</f>
        <v/>
      </c>
      <c r="D104" s="21" t="str">
        <f>IF(Cadastro!$C104="","",Cadastro!$C104)</f>
        <v/>
      </c>
      <c r="E104" s="19" t="str">
        <f t="shared" si="21"/>
        <v/>
      </c>
      <c r="F104" s="19" t="str">
        <f>IF(Cadastro!$N104="","",Cadastro!$N104)</f>
        <v/>
      </c>
      <c r="G104" s="24">
        <f>N(Cadastro!$O104)</f>
        <v>0</v>
      </c>
      <c r="H104" s="24">
        <f>N(Cadastro!$P104)</f>
        <v>0</v>
      </c>
      <c r="I104" s="23">
        <f>N(Cadastro!$Q104)</f>
        <v>0</v>
      </c>
      <c r="J104" s="21" t="str">
        <f t="shared" si="22"/>
        <v/>
      </c>
      <c r="K104" s="21" t="str">
        <f t="shared" si="23"/>
        <v/>
      </c>
      <c r="L104" s="24" t="str">
        <f t="shared" si="24"/>
        <v/>
      </c>
      <c r="M104" s="21" t="str">
        <f t="shared" si="25"/>
        <v/>
      </c>
      <c r="N104" s="21" t="str">
        <f t="shared" si="26"/>
        <v/>
      </c>
      <c r="O104" s="19" t="str">
        <f t="shared" si="27"/>
        <v/>
      </c>
    </row>
    <row r="105" spans="1:15" x14ac:dyDescent="0.3">
      <c r="A105" s="19" t="str">
        <f>IF(Cadastro!$M105="","",Cadastro!$M105)</f>
        <v/>
      </c>
      <c r="B105" s="19" t="str">
        <f>IF(Cadastro!$H105="","",Cadastro!$H105)</f>
        <v/>
      </c>
      <c r="C105" s="21" t="str">
        <f>IF(Cadastro!$B105="","",Cadastro!$B105)</f>
        <v/>
      </c>
      <c r="D105" s="21" t="str">
        <f>IF(Cadastro!$C105="","",Cadastro!$C105)</f>
        <v/>
      </c>
      <c r="E105" s="19" t="str">
        <f t="shared" si="21"/>
        <v/>
      </c>
      <c r="F105" s="19" t="str">
        <f>IF(Cadastro!$N105="","",Cadastro!$N105)</f>
        <v/>
      </c>
      <c r="G105" s="24">
        <f>N(Cadastro!$O105)</f>
        <v>0</v>
      </c>
      <c r="H105" s="24">
        <f>N(Cadastro!$P105)</f>
        <v>0</v>
      </c>
      <c r="I105" s="23">
        <f>N(Cadastro!$Q105)</f>
        <v>0</v>
      </c>
      <c r="J105" s="21" t="str">
        <f t="shared" si="22"/>
        <v/>
      </c>
      <c r="K105" s="21" t="str">
        <f t="shared" si="23"/>
        <v/>
      </c>
      <c r="L105" s="24" t="str">
        <f t="shared" si="24"/>
        <v/>
      </c>
      <c r="M105" s="21" t="str">
        <f t="shared" si="25"/>
        <v/>
      </c>
      <c r="N105" s="21" t="str">
        <f t="shared" si="26"/>
        <v/>
      </c>
      <c r="O105" s="19" t="str">
        <f t="shared" si="27"/>
        <v/>
      </c>
    </row>
    <row r="106" spans="1:15" x14ac:dyDescent="0.3">
      <c r="A106" s="19" t="str">
        <f>IF(Cadastro!$M106="","",Cadastro!$M106)</f>
        <v/>
      </c>
      <c r="B106" s="19" t="str">
        <f>IF(Cadastro!$H106="","",Cadastro!$H106)</f>
        <v/>
      </c>
      <c r="C106" s="21" t="str">
        <f>IF(Cadastro!$B106="","",Cadastro!$B106)</f>
        <v/>
      </c>
      <c r="D106" s="21" t="str">
        <f>IF(Cadastro!$C106="","",Cadastro!$C106)</f>
        <v/>
      </c>
      <c r="E106" s="19" t="str">
        <f t="shared" si="21"/>
        <v/>
      </c>
      <c r="F106" s="19" t="str">
        <f>IF(Cadastro!$N106="","",Cadastro!$N106)</f>
        <v/>
      </c>
      <c r="G106" s="24">
        <f>N(Cadastro!$O106)</f>
        <v>0</v>
      </c>
      <c r="H106" s="24">
        <f>N(Cadastro!$P106)</f>
        <v>0</v>
      </c>
      <c r="I106" s="23">
        <f>N(Cadastro!$Q106)</f>
        <v>0</v>
      </c>
      <c r="J106" s="21" t="str">
        <f t="shared" si="22"/>
        <v/>
      </c>
      <c r="K106" s="21" t="str">
        <f t="shared" si="23"/>
        <v/>
      </c>
      <c r="L106" s="24" t="str">
        <f t="shared" si="24"/>
        <v/>
      </c>
      <c r="M106" s="21" t="str">
        <f t="shared" si="25"/>
        <v/>
      </c>
      <c r="N106" s="21" t="str">
        <f t="shared" si="26"/>
        <v/>
      </c>
      <c r="O106" s="19" t="str">
        <f t="shared" si="27"/>
        <v/>
      </c>
    </row>
    <row r="107" spans="1:15" x14ac:dyDescent="0.3">
      <c r="A107" s="19" t="str">
        <f>IF(Cadastro!$M107="","",Cadastro!$M107)</f>
        <v/>
      </c>
      <c r="B107" s="19" t="str">
        <f>IF(Cadastro!$H107="","",Cadastro!$H107)</f>
        <v/>
      </c>
      <c r="C107" s="21" t="str">
        <f>IF(Cadastro!$B107="","",Cadastro!$B107)</f>
        <v/>
      </c>
      <c r="D107" s="21" t="str">
        <f>IF(Cadastro!$C107="","",Cadastro!$C107)</f>
        <v/>
      </c>
      <c r="E107" s="19" t="str">
        <f t="shared" si="21"/>
        <v/>
      </c>
      <c r="F107" s="19" t="str">
        <f>IF(Cadastro!$N107="","",Cadastro!$N107)</f>
        <v/>
      </c>
      <c r="G107" s="24">
        <f>N(Cadastro!$O107)</f>
        <v>0</v>
      </c>
      <c r="H107" s="24">
        <f>N(Cadastro!$P107)</f>
        <v>0</v>
      </c>
      <c r="I107" s="23">
        <f>N(Cadastro!$Q107)</f>
        <v>0</v>
      </c>
      <c r="J107" s="21" t="str">
        <f t="shared" si="22"/>
        <v/>
      </c>
      <c r="K107" s="21" t="str">
        <f t="shared" si="23"/>
        <v/>
      </c>
      <c r="L107" s="24" t="str">
        <f t="shared" si="24"/>
        <v/>
      </c>
      <c r="M107" s="21" t="str">
        <f t="shared" si="25"/>
        <v/>
      </c>
      <c r="N107" s="21" t="str">
        <f t="shared" si="26"/>
        <v/>
      </c>
      <c r="O107" s="19" t="str">
        <f t="shared" si="27"/>
        <v/>
      </c>
    </row>
    <row r="108" spans="1:15" x14ac:dyDescent="0.3">
      <c r="A108" s="19" t="str">
        <f>IF(Cadastro!$M108="","",Cadastro!$M108)</f>
        <v/>
      </c>
      <c r="B108" s="19" t="str">
        <f>IF(Cadastro!$H108="","",Cadastro!$H108)</f>
        <v/>
      </c>
      <c r="C108" s="21" t="str">
        <f>IF(Cadastro!$B108="","",Cadastro!$B108)</f>
        <v/>
      </c>
      <c r="D108" s="21" t="str">
        <f>IF(Cadastro!$C108="","",Cadastro!$C108)</f>
        <v/>
      </c>
      <c r="E108" s="19" t="str">
        <f t="shared" si="21"/>
        <v/>
      </c>
      <c r="F108" s="19" t="str">
        <f>IF(Cadastro!$N108="","",Cadastro!$N108)</f>
        <v/>
      </c>
      <c r="G108" s="24">
        <f>N(Cadastro!$O108)</f>
        <v>0</v>
      </c>
      <c r="H108" s="24">
        <f>N(Cadastro!$P108)</f>
        <v>0</v>
      </c>
      <c r="I108" s="23">
        <f>N(Cadastro!$Q108)</f>
        <v>0</v>
      </c>
      <c r="J108" s="21" t="str">
        <f t="shared" si="22"/>
        <v/>
      </c>
      <c r="K108" s="21" t="str">
        <f t="shared" si="23"/>
        <v/>
      </c>
      <c r="L108" s="24" t="str">
        <f t="shared" si="24"/>
        <v/>
      </c>
      <c r="M108" s="21" t="str">
        <f t="shared" si="25"/>
        <v/>
      </c>
      <c r="N108" s="21" t="str">
        <f t="shared" si="26"/>
        <v/>
      </c>
      <c r="O108" s="19" t="str">
        <f t="shared" si="27"/>
        <v/>
      </c>
    </row>
    <row r="109" spans="1:15" x14ac:dyDescent="0.3">
      <c r="A109" s="19" t="str">
        <f>IF(Cadastro!$M109="","",Cadastro!$M109)</f>
        <v/>
      </c>
      <c r="B109" s="19" t="str">
        <f>IF(Cadastro!$H109="","",Cadastro!$H109)</f>
        <v/>
      </c>
      <c r="C109" s="21" t="str">
        <f>IF(Cadastro!$B109="","",Cadastro!$B109)</f>
        <v/>
      </c>
      <c r="D109" s="21" t="str">
        <f>IF(Cadastro!$C109="","",Cadastro!$C109)</f>
        <v/>
      </c>
      <c r="E109" s="19" t="str">
        <f t="shared" si="21"/>
        <v/>
      </c>
      <c r="F109" s="19" t="str">
        <f>IF(Cadastro!$N109="","",Cadastro!$N109)</f>
        <v/>
      </c>
      <c r="G109" s="24">
        <f>N(Cadastro!$O109)</f>
        <v>0</v>
      </c>
      <c r="H109" s="24">
        <f>N(Cadastro!$P109)</f>
        <v>0</v>
      </c>
      <c r="I109" s="23">
        <f>N(Cadastro!$Q109)</f>
        <v>0</v>
      </c>
      <c r="J109" s="21" t="str">
        <f t="shared" si="22"/>
        <v/>
      </c>
      <c r="K109" s="21" t="str">
        <f t="shared" si="23"/>
        <v/>
      </c>
      <c r="L109" s="24" t="str">
        <f t="shared" si="24"/>
        <v/>
      </c>
      <c r="M109" s="21" t="str">
        <f t="shared" si="25"/>
        <v/>
      </c>
      <c r="N109" s="21" t="str">
        <f t="shared" si="26"/>
        <v/>
      </c>
      <c r="O109" s="19" t="str">
        <f t="shared" si="27"/>
        <v/>
      </c>
    </row>
    <row r="110" spans="1:15" x14ac:dyDescent="0.3">
      <c r="A110" s="19" t="str">
        <f>IF(Cadastro!$M110="","",Cadastro!$M110)</f>
        <v/>
      </c>
      <c r="B110" s="19" t="str">
        <f>IF(Cadastro!$H110="","",Cadastro!$H110)</f>
        <v/>
      </c>
      <c r="C110" s="21" t="str">
        <f>IF(Cadastro!$B110="","",Cadastro!$B110)</f>
        <v/>
      </c>
      <c r="D110" s="21" t="str">
        <f>IF(Cadastro!$C110="","",Cadastro!$C110)</f>
        <v/>
      </c>
      <c r="E110" s="19" t="str">
        <f t="shared" si="21"/>
        <v/>
      </c>
      <c r="F110" s="19" t="str">
        <f>IF(Cadastro!$N110="","",Cadastro!$N110)</f>
        <v/>
      </c>
      <c r="G110" s="24">
        <f>N(Cadastro!$O110)</f>
        <v>0</v>
      </c>
      <c r="H110" s="24">
        <f>N(Cadastro!$P110)</f>
        <v>0</v>
      </c>
      <c r="I110" s="23">
        <f>N(Cadastro!$Q110)</f>
        <v>0</v>
      </c>
      <c r="J110" s="21" t="str">
        <f t="shared" si="22"/>
        <v/>
      </c>
      <c r="K110" s="21" t="str">
        <f t="shared" si="23"/>
        <v/>
      </c>
      <c r="L110" s="24" t="str">
        <f t="shared" si="24"/>
        <v/>
      </c>
      <c r="M110" s="21" t="str">
        <f t="shared" si="25"/>
        <v/>
      </c>
      <c r="N110" s="21" t="str">
        <f t="shared" si="26"/>
        <v/>
      </c>
      <c r="O110" s="19" t="str">
        <f t="shared" si="27"/>
        <v/>
      </c>
    </row>
    <row r="111" spans="1:15" x14ac:dyDescent="0.3">
      <c r="A111" s="19" t="str">
        <f>IF(Cadastro!$M111="","",Cadastro!$M111)</f>
        <v/>
      </c>
      <c r="B111" s="19" t="str">
        <f>IF(Cadastro!$H111="","",Cadastro!$H111)</f>
        <v/>
      </c>
      <c r="C111" s="21" t="str">
        <f>IF(Cadastro!$B111="","",Cadastro!$B111)</f>
        <v/>
      </c>
      <c r="D111" s="21" t="str">
        <f>IF(Cadastro!$C111="","",Cadastro!$C111)</f>
        <v/>
      </c>
      <c r="E111" s="19" t="str">
        <f t="shared" si="21"/>
        <v/>
      </c>
      <c r="F111" s="19" t="str">
        <f>IF(Cadastro!$N111="","",Cadastro!$N111)</f>
        <v/>
      </c>
      <c r="G111" s="24">
        <f>N(Cadastro!$O111)</f>
        <v>0</v>
      </c>
      <c r="H111" s="24">
        <f>N(Cadastro!$P111)</f>
        <v>0</v>
      </c>
      <c r="I111" s="23">
        <f>N(Cadastro!$Q111)</f>
        <v>0</v>
      </c>
      <c r="J111" s="21" t="str">
        <f t="shared" si="22"/>
        <v/>
      </c>
      <c r="K111" s="21" t="str">
        <f t="shared" si="23"/>
        <v/>
      </c>
      <c r="L111" s="24" t="str">
        <f t="shared" si="24"/>
        <v/>
      </c>
      <c r="M111" s="21" t="str">
        <f t="shared" si="25"/>
        <v/>
      </c>
      <c r="N111" s="21" t="str">
        <f t="shared" si="26"/>
        <v/>
      </c>
      <c r="O111" s="19" t="str">
        <f t="shared" si="27"/>
        <v/>
      </c>
    </row>
    <row r="112" spans="1:15" x14ac:dyDescent="0.3">
      <c r="A112" s="19" t="str">
        <f>IF(Cadastro!$M112="","",Cadastro!$M112)</f>
        <v/>
      </c>
      <c r="B112" s="19" t="str">
        <f>IF(Cadastro!$H112="","",Cadastro!$H112)</f>
        <v/>
      </c>
      <c r="C112" s="21" t="str">
        <f>IF(Cadastro!$B112="","",Cadastro!$B112)</f>
        <v/>
      </c>
      <c r="D112" s="21" t="str">
        <f>IF(Cadastro!$C112="","",Cadastro!$C112)</f>
        <v/>
      </c>
      <c r="E112" s="19" t="str">
        <f t="shared" si="21"/>
        <v/>
      </c>
      <c r="F112" s="19" t="str">
        <f>IF(Cadastro!$N112="","",Cadastro!$N112)</f>
        <v/>
      </c>
      <c r="G112" s="24">
        <f>N(Cadastro!$O112)</f>
        <v>0</v>
      </c>
      <c r="H112" s="24">
        <f>N(Cadastro!$P112)</f>
        <v>0</v>
      </c>
      <c r="I112" s="23">
        <f>N(Cadastro!$Q112)</f>
        <v>0</v>
      </c>
      <c r="J112" s="21" t="str">
        <f t="shared" si="22"/>
        <v/>
      </c>
      <c r="K112" s="21" t="str">
        <f t="shared" si="23"/>
        <v/>
      </c>
      <c r="L112" s="24" t="str">
        <f t="shared" si="24"/>
        <v/>
      </c>
      <c r="M112" s="21" t="str">
        <f t="shared" si="25"/>
        <v/>
      </c>
      <c r="N112" s="21" t="str">
        <f t="shared" si="26"/>
        <v/>
      </c>
      <c r="O112" s="19" t="str">
        <f t="shared" si="27"/>
        <v/>
      </c>
    </row>
    <row r="113" spans="1:15" x14ac:dyDescent="0.3">
      <c r="A113" s="19" t="str">
        <f>IF(Cadastro!$M113="","",Cadastro!$M113)</f>
        <v/>
      </c>
      <c r="B113" s="19" t="str">
        <f>IF(Cadastro!$H113="","",Cadastro!$H113)</f>
        <v/>
      </c>
      <c r="C113" s="21" t="str">
        <f>IF(Cadastro!$B113="","",Cadastro!$B113)</f>
        <v/>
      </c>
      <c r="D113" s="21" t="str">
        <f>IF(Cadastro!$C113="","",Cadastro!$C113)</f>
        <v/>
      </c>
      <c r="E113" s="19" t="str">
        <f t="shared" si="21"/>
        <v/>
      </c>
      <c r="F113" s="19" t="str">
        <f>IF(Cadastro!$N113="","",Cadastro!$N113)</f>
        <v/>
      </c>
      <c r="G113" s="24">
        <f>N(Cadastro!$O113)</f>
        <v>0</v>
      </c>
      <c r="H113" s="24">
        <f>N(Cadastro!$P113)</f>
        <v>0</v>
      </c>
      <c r="I113" s="23">
        <f>N(Cadastro!$Q113)</f>
        <v>0</v>
      </c>
      <c r="J113" s="21" t="str">
        <f t="shared" si="22"/>
        <v/>
      </c>
      <c r="K113" s="21" t="str">
        <f t="shared" si="23"/>
        <v/>
      </c>
      <c r="L113" s="24" t="str">
        <f t="shared" si="24"/>
        <v/>
      </c>
      <c r="M113" s="21" t="str">
        <f t="shared" si="25"/>
        <v/>
      </c>
      <c r="N113" s="21" t="str">
        <f t="shared" si="26"/>
        <v/>
      </c>
      <c r="O113" s="19" t="str">
        <f t="shared" si="27"/>
        <v/>
      </c>
    </row>
    <row r="114" spans="1:15" x14ac:dyDescent="0.3">
      <c r="A114" s="19" t="str">
        <f>IF(Cadastro!$M114="","",Cadastro!$M114)</f>
        <v/>
      </c>
      <c r="B114" s="19" t="str">
        <f>IF(Cadastro!$H114="","",Cadastro!$H114)</f>
        <v/>
      </c>
      <c r="C114" s="21" t="str">
        <f>IF(Cadastro!$B114="","",Cadastro!$B114)</f>
        <v/>
      </c>
      <c r="D114" s="21" t="str">
        <f>IF(Cadastro!$C114="","",Cadastro!$C114)</f>
        <v/>
      </c>
      <c r="E114" s="19" t="str">
        <f t="shared" si="21"/>
        <v/>
      </c>
      <c r="F114" s="19" t="str">
        <f>IF(Cadastro!$N114="","",Cadastro!$N114)</f>
        <v/>
      </c>
      <c r="G114" s="24">
        <f>N(Cadastro!$O114)</f>
        <v>0</v>
      </c>
      <c r="H114" s="24">
        <f>N(Cadastro!$P114)</f>
        <v>0</v>
      </c>
      <c r="I114" s="23">
        <f>N(Cadastro!$Q114)</f>
        <v>0</v>
      </c>
      <c r="J114" s="21" t="str">
        <f t="shared" si="22"/>
        <v/>
      </c>
      <c r="K114" s="21" t="str">
        <f t="shared" si="23"/>
        <v/>
      </c>
      <c r="L114" s="24" t="str">
        <f t="shared" si="24"/>
        <v/>
      </c>
      <c r="M114" s="21" t="str">
        <f t="shared" si="25"/>
        <v/>
      </c>
      <c r="N114" s="21" t="str">
        <f t="shared" si="26"/>
        <v/>
      </c>
      <c r="O114" s="19" t="str">
        <f t="shared" si="27"/>
        <v/>
      </c>
    </row>
    <row r="115" spans="1:15" x14ac:dyDescent="0.3">
      <c r="A115" s="19" t="str">
        <f>IF(Cadastro!$M115="","",Cadastro!$M115)</f>
        <v/>
      </c>
      <c r="B115" s="19" t="str">
        <f>IF(Cadastro!$H115="","",Cadastro!$H115)</f>
        <v/>
      </c>
      <c r="C115" s="21" t="str">
        <f>IF(Cadastro!$B115="","",Cadastro!$B115)</f>
        <v/>
      </c>
      <c r="D115" s="21" t="str">
        <f>IF(Cadastro!$C115="","",Cadastro!$C115)</f>
        <v/>
      </c>
      <c r="E115" s="19" t="str">
        <f t="shared" si="21"/>
        <v/>
      </c>
      <c r="F115" s="19" t="str">
        <f>IF(Cadastro!$N115="","",Cadastro!$N115)</f>
        <v/>
      </c>
      <c r="G115" s="24">
        <f>N(Cadastro!$O115)</f>
        <v>0</v>
      </c>
      <c r="H115" s="24">
        <f>N(Cadastro!$P115)</f>
        <v>0</v>
      </c>
      <c r="I115" s="23">
        <f>N(Cadastro!$Q115)</f>
        <v>0</v>
      </c>
      <c r="J115" s="21" t="str">
        <f t="shared" si="22"/>
        <v/>
      </c>
      <c r="K115" s="21" t="str">
        <f t="shared" si="23"/>
        <v/>
      </c>
      <c r="L115" s="24" t="str">
        <f t="shared" si="24"/>
        <v/>
      </c>
      <c r="M115" s="21" t="str">
        <f t="shared" si="25"/>
        <v/>
      </c>
      <c r="N115" s="21" t="str">
        <f t="shared" si="26"/>
        <v/>
      </c>
      <c r="O115" s="19" t="str">
        <f t="shared" si="27"/>
        <v/>
      </c>
    </row>
    <row r="116" spans="1:15" x14ac:dyDescent="0.3">
      <c r="A116" s="19" t="str">
        <f>IF(Cadastro!$M116="","",Cadastro!$M116)</f>
        <v/>
      </c>
      <c r="B116" s="19" t="str">
        <f>IF(Cadastro!$H116="","",Cadastro!$H116)</f>
        <v/>
      </c>
      <c r="C116" s="21" t="str">
        <f>IF(Cadastro!$B116="","",Cadastro!$B116)</f>
        <v/>
      </c>
      <c r="D116" s="21" t="str">
        <f>IF(Cadastro!$C116="","",Cadastro!$C116)</f>
        <v/>
      </c>
      <c r="E116" s="19" t="str">
        <f t="shared" si="21"/>
        <v/>
      </c>
      <c r="F116" s="19" t="str">
        <f>IF(Cadastro!$N116="","",Cadastro!$N116)</f>
        <v/>
      </c>
      <c r="G116" s="24">
        <f>N(Cadastro!$O116)</f>
        <v>0</v>
      </c>
      <c r="H116" s="24">
        <f>N(Cadastro!$P116)</f>
        <v>0</v>
      </c>
      <c r="I116" s="23">
        <f>N(Cadastro!$Q116)</f>
        <v>0</v>
      </c>
      <c r="J116" s="21" t="str">
        <f t="shared" si="22"/>
        <v/>
      </c>
      <c r="K116" s="21" t="str">
        <f t="shared" si="23"/>
        <v/>
      </c>
      <c r="L116" s="24" t="str">
        <f t="shared" si="24"/>
        <v/>
      </c>
      <c r="M116" s="21" t="str">
        <f t="shared" si="25"/>
        <v/>
      </c>
      <c r="N116" s="21" t="str">
        <f t="shared" si="26"/>
        <v/>
      </c>
      <c r="O116" s="19" t="str">
        <f t="shared" si="27"/>
        <v/>
      </c>
    </row>
    <row r="117" spans="1:15" x14ac:dyDescent="0.3">
      <c r="A117" s="19" t="str">
        <f>IF(Cadastro!$M117="","",Cadastro!$M117)</f>
        <v/>
      </c>
      <c r="B117" s="19" t="str">
        <f>IF(Cadastro!$H117="","",Cadastro!$H117)</f>
        <v/>
      </c>
      <c r="C117" s="21" t="str">
        <f>IF(Cadastro!$B117="","",Cadastro!$B117)</f>
        <v/>
      </c>
      <c r="D117" s="21" t="str">
        <f>IF(Cadastro!$C117="","",Cadastro!$C117)</f>
        <v/>
      </c>
      <c r="E117" s="19" t="str">
        <f t="shared" si="21"/>
        <v/>
      </c>
      <c r="F117" s="19" t="str">
        <f>IF(Cadastro!$N117="","",Cadastro!$N117)</f>
        <v/>
      </c>
      <c r="G117" s="24">
        <f>N(Cadastro!$O117)</f>
        <v>0</v>
      </c>
      <c r="H117" s="24">
        <f>N(Cadastro!$P117)</f>
        <v>0</v>
      </c>
      <c r="I117" s="23">
        <f>N(Cadastro!$Q117)</f>
        <v>0</v>
      </c>
      <c r="J117" s="21" t="str">
        <f t="shared" si="22"/>
        <v/>
      </c>
      <c r="K117" s="21" t="str">
        <f t="shared" si="23"/>
        <v/>
      </c>
      <c r="L117" s="24" t="str">
        <f t="shared" si="24"/>
        <v/>
      </c>
      <c r="M117" s="21" t="str">
        <f t="shared" si="25"/>
        <v/>
      </c>
      <c r="N117" s="21" t="str">
        <f t="shared" si="26"/>
        <v/>
      </c>
      <c r="O117" s="19" t="str">
        <f t="shared" si="27"/>
        <v/>
      </c>
    </row>
    <row r="118" spans="1:15" x14ac:dyDescent="0.3">
      <c r="A118" s="19" t="str">
        <f>IF(Cadastro!$M118="","",Cadastro!$M118)</f>
        <v/>
      </c>
      <c r="B118" s="19" t="str">
        <f>IF(Cadastro!$H118="","",Cadastro!$H118)</f>
        <v/>
      </c>
      <c r="C118" s="21" t="str">
        <f>IF(Cadastro!$B118="","",Cadastro!$B118)</f>
        <v/>
      </c>
      <c r="D118" s="21" t="str">
        <f>IF(Cadastro!$C118="","",Cadastro!$C118)</f>
        <v/>
      </c>
      <c r="E118" s="19" t="str">
        <f t="shared" si="21"/>
        <v/>
      </c>
      <c r="F118" s="19" t="str">
        <f>IF(Cadastro!$N118="","",Cadastro!$N118)</f>
        <v/>
      </c>
      <c r="G118" s="24">
        <f>N(Cadastro!$O118)</f>
        <v>0</v>
      </c>
      <c r="H118" s="24">
        <f>N(Cadastro!$P118)</f>
        <v>0</v>
      </c>
      <c r="I118" s="23">
        <f>N(Cadastro!$Q118)</f>
        <v>0</v>
      </c>
      <c r="J118" s="21" t="str">
        <f t="shared" si="22"/>
        <v/>
      </c>
      <c r="K118" s="21" t="str">
        <f t="shared" si="23"/>
        <v/>
      </c>
      <c r="L118" s="24" t="str">
        <f t="shared" si="24"/>
        <v/>
      </c>
      <c r="M118" s="21" t="str">
        <f t="shared" si="25"/>
        <v/>
      </c>
      <c r="N118" s="21" t="str">
        <f t="shared" si="26"/>
        <v/>
      </c>
      <c r="O118" s="19" t="str">
        <f t="shared" si="27"/>
        <v/>
      </c>
    </row>
    <row r="119" spans="1:15" x14ac:dyDescent="0.3">
      <c r="A119" s="19" t="str">
        <f>IF(Cadastro!$M119="","",Cadastro!$M119)</f>
        <v/>
      </c>
      <c r="B119" s="19" t="str">
        <f>IF(Cadastro!$H119="","",Cadastro!$H119)</f>
        <v/>
      </c>
      <c r="C119" s="21" t="str">
        <f>IF(Cadastro!$B119="","",Cadastro!$B119)</f>
        <v/>
      </c>
      <c r="D119" s="21" t="str">
        <f>IF(Cadastro!$C119="","",Cadastro!$C119)</f>
        <v/>
      </c>
      <c r="E119" s="19" t="str">
        <f t="shared" si="21"/>
        <v/>
      </c>
      <c r="F119" s="19" t="str">
        <f>IF(Cadastro!$N119="","",Cadastro!$N119)</f>
        <v/>
      </c>
      <c r="G119" s="24">
        <f>N(Cadastro!$O119)</f>
        <v>0</v>
      </c>
      <c r="H119" s="24">
        <f>N(Cadastro!$P119)</f>
        <v>0</v>
      </c>
      <c r="I119" s="23">
        <f>N(Cadastro!$Q119)</f>
        <v>0</v>
      </c>
      <c r="J119" s="21" t="str">
        <f t="shared" si="22"/>
        <v/>
      </c>
      <c r="K119" s="21" t="str">
        <f t="shared" si="23"/>
        <v/>
      </c>
      <c r="L119" s="24" t="str">
        <f t="shared" si="24"/>
        <v/>
      </c>
      <c r="M119" s="21" t="str">
        <f t="shared" si="25"/>
        <v/>
      </c>
      <c r="N119" s="21" t="str">
        <f t="shared" si="26"/>
        <v/>
      </c>
      <c r="O119" s="19" t="str">
        <f t="shared" si="27"/>
        <v/>
      </c>
    </row>
    <row r="120" spans="1:15" x14ac:dyDescent="0.3">
      <c r="A120" s="19" t="str">
        <f>IF(Cadastro!$M120="","",Cadastro!$M120)</f>
        <v/>
      </c>
      <c r="B120" s="19" t="str">
        <f>IF(Cadastro!$H120="","",Cadastro!$H120)</f>
        <v/>
      </c>
      <c r="C120" s="21" t="str">
        <f>IF(Cadastro!$B120="","",Cadastro!$B120)</f>
        <v/>
      </c>
      <c r="D120" s="21" t="str">
        <f>IF(Cadastro!$C120="","",Cadastro!$C120)</f>
        <v/>
      </c>
      <c r="E120" s="19" t="str">
        <f t="shared" si="21"/>
        <v/>
      </c>
      <c r="F120" s="19" t="str">
        <f>IF(Cadastro!$N120="","",Cadastro!$N120)</f>
        <v/>
      </c>
      <c r="G120" s="24">
        <f>N(Cadastro!$O120)</f>
        <v>0</v>
      </c>
      <c r="H120" s="24">
        <f>N(Cadastro!$P120)</f>
        <v>0</v>
      </c>
      <c r="I120" s="23">
        <f>N(Cadastro!$Q120)</f>
        <v>0</v>
      </c>
      <c r="J120" s="21" t="str">
        <f t="shared" si="22"/>
        <v/>
      </c>
      <c r="K120" s="21" t="str">
        <f t="shared" si="23"/>
        <v/>
      </c>
      <c r="L120" s="24" t="str">
        <f t="shared" si="24"/>
        <v/>
      </c>
      <c r="M120" s="21" t="str">
        <f t="shared" si="25"/>
        <v/>
      </c>
      <c r="N120" s="21" t="str">
        <f t="shared" si="26"/>
        <v/>
      </c>
      <c r="O120" s="19" t="str">
        <f t="shared" si="27"/>
        <v/>
      </c>
    </row>
    <row r="121" spans="1:15" x14ac:dyDescent="0.3">
      <c r="A121" s="19" t="str">
        <f>IF(Cadastro!$M121="","",Cadastro!$M121)</f>
        <v/>
      </c>
      <c r="B121" s="19" t="str">
        <f>IF(Cadastro!$H121="","",Cadastro!$H121)</f>
        <v/>
      </c>
      <c r="C121" s="21" t="str">
        <f>IF(Cadastro!$B121="","",Cadastro!$B121)</f>
        <v/>
      </c>
      <c r="D121" s="21" t="str">
        <f>IF(Cadastro!$C121="","",Cadastro!$C121)</f>
        <v/>
      </c>
      <c r="E121" s="19" t="str">
        <f t="shared" si="21"/>
        <v/>
      </c>
      <c r="F121" s="19" t="str">
        <f>IF(Cadastro!$N121="","",Cadastro!$N121)</f>
        <v/>
      </c>
      <c r="G121" s="24">
        <f>N(Cadastro!$O121)</f>
        <v>0</v>
      </c>
      <c r="H121" s="24">
        <f>N(Cadastro!$P121)</f>
        <v>0</v>
      </c>
      <c r="I121" s="23">
        <f>N(Cadastro!$Q121)</f>
        <v>0</v>
      </c>
      <c r="J121" s="21" t="str">
        <f t="shared" si="22"/>
        <v/>
      </c>
      <c r="K121" s="21" t="str">
        <f t="shared" si="23"/>
        <v/>
      </c>
      <c r="L121" s="24" t="str">
        <f t="shared" si="24"/>
        <v/>
      </c>
      <c r="M121" s="21" t="str">
        <f t="shared" si="25"/>
        <v/>
      </c>
      <c r="N121" s="21" t="str">
        <f t="shared" si="26"/>
        <v/>
      </c>
      <c r="O121" s="19" t="str">
        <f t="shared" si="27"/>
        <v/>
      </c>
    </row>
    <row r="122" spans="1:15" x14ac:dyDescent="0.3">
      <c r="A122" s="19" t="str">
        <f>IF(Cadastro!$M122="","",Cadastro!$M122)</f>
        <v/>
      </c>
      <c r="B122" s="19" t="str">
        <f>IF(Cadastro!$H122="","",Cadastro!$H122)</f>
        <v/>
      </c>
      <c r="C122" s="21" t="str">
        <f>IF(Cadastro!$B122="","",Cadastro!$B122)</f>
        <v/>
      </c>
      <c r="D122" s="21" t="str">
        <f>IF(Cadastro!$C122="","",Cadastro!$C122)</f>
        <v/>
      </c>
      <c r="E122" s="19" t="str">
        <f t="shared" si="21"/>
        <v/>
      </c>
      <c r="F122" s="19" t="str">
        <f>IF(Cadastro!$N122="","",Cadastro!$N122)</f>
        <v/>
      </c>
      <c r="G122" s="24">
        <f>N(Cadastro!$O122)</f>
        <v>0</v>
      </c>
      <c r="H122" s="24">
        <f>N(Cadastro!$P122)</f>
        <v>0</v>
      </c>
      <c r="I122" s="23">
        <f>N(Cadastro!$Q122)</f>
        <v>0</v>
      </c>
      <c r="J122" s="21" t="str">
        <f t="shared" si="22"/>
        <v/>
      </c>
      <c r="K122" s="21" t="str">
        <f t="shared" si="23"/>
        <v/>
      </c>
      <c r="L122" s="24" t="str">
        <f t="shared" si="24"/>
        <v/>
      </c>
      <c r="M122" s="21" t="str">
        <f t="shared" si="25"/>
        <v/>
      </c>
      <c r="N122" s="21" t="str">
        <f t="shared" si="26"/>
        <v/>
      </c>
      <c r="O122" s="19" t="str">
        <f t="shared" si="27"/>
        <v/>
      </c>
    </row>
    <row r="123" spans="1:15" x14ac:dyDescent="0.3">
      <c r="A123" s="19" t="str">
        <f>IF(Cadastro!$M123="","",Cadastro!$M123)</f>
        <v/>
      </c>
      <c r="B123" s="19" t="str">
        <f>IF(Cadastro!$H123="","",Cadastro!$H123)</f>
        <v/>
      </c>
      <c r="C123" s="21" t="str">
        <f>IF(Cadastro!$B123="","",Cadastro!$B123)</f>
        <v/>
      </c>
      <c r="D123" s="21" t="str">
        <f>IF(Cadastro!$C123="","",Cadastro!$C123)</f>
        <v/>
      </c>
      <c r="E123" s="19" t="str">
        <f t="shared" si="21"/>
        <v/>
      </c>
      <c r="F123" s="19" t="str">
        <f>IF(Cadastro!$N123="","",Cadastro!$N123)</f>
        <v/>
      </c>
      <c r="G123" s="24">
        <f>N(Cadastro!$O123)</f>
        <v>0</v>
      </c>
      <c r="H123" s="24">
        <f>N(Cadastro!$P123)</f>
        <v>0</v>
      </c>
      <c r="I123" s="23">
        <f>N(Cadastro!$Q123)</f>
        <v>0</v>
      </c>
      <c r="J123" s="21" t="str">
        <f t="shared" si="22"/>
        <v/>
      </c>
      <c r="K123" s="21" t="str">
        <f t="shared" si="23"/>
        <v/>
      </c>
      <c r="L123" s="24" t="str">
        <f t="shared" si="24"/>
        <v/>
      </c>
      <c r="M123" s="21" t="str">
        <f t="shared" si="25"/>
        <v/>
      </c>
      <c r="N123" s="21" t="str">
        <f t="shared" si="26"/>
        <v/>
      </c>
      <c r="O123" s="19" t="str">
        <f t="shared" si="27"/>
        <v/>
      </c>
    </row>
    <row r="124" spans="1:15" x14ac:dyDescent="0.3">
      <c r="A124" s="19" t="str">
        <f>IF(Cadastro!$M124="","",Cadastro!$M124)</f>
        <v/>
      </c>
      <c r="B124" s="19" t="str">
        <f>IF(Cadastro!$H124="","",Cadastro!$H124)</f>
        <v/>
      </c>
      <c r="C124" s="21" t="str">
        <f>IF(Cadastro!$B124="","",Cadastro!$B124)</f>
        <v/>
      </c>
      <c r="D124" s="21" t="str">
        <f>IF(Cadastro!$C124="","",Cadastro!$C124)</f>
        <v/>
      </c>
      <c r="E124" s="19" t="str">
        <f t="shared" si="21"/>
        <v/>
      </c>
      <c r="F124" s="19" t="str">
        <f>IF(Cadastro!$N124="","",Cadastro!$N124)</f>
        <v/>
      </c>
      <c r="G124" s="24">
        <f>N(Cadastro!$O124)</f>
        <v>0</v>
      </c>
      <c r="H124" s="24">
        <f>N(Cadastro!$P124)</f>
        <v>0</v>
      </c>
      <c r="I124" s="23">
        <f>N(Cadastro!$Q124)</f>
        <v>0</v>
      </c>
      <c r="J124" s="21" t="str">
        <f t="shared" si="22"/>
        <v/>
      </c>
      <c r="K124" s="21" t="str">
        <f t="shared" si="23"/>
        <v/>
      </c>
      <c r="L124" s="24" t="str">
        <f t="shared" si="24"/>
        <v/>
      </c>
      <c r="M124" s="21" t="str">
        <f t="shared" si="25"/>
        <v/>
      </c>
      <c r="N124" s="21" t="str">
        <f t="shared" si="26"/>
        <v/>
      </c>
      <c r="O124" s="19" t="str">
        <f t="shared" si="27"/>
        <v/>
      </c>
    </row>
    <row r="125" spans="1:15" x14ac:dyDescent="0.3">
      <c r="A125" s="19" t="str">
        <f>IF(Cadastro!$M125="","",Cadastro!$M125)</f>
        <v/>
      </c>
      <c r="B125" s="19" t="str">
        <f>IF(Cadastro!$H125="","",Cadastro!$H125)</f>
        <v/>
      </c>
      <c r="C125" s="21" t="str">
        <f>IF(Cadastro!$B125="","",Cadastro!$B125)</f>
        <v/>
      </c>
      <c r="D125" s="21" t="str">
        <f>IF(Cadastro!$C125="","",Cadastro!$C125)</f>
        <v/>
      </c>
      <c r="E125" s="19" t="str">
        <f t="shared" si="21"/>
        <v/>
      </c>
      <c r="F125" s="19" t="str">
        <f>IF(Cadastro!$N125="","",Cadastro!$N125)</f>
        <v/>
      </c>
      <c r="G125" s="24">
        <f>N(Cadastro!$O125)</f>
        <v>0</v>
      </c>
      <c r="H125" s="24">
        <f>N(Cadastro!$P125)</f>
        <v>0</v>
      </c>
      <c r="I125" s="23">
        <f>N(Cadastro!$Q125)</f>
        <v>0</v>
      </c>
      <c r="J125" s="21" t="str">
        <f t="shared" si="22"/>
        <v/>
      </c>
      <c r="K125" s="21" t="str">
        <f t="shared" si="23"/>
        <v/>
      </c>
      <c r="L125" s="24" t="str">
        <f t="shared" si="24"/>
        <v/>
      </c>
      <c r="M125" s="21" t="str">
        <f t="shared" si="25"/>
        <v/>
      </c>
      <c r="N125" s="21" t="str">
        <f t="shared" si="26"/>
        <v/>
      </c>
      <c r="O125" s="19" t="str">
        <f t="shared" si="27"/>
        <v/>
      </c>
    </row>
    <row r="126" spans="1:15" x14ac:dyDescent="0.3">
      <c r="A126" s="19" t="str">
        <f>IF(Cadastro!$M126="","",Cadastro!$M126)</f>
        <v/>
      </c>
      <c r="B126" s="19" t="str">
        <f>IF(Cadastro!$H126="","",Cadastro!$H126)</f>
        <v/>
      </c>
      <c r="C126" s="21" t="str">
        <f>IF(Cadastro!$B126="","",Cadastro!$B126)</f>
        <v/>
      </c>
      <c r="D126" s="21" t="str">
        <f>IF(Cadastro!$C126="","",Cadastro!$C126)</f>
        <v/>
      </c>
      <c r="E126" s="19" t="str">
        <f t="shared" si="21"/>
        <v/>
      </c>
      <c r="F126" s="19" t="str">
        <f>IF(Cadastro!$N126="","",Cadastro!$N126)</f>
        <v/>
      </c>
      <c r="G126" s="24">
        <f>N(Cadastro!$O126)</f>
        <v>0</v>
      </c>
      <c r="H126" s="24">
        <f>N(Cadastro!$P126)</f>
        <v>0</v>
      </c>
      <c r="I126" s="23">
        <f>N(Cadastro!$Q126)</f>
        <v>0</v>
      </c>
      <c r="J126" s="21" t="str">
        <f t="shared" si="22"/>
        <v/>
      </c>
      <c r="K126" s="21" t="str">
        <f t="shared" si="23"/>
        <v/>
      </c>
      <c r="L126" s="24" t="str">
        <f t="shared" si="24"/>
        <v/>
      </c>
      <c r="M126" s="21" t="str">
        <f t="shared" si="25"/>
        <v/>
      </c>
      <c r="N126" s="21" t="str">
        <f t="shared" si="26"/>
        <v/>
      </c>
      <c r="O126" s="19" t="str">
        <f t="shared" si="27"/>
        <v/>
      </c>
    </row>
    <row r="127" spans="1:15" x14ac:dyDescent="0.3">
      <c r="A127" s="19" t="str">
        <f>IF(Cadastro!$M127="","",Cadastro!$M127)</f>
        <v/>
      </c>
      <c r="B127" s="19" t="str">
        <f>IF(Cadastro!$H127="","",Cadastro!$H127)</f>
        <v/>
      </c>
      <c r="C127" s="21" t="str">
        <f>IF(Cadastro!$B127="","",Cadastro!$B127)</f>
        <v/>
      </c>
      <c r="D127" s="21" t="str">
        <f>IF(Cadastro!$C127="","",Cadastro!$C127)</f>
        <v/>
      </c>
      <c r="E127" s="19" t="str">
        <f t="shared" si="21"/>
        <v/>
      </c>
      <c r="F127" s="19" t="str">
        <f>IF(Cadastro!$N127="","",Cadastro!$N127)</f>
        <v/>
      </c>
      <c r="G127" s="24">
        <f>N(Cadastro!$O127)</f>
        <v>0</v>
      </c>
      <c r="H127" s="24">
        <f>N(Cadastro!$P127)</f>
        <v>0</v>
      </c>
      <c r="I127" s="23">
        <f>N(Cadastro!$Q127)</f>
        <v>0</v>
      </c>
      <c r="J127" s="21" t="str">
        <f t="shared" si="22"/>
        <v/>
      </c>
      <c r="K127" s="21" t="str">
        <f t="shared" si="23"/>
        <v/>
      </c>
      <c r="L127" s="24" t="str">
        <f t="shared" si="24"/>
        <v/>
      </c>
      <c r="M127" s="21" t="str">
        <f t="shared" si="25"/>
        <v/>
      </c>
      <c r="N127" s="21" t="str">
        <f t="shared" si="26"/>
        <v/>
      </c>
      <c r="O127" s="19" t="str">
        <f t="shared" si="27"/>
        <v/>
      </c>
    </row>
    <row r="128" spans="1:15" x14ac:dyDescent="0.3">
      <c r="A128" s="19" t="str">
        <f>IF(Cadastro!$M128="","",Cadastro!$M128)</f>
        <v/>
      </c>
      <c r="B128" s="19" t="str">
        <f>IF(Cadastro!$H128="","",Cadastro!$H128)</f>
        <v/>
      </c>
      <c r="C128" s="21" t="str">
        <f>IF(Cadastro!$B128="","",Cadastro!$B128)</f>
        <v/>
      </c>
      <c r="D128" s="21" t="str">
        <f>IF(Cadastro!$C128="","",Cadastro!$C128)</f>
        <v/>
      </c>
      <c r="E128" s="19" t="str">
        <f t="shared" si="21"/>
        <v/>
      </c>
      <c r="F128" s="19" t="str">
        <f>IF(Cadastro!$N128="","",Cadastro!$N128)</f>
        <v/>
      </c>
      <c r="G128" s="24">
        <f>N(Cadastro!$O128)</f>
        <v>0</v>
      </c>
      <c r="H128" s="24">
        <f>N(Cadastro!$P128)</f>
        <v>0</v>
      </c>
      <c r="I128" s="23">
        <f>N(Cadastro!$Q128)</f>
        <v>0</v>
      </c>
      <c r="J128" s="21" t="str">
        <f t="shared" si="22"/>
        <v/>
      </c>
      <c r="K128" s="21" t="str">
        <f t="shared" si="23"/>
        <v/>
      </c>
      <c r="L128" s="24" t="str">
        <f t="shared" si="24"/>
        <v/>
      </c>
      <c r="M128" s="21" t="str">
        <f t="shared" si="25"/>
        <v/>
      </c>
      <c r="N128" s="21" t="str">
        <f t="shared" si="26"/>
        <v/>
      </c>
      <c r="O128" s="19" t="str">
        <f t="shared" si="27"/>
        <v/>
      </c>
    </row>
    <row r="129" spans="1:15" x14ac:dyDescent="0.3">
      <c r="A129" s="19" t="str">
        <f>IF(Cadastro!$M129="","",Cadastro!$M129)</f>
        <v/>
      </c>
      <c r="B129" s="19" t="str">
        <f>IF(Cadastro!$H129="","",Cadastro!$H129)</f>
        <v/>
      </c>
      <c r="C129" s="21" t="str">
        <f>IF(Cadastro!$B129="","",Cadastro!$B129)</f>
        <v/>
      </c>
      <c r="D129" s="21" t="str">
        <f>IF(Cadastro!$C129="","",Cadastro!$C129)</f>
        <v/>
      </c>
      <c r="E129" s="19" t="str">
        <f t="shared" si="21"/>
        <v/>
      </c>
      <c r="F129" s="19" t="str">
        <f>IF(Cadastro!$N129="","",Cadastro!$N129)</f>
        <v/>
      </c>
      <c r="G129" s="24">
        <f>N(Cadastro!$O129)</f>
        <v>0</v>
      </c>
      <c r="H129" s="24">
        <f>N(Cadastro!$P129)</f>
        <v>0</v>
      </c>
      <c r="I129" s="23">
        <f>N(Cadastro!$Q129)</f>
        <v>0</v>
      </c>
      <c r="J129" s="21" t="str">
        <f t="shared" si="22"/>
        <v/>
      </c>
      <c r="K129" s="21" t="str">
        <f t="shared" si="23"/>
        <v/>
      </c>
      <c r="L129" s="24" t="str">
        <f t="shared" si="24"/>
        <v/>
      </c>
      <c r="M129" s="21" t="str">
        <f t="shared" si="25"/>
        <v/>
      </c>
      <c r="N129" s="21" t="str">
        <f t="shared" si="26"/>
        <v/>
      </c>
      <c r="O129" s="19" t="str">
        <f t="shared" si="27"/>
        <v/>
      </c>
    </row>
    <row r="130" spans="1:15" x14ac:dyDescent="0.3">
      <c r="A130" s="19" t="str">
        <f>IF(Cadastro!$M130="","",Cadastro!$M130)</f>
        <v/>
      </c>
      <c r="B130" s="19" t="str">
        <f>IF(Cadastro!$H130="","",Cadastro!$H130)</f>
        <v/>
      </c>
      <c r="C130" s="21" t="str">
        <f>IF(Cadastro!$B130="","",Cadastro!$B130)</f>
        <v/>
      </c>
      <c r="D130" s="21" t="str">
        <f>IF(Cadastro!$C130="","",Cadastro!$C130)</f>
        <v/>
      </c>
      <c r="E130" s="19" t="str">
        <f t="shared" si="21"/>
        <v/>
      </c>
      <c r="F130" s="19" t="str">
        <f>IF(Cadastro!$N130="","",Cadastro!$N130)</f>
        <v/>
      </c>
      <c r="G130" s="24">
        <f>N(Cadastro!$O130)</f>
        <v>0</v>
      </c>
      <c r="H130" s="24">
        <f>N(Cadastro!$P130)</f>
        <v>0</v>
      </c>
      <c r="I130" s="23">
        <f>N(Cadastro!$Q130)</f>
        <v>0</v>
      </c>
      <c r="J130" s="21" t="str">
        <f t="shared" si="22"/>
        <v/>
      </c>
      <c r="K130" s="21" t="str">
        <f t="shared" si="23"/>
        <v/>
      </c>
      <c r="L130" s="24" t="str">
        <f t="shared" si="24"/>
        <v/>
      </c>
      <c r="M130" s="21" t="str">
        <f t="shared" si="25"/>
        <v/>
      </c>
      <c r="N130" s="21" t="str">
        <f t="shared" si="26"/>
        <v/>
      </c>
      <c r="O130" s="19" t="str">
        <f t="shared" si="27"/>
        <v/>
      </c>
    </row>
    <row r="131" spans="1:15" x14ac:dyDescent="0.3">
      <c r="A131" s="19" t="str">
        <f>IF(Cadastro!$M131="","",Cadastro!$M131)</f>
        <v/>
      </c>
      <c r="B131" s="19" t="str">
        <f>IF(Cadastro!$H131="","",Cadastro!$H131)</f>
        <v/>
      </c>
      <c r="C131" s="21" t="str">
        <f>IF(Cadastro!$B131="","",Cadastro!$B131)</f>
        <v/>
      </c>
      <c r="D131" s="21" t="str">
        <f>IF(Cadastro!$C131="","",Cadastro!$C131)</f>
        <v/>
      </c>
      <c r="E131" s="19" t="str">
        <f t="shared" si="21"/>
        <v/>
      </c>
      <c r="F131" s="19" t="str">
        <f>IF(Cadastro!$N131="","",Cadastro!$N131)</f>
        <v/>
      </c>
      <c r="G131" s="24">
        <f>N(Cadastro!$O131)</f>
        <v>0</v>
      </c>
      <c r="H131" s="24">
        <f>N(Cadastro!$P131)</f>
        <v>0</v>
      </c>
      <c r="I131" s="23">
        <f>N(Cadastro!$Q131)</f>
        <v>0</v>
      </c>
      <c r="J131" s="21" t="str">
        <f t="shared" si="22"/>
        <v/>
      </c>
      <c r="K131" s="21" t="str">
        <f t="shared" si="23"/>
        <v/>
      </c>
      <c r="L131" s="24" t="str">
        <f t="shared" si="24"/>
        <v/>
      </c>
      <c r="M131" s="21" t="str">
        <f t="shared" si="25"/>
        <v/>
      </c>
      <c r="N131" s="21" t="str">
        <f t="shared" si="26"/>
        <v/>
      </c>
      <c r="O131" s="19" t="str">
        <f t="shared" si="27"/>
        <v/>
      </c>
    </row>
    <row r="132" spans="1:15" x14ac:dyDescent="0.3">
      <c r="A132" s="19" t="str">
        <f>IF(Cadastro!$M132="","",Cadastro!$M132)</f>
        <v/>
      </c>
      <c r="B132" s="19" t="str">
        <f>IF(Cadastro!$H132="","",Cadastro!$H132)</f>
        <v/>
      </c>
      <c r="C132" s="21" t="str">
        <f>IF(Cadastro!$B132="","",Cadastro!$B132)</f>
        <v/>
      </c>
      <c r="D132" s="21" t="str">
        <f>IF(Cadastro!$C132="","",Cadastro!$C132)</f>
        <v/>
      </c>
      <c r="E132" s="19" t="str">
        <f t="shared" si="21"/>
        <v/>
      </c>
      <c r="F132" s="19" t="str">
        <f>IF(Cadastro!$N132="","",Cadastro!$N132)</f>
        <v/>
      </c>
      <c r="G132" s="24">
        <f>N(Cadastro!$O132)</f>
        <v>0</v>
      </c>
      <c r="H132" s="24">
        <f>N(Cadastro!$P132)</f>
        <v>0</v>
      </c>
      <c r="I132" s="23">
        <f>N(Cadastro!$Q132)</f>
        <v>0</v>
      </c>
      <c r="J132" s="21" t="str">
        <f t="shared" si="22"/>
        <v/>
      </c>
      <c r="K132" s="21" t="str">
        <f t="shared" si="23"/>
        <v/>
      </c>
      <c r="L132" s="24" t="str">
        <f t="shared" si="24"/>
        <v/>
      </c>
      <c r="M132" s="21" t="str">
        <f t="shared" si="25"/>
        <v/>
      </c>
      <c r="N132" s="21" t="str">
        <f t="shared" si="26"/>
        <v/>
      </c>
      <c r="O132" s="19" t="str">
        <f t="shared" si="27"/>
        <v/>
      </c>
    </row>
    <row r="133" spans="1:15" x14ac:dyDescent="0.3">
      <c r="A133" s="19" t="str">
        <f>IF(Cadastro!$M133="","",Cadastro!$M133)</f>
        <v/>
      </c>
      <c r="B133" s="19" t="str">
        <f>IF(Cadastro!$H133="","",Cadastro!$H133)</f>
        <v/>
      </c>
      <c r="C133" s="21" t="str">
        <f>IF(Cadastro!$B133="","",Cadastro!$B133)</f>
        <v/>
      </c>
      <c r="D133" s="21" t="str">
        <f>IF(Cadastro!$C133="","",Cadastro!$C133)</f>
        <v/>
      </c>
      <c r="E133" s="19" t="str">
        <f t="shared" ref="E133:E154" si="28">IF($D133="","",IFERROR(INDEX(Prod_Desc,MATCH($D133,Prod_Cod,0)),"PRODUTO NÃO CADASTRADO"))</f>
        <v/>
      </c>
      <c r="F133" s="19" t="str">
        <f>IF(Cadastro!$N133="","",Cadastro!$N133)</f>
        <v/>
      </c>
      <c r="G133" s="24">
        <f>N(Cadastro!$O133)</f>
        <v>0</v>
      </c>
      <c r="H133" s="24">
        <f>N(Cadastro!$P133)</f>
        <v>0</v>
      </c>
      <c r="I133" s="23">
        <f>N(Cadastro!$Q133)</f>
        <v>0</v>
      </c>
      <c r="J133" s="21" t="str">
        <f t="shared" ref="J133:J154" si="29">IF($A133="","",SUMIFS(Ent_Qtd,Ent_OC,$A133,Ent_Cham,$C133,Ent_Prod,$D133))</f>
        <v/>
      </c>
      <c r="K133" s="21" t="str">
        <f t="shared" ref="K133:K154" si="30">IF($A133="","",N($I133)-N($J133))</f>
        <v/>
      </c>
      <c r="L133" s="24" t="str">
        <f t="shared" ref="L133:L154" si="31">IF($A133="","",IF(SUMPRODUCT(MAX((Ent_OC=$A133)*(Ent_Cham=$C133)*(Ent_Prod=$D133)*N(Ent_Data)))=0,"",SUMPRODUCT(MAX((Ent_OC=$A133)*(Ent_Cham=$C133)*(Ent_Prod=$D133)*N(Ent_Data)))))</f>
        <v/>
      </c>
      <c r="M133" s="21" t="str">
        <f t="shared" ref="M133:M154" si="32">IF(OR($A133="",N($G133)=0),"",IF(AND($K133&lt;=0,$L133&lt;&gt;""),MAX($L133-$G133,0),MAX(DataRef-$G133,0)))</f>
        <v/>
      </c>
      <c r="N133" s="21" t="str">
        <f t="shared" ref="N133:N154" si="33">IF($A133="","",IF(N($H133)=0,IFERROR(INDEX(Etapa_SLA,MATCH("ENTREGA DO MATERIAL",Lista_Etapas,0)),35),MAX($H133-$G133,0)))</f>
        <v/>
      </c>
      <c r="O133" s="19" t="str">
        <f t="shared" ref="O133:O154" si="34">IF($A133="","",IF($K133&lt;0,"RECEBIMENTO ACIMA DA OC",IF($K133=0,IF($M133&lt;=$N133,"CONCLUÍDA NO PRAZO","CONCLUÍDA COM ATRASO"),IF($M133&gt;$N133,"ENTREGA EM ATRASO",IF($J133=0,"AGUARDANDO ENTREGA","ENTREGA PARCIAL")))))</f>
        <v/>
      </c>
    </row>
    <row r="134" spans="1:15" x14ac:dyDescent="0.3">
      <c r="A134" s="19" t="str">
        <f>IF(Cadastro!$M134="","",Cadastro!$M134)</f>
        <v/>
      </c>
      <c r="B134" s="19" t="str">
        <f>IF(Cadastro!$H134="","",Cadastro!$H134)</f>
        <v/>
      </c>
      <c r="C134" s="21" t="str">
        <f>IF(Cadastro!$B134="","",Cadastro!$B134)</f>
        <v/>
      </c>
      <c r="D134" s="21" t="str">
        <f>IF(Cadastro!$C134="","",Cadastro!$C134)</f>
        <v/>
      </c>
      <c r="E134" s="19" t="str">
        <f t="shared" si="28"/>
        <v/>
      </c>
      <c r="F134" s="19" t="str">
        <f>IF(Cadastro!$N134="","",Cadastro!$N134)</f>
        <v/>
      </c>
      <c r="G134" s="24">
        <f>N(Cadastro!$O134)</f>
        <v>0</v>
      </c>
      <c r="H134" s="24">
        <f>N(Cadastro!$P134)</f>
        <v>0</v>
      </c>
      <c r="I134" s="23">
        <f>N(Cadastro!$Q134)</f>
        <v>0</v>
      </c>
      <c r="J134" s="21" t="str">
        <f t="shared" si="29"/>
        <v/>
      </c>
      <c r="K134" s="21" t="str">
        <f t="shared" si="30"/>
        <v/>
      </c>
      <c r="L134" s="24" t="str">
        <f t="shared" si="31"/>
        <v/>
      </c>
      <c r="M134" s="21" t="str">
        <f t="shared" si="32"/>
        <v/>
      </c>
      <c r="N134" s="21" t="str">
        <f t="shared" si="33"/>
        <v/>
      </c>
      <c r="O134" s="19" t="str">
        <f t="shared" si="34"/>
        <v/>
      </c>
    </row>
    <row r="135" spans="1:15" x14ac:dyDescent="0.3">
      <c r="A135" s="19" t="str">
        <f>IF(Cadastro!$M135="","",Cadastro!$M135)</f>
        <v/>
      </c>
      <c r="B135" s="19" t="str">
        <f>IF(Cadastro!$H135="","",Cadastro!$H135)</f>
        <v/>
      </c>
      <c r="C135" s="21" t="str">
        <f>IF(Cadastro!$B135="","",Cadastro!$B135)</f>
        <v/>
      </c>
      <c r="D135" s="21" t="str">
        <f>IF(Cadastro!$C135="","",Cadastro!$C135)</f>
        <v/>
      </c>
      <c r="E135" s="19" t="str">
        <f t="shared" si="28"/>
        <v/>
      </c>
      <c r="F135" s="19" t="str">
        <f>IF(Cadastro!$N135="","",Cadastro!$N135)</f>
        <v/>
      </c>
      <c r="G135" s="24">
        <f>N(Cadastro!$O135)</f>
        <v>0</v>
      </c>
      <c r="H135" s="24">
        <f>N(Cadastro!$P135)</f>
        <v>0</v>
      </c>
      <c r="I135" s="23">
        <f>N(Cadastro!$Q135)</f>
        <v>0</v>
      </c>
      <c r="J135" s="21" t="str">
        <f t="shared" si="29"/>
        <v/>
      </c>
      <c r="K135" s="21" t="str">
        <f t="shared" si="30"/>
        <v/>
      </c>
      <c r="L135" s="24" t="str">
        <f t="shared" si="31"/>
        <v/>
      </c>
      <c r="M135" s="21" t="str">
        <f t="shared" si="32"/>
        <v/>
      </c>
      <c r="N135" s="21" t="str">
        <f t="shared" si="33"/>
        <v/>
      </c>
      <c r="O135" s="19" t="str">
        <f t="shared" si="34"/>
        <v/>
      </c>
    </row>
    <row r="136" spans="1:15" x14ac:dyDescent="0.3">
      <c r="A136" s="19" t="str">
        <f>IF(Cadastro!$M136="","",Cadastro!$M136)</f>
        <v/>
      </c>
      <c r="B136" s="19" t="str">
        <f>IF(Cadastro!$H136="","",Cadastro!$H136)</f>
        <v/>
      </c>
      <c r="C136" s="21" t="str">
        <f>IF(Cadastro!$B136="","",Cadastro!$B136)</f>
        <v/>
      </c>
      <c r="D136" s="21" t="str">
        <f>IF(Cadastro!$C136="","",Cadastro!$C136)</f>
        <v/>
      </c>
      <c r="E136" s="19" t="str">
        <f t="shared" si="28"/>
        <v/>
      </c>
      <c r="F136" s="19" t="str">
        <f>IF(Cadastro!$N136="","",Cadastro!$N136)</f>
        <v/>
      </c>
      <c r="G136" s="24">
        <f>N(Cadastro!$O136)</f>
        <v>0</v>
      </c>
      <c r="H136" s="24">
        <f>N(Cadastro!$P136)</f>
        <v>0</v>
      </c>
      <c r="I136" s="23">
        <f>N(Cadastro!$Q136)</f>
        <v>0</v>
      </c>
      <c r="J136" s="21" t="str">
        <f t="shared" si="29"/>
        <v/>
      </c>
      <c r="K136" s="21" t="str">
        <f t="shared" si="30"/>
        <v/>
      </c>
      <c r="L136" s="24" t="str">
        <f t="shared" si="31"/>
        <v/>
      </c>
      <c r="M136" s="21" t="str">
        <f t="shared" si="32"/>
        <v/>
      </c>
      <c r="N136" s="21" t="str">
        <f t="shared" si="33"/>
        <v/>
      </c>
      <c r="O136" s="19" t="str">
        <f t="shared" si="34"/>
        <v/>
      </c>
    </row>
    <row r="137" spans="1:15" x14ac:dyDescent="0.3">
      <c r="A137" s="19" t="str">
        <f>IF(Cadastro!$M137="","",Cadastro!$M137)</f>
        <v/>
      </c>
      <c r="B137" s="19" t="str">
        <f>IF(Cadastro!$H137="","",Cadastro!$H137)</f>
        <v/>
      </c>
      <c r="C137" s="21" t="str">
        <f>IF(Cadastro!$B137="","",Cadastro!$B137)</f>
        <v/>
      </c>
      <c r="D137" s="21" t="str">
        <f>IF(Cadastro!$C137="","",Cadastro!$C137)</f>
        <v/>
      </c>
      <c r="E137" s="19" t="str">
        <f t="shared" si="28"/>
        <v/>
      </c>
      <c r="F137" s="19" t="str">
        <f>IF(Cadastro!$N137="","",Cadastro!$N137)</f>
        <v/>
      </c>
      <c r="G137" s="24">
        <f>N(Cadastro!$O137)</f>
        <v>0</v>
      </c>
      <c r="H137" s="24">
        <f>N(Cadastro!$P137)</f>
        <v>0</v>
      </c>
      <c r="I137" s="23">
        <f>N(Cadastro!$Q137)</f>
        <v>0</v>
      </c>
      <c r="J137" s="21" t="str">
        <f t="shared" si="29"/>
        <v/>
      </c>
      <c r="K137" s="21" t="str">
        <f t="shared" si="30"/>
        <v/>
      </c>
      <c r="L137" s="24" t="str">
        <f t="shared" si="31"/>
        <v/>
      </c>
      <c r="M137" s="21" t="str">
        <f t="shared" si="32"/>
        <v/>
      </c>
      <c r="N137" s="21" t="str">
        <f t="shared" si="33"/>
        <v/>
      </c>
      <c r="O137" s="19" t="str">
        <f t="shared" si="34"/>
        <v/>
      </c>
    </row>
    <row r="138" spans="1:15" x14ac:dyDescent="0.3">
      <c r="A138" s="19" t="str">
        <f>IF(Cadastro!$M138="","",Cadastro!$M138)</f>
        <v/>
      </c>
      <c r="B138" s="19" t="str">
        <f>IF(Cadastro!$H138="","",Cadastro!$H138)</f>
        <v/>
      </c>
      <c r="C138" s="21" t="str">
        <f>IF(Cadastro!$B138="","",Cadastro!$B138)</f>
        <v/>
      </c>
      <c r="D138" s="21" t="str">
        <f>IF(Cadastro!$C138="","",Cadastro!$C138)</f>
        <v/>
      </c>
      <c r="E138" s="19" t="str">
        <f t="shared" si="28"/>
        <v/>
      </c>
      <c r="F138" s="19" t="str">
        <f>IF(Cadastro!$N138="","",Cadastro!$N138)</f>
        <v/>
      </c>
      <c r="G138" s="24">
        <f>N(Cadastro!$O138)</f>
        <v>0</v>
      </c>
      <c r="H138" s="24">
        <f>N(Cadastro!$P138)</f>
        <v>0</v>
      </c>
      <c r="I138" s="23">
        <f>N(Cadastro!$Q138)</f>
        <v>0</v>
      </c>
      <c r="J138" s="21" t="str">
        <f t="shared" si="29"/>
        <v/>
      </c>
      <c r="K138" s="21" t="str">
        <f t="shared" si="30"/>
        <v/>
      </c>
      <c r="L138" s="24" t="str">
        <f t="shared" si="31"/>
        <v/>
      </c>
      <c r="M138" s="21" t="str">
        <f t="shared" si="32"/>
        <v/>
      </c>
      <c r="N138" s="21" t="str">
        <f t="shared" si="33"/>
        <v/>
      </c>
      <c r="O138" s="19" t="str">
        <f t="shared" si="34"/>
        <v/>
      </c>
    </row>
    <row r="139" spans="1:15" x14ac:dyDescent="0.3">
      <c r="A139" s="19" t="str">
        <f>IF(Cadastro!$M139="","",Cadastro!$M139)</f>
        <v/>
      </c>
      <c r="B139" s="19" t="str">
        <f>IF(Cadastro!$H139="","",Cadastro!$H139)</f>
        <v/>
      </c>
      <c r="C139" s="21" t="str">
        <f>IF(Cadastro!$B139="","",Cadastro!$B139)</f>
        <v/>
      </c>
      <c r="D139" s="21" t="str">
        <f>IF(Cadastro!$C139="","",Cadastro!$C139)</f>
        <v/>
      </c>
      <c r="E139" s="19" t="str">
        <f t="shared" si="28"/>
        <v/>
      </c>
      <c r="F139" s="19" t="str">
        <f>IF(Cadastro!$N139="","",Cadastro!$N139)</f>
        <v/>
      </c>
      <c r="G139" s="24">
        <f>N(Cadastro!$O139)</f>
        <v>0</v>
      </c>
      <c r="H139" s="24">
        <f>N(Cadastro!$P139)</f>
        <v>0</v>
      </c>
      <c r="I139" s="23">
        <f>N(Cadastro!$Q139)</f>
        <v>0</v>
      </c>
      <c r="J139" s="21" t="str">
        <f t="shared" si="29"/>
        <v/>
      </c>
      <c r="K139" s="21" t="str">
        <f t="shared" si="30"/>
        <v/>
      </c>
      <c r="L139" s="24" t="str">
        <f t="shared" si="31"/>
        <v/>
      </c>
      <c r="M139" s="21" t="str">
        <f t="shared" si="32"/>
        <v/>
      </c>
      <c r="N139" s="21" t="str">
        <f t="shared" si="33"/>
        <v/>
      </c>
      <c r="O139" s="19" t="str">
        <f t="shared" si="34"/>
        <v/>
      </c>
    </row>
    <row r="140" spans="1:15" x14ac:dyDescent="0.3">
      <c r="A140" s="19" t="str">
        <f>IF(Cadastro!$M140="","",Cadastro!$M140)</f>
        <v/>
      </c>
      <c r="B140" s="19" t="str">
        <f>IF(Cadastro!$H140="","",Cadastro!$H140)</f>
        <v/>
      </c>
      <c r="C140" s="21" t="str">
        <f>IF(Cadastro!$B140="","",Cadastro!$B140)</f>
        <v/>
      </c>
      <c r="D140" s="21" t="str">
        <f>IF(Cadastro!$C140="","",Cadastro!$C140)</f>
        <v/>
      </c>
      <c r="E140" s="19" t="str">
        <f t="shared" si="28"/>
        <v/>
      </c>
      <c r="F140" s="19" t="str">
        <f>IF(Cadastro!$N140="","",Cadastro!$N140)</f>
        <v/>
      </c>
      <c r="G140" s="24">
        <f>N(Cadastro!$O140)</f>
        <v>0</v>
      </c>
      <c r="H140" s="24">
        <f>N(Cadastro!$P140)</f>
        <v>0</v>
      </c>
      <c r="I140" s="23">
        <f>N(Cadastro!$Q140)</f>
        <v>0</v>
      </c>
      <c r="J140" s="21" t="str">
        <f t="shared" si="29"/>
        <v/>
      </c>
      <c r="K140" s="21" t="str">
        <f t="shared" si="30"/>
        <v/>
      </c>
      <c r="L140" s="24" t="str">
        <f t="shared" si="31"/>
        <v/>
      </c>
      <c r="M140" s="21" t="str">
        <f t="shared" si="32"/>
        <v/>
      </c>
      <c r="N140" s="21" t="str">
        <f t="shared" si="33"/>
        <v/>
      </c>
      <c r="O140" s="19" t="str">
        <f t="shared" si="34"/>
        <v/>
      </c>
    </row>
    <row r="141" spans="1:15" x14ac:dyDescent="0.3">
      <c r="A141" s="19" t="str">
        <f>IF(Cadastro!$M141="","",Cadastro!$M141)</f>
        <v/>
      </c>
      <c r="B141" s="19" t="str">
        <f>IF(Cadastro!$H141="","",Cadastro!$H141)</f>
        <v/>
      </c>
      <c r="C141" s="21" t="str">
        <f>IF(Cadastro!$B141="","",Cadastro!$B141)</f>
        <v/>
      </c>
      <c r="D141" s="21" t="str">
        <f>IF(Cadastro!$C141="","",Cadastro!$C141)</f>
        <v/>
      </c>
      <c r="E141" s="19" t="str">
        <f t="shared" si="28"/>
        <v/>
      </c>
      <c r="F141" s="19" t="str">
        <f>IF(Cadastro!$N141="","",Cadastro!$N141)</f>
        <v/>
      </c>
      <c r="G141" s="24">
        <f>N(Cadastro!$O141)</f>
        <v>0</v>
      </c>
      <c r="H141" s="24">
        <f>N(Cadastro!$P141)</f>
        <v>0</v>
      </c>
      <c r="I141" s="23">
        <f>N(Cadastro!$Q141)</f>
        <v>0</v>
      </c>
      <c r="J141" s="21" t="str">
        <f t="shared" si="29"/>
        <v/>
      </c>
      <c r="K141" s="21" t="str">
        <f t="shared" si="30"/>
        <v/>
      </c>
      <c r="L141" s="24" t="str">
        <f t="shared" si="31"/>
        <v/>
      </c>
      <c r="M141" s="21" t="str">
        <f t="shared" si="32"/>
        <v/>
      </c>
      <c r="N141" s="21" t="str">
        <f t="shared" si="33"/>
        <v/>
      </c>
      <c r="O141" s="19" t="str">
        <f t="shared" si="34"/>
        <v/>
      </c>
    </row>
    <row r="142" spans="1:15" x14ac:dyDescent="0.3">
      <c r="A142" s="19" t="str">
        <f>IF(Cadastro!$M142="","",Cadastro!$M142)</f>
        <v/>
      </c>
      <c r="B142" s="19" t="str">
        <f>IF(Cadastro!$H142="","",Cadastro!$H142)</f>
        <v/>
      </c>
      <c r="C142" s="21" t="str">
        <f>IF(Cadastro!$B142="","",Cadastro!$B142)</f>
        <v/>
      </c>
      <c r="D142" s="21" t="str">
        <f>IF(Cadastro!$C142="","",Cadastro!$C142)</f>
        <v/>
      </c>
      <c r="E142" s="19" t="str">
        <f t="shared" si="28"/>
        <v/>
      </c>
      <c r="F142" s="19" t="str">
        <f>IF(Cadastro!$N142="","",Cadastro!$N142)</f>
        <v/>
      </c>
      <c r="G142" s="24">
        <f>N(Cadastro!$O142)</f>
        <v>0</v>
      </c>
      <c r="H142" s="24">
        <f>N(Cadastro!$P142)</f>
        <v>0</v>
      </c>
      <c r="I142" s="23">
        <f>N(Cadastro!$Q142)</f>
        <v>0</v>
      </c>
      <c r="J142" s="21" t="str">
        <f t="shared" si="29"/>
        <v/>
      </c>
      <c r="K142" s="21" t="str">
        <f t="shared" si="30"/>
        <v/>
      </c>
      <c r="L142" s="24" t="str">
        <f t="shared" si="31"/>
        <v/>
      </c>
      <c r="M142" s="21" t="str">
        <f t="shared" si="32"/>
        <v/>
      </c>
      <c r="N142" s="21" t="str">
        <f t="shared" si="33"/>
        <v/>
      </c>
      <c r="O142" s="19" t="str">
        <f t="shared" si="34"/>
        <v/>
      </c>
    </row>
    <row r="143" spans="1:15" x14ac:dyDescent="0.3">
      <c r="A143" s="19" t="str">
        <f>IF(Cadastro!$M143="","",Cadastro!$M143)</f>
        <v/>
      </c>
      <c r="B143" s="19" t="str">
        <f>IF(Cadastro!$H143="","",Cadastro!$H143)</f>
        <v/>
      </c>
      <c r="C143" s="21" t="str">
        <f>IF(Cadastro!$B143="","",Cadastro!$B143)</f>
        <v/>
      </c>
      <c r="D143" s="21" t="str">
        <f>IF(Cadastro!$C143="","",Cadastro!$C143)</f>
        <v/>
      </c>
      <c r="E143" s="19" t="str">
        <f t="shared" si="28"/>
        <v/>
      </c>
      <c r="F143" s="19" t="str">
        <f>IF(Cadastro!$N143="","",Cadastro!$N143)</f>
        <v/>
      </c>
      <c r="G143" s="24">
        <f>N(Cadastro!$O143)</f>
        <v>0</v>
      </c>
      <c r="H143" s="24">
        <f>N(Cadastro!$P143)</f>
        <v>0</v>
      </c>
      <c r="I143" s="23">
        <f>N(Cadastro!$Q143)</f>
        <v>0</v>
      </c>
      <c r="J143" s="21" t="str">
        <f t="shared" si="29"/>
        <v/>
      </c>
      <c r="K143" s="21" t="str">
        <f t="shared" si="30"/>
        <v/>
      </c>
      <c r="L143" s="24" t="str">
        <f t="shared" si="31"/>
        <v/>
      </c>
      <c r="M143" s="21" t="str">
        <f t="shared" si="32"/>
        <v/>
      </c>
      <c r="N143" s="21" t="str">
        <f t="shared" si="33"/>
        <v/>
      </c>
      <c r="O143" s="19" t="str">
        <f t="shared" si="34"/>
        <v/>
      </c>
    </row>
    <row r="144" spans="1:15" x14ac:dyDescent="0.3">
      <c r="A144" s="19" t="str">
        <f>IF(Cadastro!$M144="","",Cadastro!$M144)</f>
        <v/>
      </c>
      <c r="B144" s="19" t="str">
        <f>IF(Cadastro!$H144="","",Cadastro!$H144)</f>
        <v/>
      </c>
      <c r="C144" s="21" t="str">
        <f>IF(Cadastro!$B144="","",Cadastro!$B144)</f>
        <v/>
      </c>
      <c r="D144" s="21" t="str">
        <f>IF(Cadastro!$C144="","",Cadastro!$C144)</f>
        <v/>
      </c>
      <c r="E144" s="19" t="str">
        <f t="shared" si="28"/>
        <v/>
      </c>
      <c r="F144" s="19" t="str">
        <f>IF(Cadastro!$N144="","",Cadastro!$N144)</f>
        <v/>
      </c>
      <c r="G144" s="24">
        <f>N(Cadastro!$O144)</f>
        <v>0</v>
      </c>
      <c r="H144" s="24">
        <f>N(Cadastro!$P144)</f>
        <v>0</v>
      </c>
      <c r="I144" s="23">
        <f>N(Cadastro!$Q144)</f>
        <v>0</v>
      </c>
      <c r="J144" s="21" t="str">
        <f t="shared" si="29"/>
        <v/>
      </c>
      <c r="K144" s="21" t="str">
        <f t="shared" si="30"/>
        <v/>
      </c>
      <c r="L144" s="24" t="str">
        <f t="shared" si="31"/>
        <v/>
      </c>
      <c r="M144" s="21" t="str">
        <f t="shared" si="32"/>
        <v/>
      </c>
      <c r="N144" s="21" t="str">
        <f t="shared" si="33"/>
        <v/>
      </c>
      <c r="O144" s="19" t="str">
        <f t="shared" si="34"/>
        <v/>
      </c>
    </row>
    <row r="145" spans="1:15" x14ac:dyDescent="0.3">
      <c r="A145" s="19" t="str">
        <f>IF(Cadastro!$M145="","",Cadastro!$M145)</f>
        <v/>
      </c>
      <c r="B145" s="19" t="str">
        <f>IF(Cadastro!$H145="","",Cadastro!$H145)</f>
        <v/>
      </c>
      <c r="C145" s="21" t="str">
        <f>IF(Cadastro!$B145="","",Cadastro!$B145)</f>
        <v/>
      </c>
      <c r="D145" s="21" t="str">
        <f>IF(Cadastro!$C145="","",Cadastro!$C145)</f>
        <v/>
      </c>
      <c r="E145" s="19" t="str">
        <f t="shared" si="28"/>
        <v/>
      </c>
      <c r="F145" s="19" t="str">
        <f>IF(Cadastro!$N145="","",Cadastro!$N145)</f>
        <v/>
      </c>
      <c r="G145" s="24">
        <f>N(Cadastro!$O145)</f>
        <v>0</v>
      </c>
      <c r="H145" s="24">
        <f>N(Cadastro!$P145)</f>
        <v>0</v>
      </c>
      <c r="I145" s="23">
        <f>N(Cadastro!$Q145)</f>
        <v>0</v>
      </c>
      <c r="J145" s="21" t="str">
        <f t="shared" si="29"/>
        <v/>
      </c>
      <c r="K145" s="21" t="str">
        <f t="shared" si="30"/>
        <v/>
      </c>
      <c r="L145" s="24" t="str">
        <f t="shared" si="31"/>
        <v/>
      </c>
      <c r="M145" s="21" t="str">
        <f t="shared" si="32"/>
        <v/>
      </c>
      <c r="N145" s="21" t="str">
        <f t="shared" si="33"/>
        <v/>
      </c>
      <c r="O145" s="19" t="str">
        <f t="shared" si="34"/>
        <v/>
      </c>
    </row>
    <row r="146" spans="1:15" x14ac:dyDescent="0.3">
      <c r="A146" s="19" t="str">
        <f>IF(Cadastro!$M146="","",Cadastro!$M146)</f>
        <v/>
      </c>
      <c r="B146" s="19" t="str">
        <f>IF(Cadastro!$H146="","",Cadastro!$H146)</f>
        <v/>
      </c>
      <c r="C146" s="21" t="str">
        <f>IF(Cadastro!$B146="","",Cadastro!$B146)</f>
        <v/>
      </c>
      <c r="D146" s="21" t="str">
        <f>IF(Cadastro!$C146="","",Cadastro!$C146)</f>
        <v/>
      </c>
      <c r="E146" s="19" t="str">
        <f t="shared" si="28"/>
        <v/>
      </c>
      <c r="F146" s="19" t="str">
        <f>IF(Cadastro!$N146="","",Cadastro!$N146)</f>
        <v/>
      </c>
      <c r="G146" s="24">
        <f>N(Cadastro!$O146)</f>
        <v>0</v>
      </c>
      <c r="H146" s="24">
        <f>N(Cadastro!$P146)</f>
        <v>0</v>
      </c>
      <c r="I146" s="23">
        <f>N(Cadastro!$Q146)</f>
        <v>0</v>
      </c>
      <c r="J146" s="21" t="str">
        <f t="shared" si="29"/>
        <v/>
      </c>
      <c r="K146" s="21" t="str">
        <f t="shared" si="30"/>
        <v/>
      </c>
      <c r="L146" s="24" t="str">
        <f t="shared" si="31"/>
        <v/>
      </c>
      <c r="M146" s="21" t="str">
        <f t="shared" si="32"/>
        <v/>
      </c>
      <c r="N146" s="21" t="str">
        <f t="shared" si="33"/>
        <v/>
      </c>
      <c r="O146" s="19" t="str">
        <f t="shared" si="34"/>
        <v/>
      </c>
    </row>
    <row r="147" spans="1:15" x14ac:dyDescent="0.3">
      <c r="A147" s="19" t="str">
        <f>IF(Cadastro!$M147="","",Cadastro!$M147)</f>
        <v/>
      </c>
      <c r="B147" s="19" t="str">
        <f>IF(Cadastro!$H147="","",Cadastro!$H147)</f>
        <v/>
      </c>
      <c r="C147" s="21" t="str">
        <f>IF(Cadastro!$B147="","",Cadastro!$B147)</f>
        <v/>
      </c>
      <c r="D147" s="21" t="str">
        <f>IF(Cadastro!$C147="","",Cadastro!$C147)</f>
        <v/>
      </c>
      <c r="E147" s="19" t="str">
        <f t="shared" si="28"/>
        <v/>
      </c>
      <c r="F147" s="19" t="str">
        <f>IF(Cadastro!$N147="","",Cadastro!$N147)</f>
        <v/>
      </c>
      <c r="G147" s="24">
        <f>N(Cadastro!$O147)</f>
        <v>0</v>
      </c>
      <c r="H147" s="24">
        <f>N(Cadastro!$P147)</f>
        <v>0</v>
      </c>
      <c r="I147" s="23">
        <f>N(Cadastro!$Q147)</f>
        <v>0</v>
      </c>
      <c r="J147" s="21" t="str">
        <f t="shared" si="29"/>
        <v/>
      </c>
      <c r="K147" s="21" t="str">
        <f t="shared" si="30"/>
        <v/>
      </c>
      <c r="L147" s="24" t="str">
        <f t="shared" si="31"/>
        <v/>
      </c>
      <c r="M147" s="21" t="str">
        <f t="shared" si="32"/>
        <v/>
      </c>
      <c r="N147" s="21" t="str">
        <f t="shared" si="33"/>
        <v/>
      </c>
      <c r="O147" s="19" t="str">
        <f t="shared" si="34"/>
        <v/>
      </c>
    </row>
    <row r="148" spans="1:15" x14ac:dyDescent="0.3">
      <c r="A148" s="19" t="str">
        <f>IF(Cadastro!$M148="","",Cadastro!$M148)</f>
        <v/>
      </c>
      <c r="B148" s="19" t="str">
        <f>IF(Cadastro!$H148="","",Cadastro!$H148)</f>
        <v/>
      </c>
      <c r="C148" s="21" t="str">
        <f>IF(Cadastro!$B148="","",Cadastro!$B148)</f>
        <v/>
      </c>
      <c r="D148" s="21" t="str">
        <f>IF(Cadastro!$C148="","",Cadastro!$C148)</f>
        <v/>
      </c>
      <c r="E148" s="19" t="str">
        <f t="shared" si="28"/>
        <v/>
      </c>
      <c r="F148" s="19" t="str">
        <f>IF(Cadastro!$N148="","",Cadastro!$N148)</f>
        <v/>
      </c>
      <c r="G148" s="24">
        <f>N(Cadastro!$O148)</f>
        <v>0</v>
      </c>
      <c r="H148" s="24">
        <f>N(Cadastro!$P148)</f>
        <v>0</v>
      </c>
      <c r="I148" s="23">
        <f>N(Cadastro!$Q148)</f>
        <v>0</v>
      </c>
      <c r="J148" s="21" t="str">
        <f t="shared" si="29"/>
        <v/>
      </c>
      <c r="K148" s="21" t="str">
        <f t="shared" si="30"/>
        <v/>
      </c>
      <c r="L148" s="24" t="str">
        <f t="shared" si="31"/>
        <v/>
      </c>
      <c r="M148" s="21" t="str">
        <f t="shared" si="32"/>
        <v/>
      </c>
      <c r="N148" s="21" t="str">
        <f t="shared" si="33"/>
        <v/>
      </c>
      <c r="O148" s="19" t="str">
        <f t="shared" si="34"/>
        <v/>
      </c>
    </row>
    <row r="149" spans="1:15" x14ac:dyDescent="0.3">
      <c r="A149" s="19" t="str">
        <f>IF(Cadastro!$M149="","",Cadastro!$M149)</f>
        <v/>
      </c>
      <c r="B149" s="19" t="str">
        <f>IF(Cadastro!$H149="","",Cadastro!$H149)</f>
        <v/>
      </c>
      <c r="C149" s="21" t="str">
        <f>IF(Cadastro!$B149="","",Cadastro!$B149)</f>
        <v/>
      </c>
      <c r="D149" s="21" t="str">
        <f>IF(Cadastro!$C149="","",Cadastro!$C149)</f>
        <v/>
      </c>
      <c r="E149" s="19" t="str">
        <f t="shared" si="28"/>
        <v/>
      </c>
      <c r="F149" s="19" t="str">
        <f>IF(Cadastro!$N149="","",Cadastro!$N149)</f>
        <v/>
      </c>
      <c r="G149" s="24">
        <f>N(Cadastro!$O149)</f>
        <v>0</v>
      </c>
      <c r="H149" s="24">
        <f>N(Cadastro!$P149)</f>
        <v>0</v>
      </c>
      <c r="I149" s="23">
        <f>N(Cadastro!$Q149)</f>
        <v>0</v>
      </c>
      <c r="J149" s="21" t="str">
        <f t="shared" si="29"/>
        <v/>
      </c>
      <c r="K149" s="21" t="str">
        <f t="shared" si="30"/>
        <v/>
      </c>
      <c r="L149" s="24" t="str">
        <f t="shared" si="31"/>
        <v/>
      </c>
      <c r="M149" s="21" t="str">
        <f t="shared" si="32"/>
        <v/>
      </c>
      <c r="N149" s="21" t="str">
        <f t="shared" si="33"/>
        <v/>
      </c>
      <c r="O149" s="19" t="str">
        <f t="shared" si="34"/>
        <v/>
      </c>
    </row>
    <row r="150" spans="1:15" x14ac:dyDescent="0.3">
      <c r="A150" s="19" t="str">
        <f>IF(Cadastro!$M150="","",Cadastro!$M150)</f>
        <v/>
      </c>
      <c r="B150" s="19" t="str">
        <f>IF(Cadastro!$H150="","",Cadastro!$H150)</f>
        <v/>
      </c>
      <c r="C150" s="21" t="str">
        <f>IF(Cadastro!$B150="","",Cadastro!$B150)</f>
        <v/>
      </c>
      <c r="D150" s="21" t="str">
        <f>IF(Cadastro!$C150="","",Cadastro!$C150)</f>
        <v/>
      </c>
      <c r="E150" s="19" t="str">
        <f t="shared" si="28"/>
        <v/>
      </c>
      <c r="F150" s="19" t="str">
        <f>IF(Cadastro!$N150="","",Cadastro!$N150)</f>
        <v/>
      </c>
      <c r="G150" s="24">
        <f>N(Cadastro!$O150)</f>
        <v>0</v>
      </c>
      <c r="H150" s="24">
        <f>N(Cadastro!$P150)</f>
        <v>0</v>
      </c>
      <c r="I150" s="23">
        <f>N(Cadastro!$Q150)</f>
        <v>0</v>
      </c>
      <c r="J150" s="21" t="str">
        <f t="shared" si="29"/>
        <v/>
      </c>
      <c r="K150" s="21" t="str">
        <f t="shared" si="30"/>
        <v/>
      </c>
      <c r="L150" s="24" t="str">
        <f t="shared" si="31"/>
        <v/>
      </c>
      <c r="M150" s="21" t="str">
        <f t="shared" si="32"/>
        <v/>
      </c>
      <c r="N150" s="21" t="str">
        <f t="shared" si="33"/>
        <v/>
      </c>
      <c r="O150" s="19" t="str">
        <f t="shared" si="34"/>
        <v/>
      </c>
    </row>
    <row r="151" spans="1:15" x14ac:dyDescent="0.3">
      <c r="A151" s="19" t="str">
        <f>IF(Cadastro!$M151="","",Cadastro!$M151)</f>
        <v/>
      </c>
      <c r="B151" s="19" t="str">
        <f>IF(Cadastro!$H151="","",Cadastro!$H151)</f>
        <v/>
      </c>
      <c r="C151" s="21" t="str">
        <f>IF(Cadastro!$B151="","",Cadastro!$B151)</f>
        <v/>
      </c>
      <c r="D151" s="21" t="str">
        <f>IF(Cadastro!$C151="","",Cadastro!$C151)</f>
        <v/>
      </c>
      <c r="E151" s="19" t="str">
        <f t="shared" si="28"/>
        <v/>
      </c>
      <c r="F151" s="19" t="str">
        <f>IF(Cadastro!$N151="","",Cadastro!$N151)</f>
        <v/>
      </c>
      <c r="G151" s="24">
        <f>N(Cadastro!$O151)</f>
        <v>0</v>
      </c>
      <c r="H151" s="24">
        <f>N(Cadastro!$P151)</f>
        <v>0</v>
      </c>
      <c r="I151" s="23">
        <f>N(Cadastro!$Q151)</f>
        <v>0</v>
      </c>
      <c r="J151" s="21" t="str">
        <f t="shared" si="29"/>
        <v/>
      </c>
      <c r="K151" s="21" t="str">
        <f t="shared" si="30"/>
        <v/>
      </c>
      <c r="L151" s="24" t="str">
        <f t="shared" si="31"/>
        <v/>
      </c>
      <c r="M151" s="21" t="str">
        <f t="shared" si="32"/>
        <v/>
      </c>
      <c r="N151" s="21" t="str">
        <f t="shared" si="33"/>
        <v/>
      </c>
      <c r="O151" s="19" t="str">
        <f t="shared" si="34"/>
        <v/>
      </c>
    </row>
    <row r="152" spans="1:15" x14ac:dyDescent="0.3">
      <c r="A152" s="19" t="str">
        <f>IF(Cadastro!$M152="","",Cadastro!$M152)</f>
        <v/>
      </c>
      <c r="B152" s="19" t="str">
        <f>IF(Cadastro!$H152="","",Cadastro!$H152)</f>
        <v/>
      </c>
      <c r="C152" s="21" t="str">
        <f>IF(Cadastro!$B152="","",Cadastro!$B152)</f>
        <v/>
      </c>
      <c r="D152" s="21" t="str">
        <f>IF(Cadastro!$C152="","",Cadastro!$C152)</f>
        <v/>
      </c>
      <c r="E152" s="19" t="str">
        <f t="shared" si="28"/>
        <v/>
      </c>
      <c r="F152" s="19" t="str">
        <f>IF(Cadastro!$N152="","",Cadastro!$N152)</f>
        <v/>
      </c>
      <c r="G152" s="24">
        <f>N(Cadastro!$O152)</f>
        <v>0</v>
      </c>
      <c r="H152" s="24">
        <f>N(Cadastro!$P152)</f>
        <v>0</v>
      </c>
      <c r="I152" s="23">
        <f>N(Cadastro!$Q152)</f>
        <v>0</v>
      </c>
      <c r="J152" s="21" t="str">
        <f t="shared" si="29"/>
        <v/>
      </c>
      <c r="K152" s="21" t="str">
        <f t="shared" si="30"/>
        <v/>
      </c>
      <c r="L152" s="24" t="str">
        <f t="shared" si="31"/>
        <v/>
      </c>
      <c r="M152" s="21" t="str">
        <f t="shared" si="32"/>
        <v/>
      </c>
      <c r="N152" s="21" t="str">
        <f t="shared" si="33"/>
        <v/>
      </c>
      <c r="O152" s="19" t="str">
        <f t="shared" si="34"/>
        <v/>
      </c>
    </row>
    <row r="153" spans="1:15" x14ac:dyDescent="0.3">
      <c r="A153" s="19" t="str">
        <f>IF(Cadastro!$M153="","",Cadastro!$M153)</f>
        <v/>
      </c>
      <c r="B153" s="19" t="str">
        <f>IF(Cadastro!$H153="","",Cadastro!$H153)</f>
        <v/>
      </c>
      <c r="C153" s="21" t="str">
        <f>IF(Cadastro!$B153="","",Cadastro!$B153)</f>
        <v/>
      </c>
      <c r="D153" s="21" t="str">
        <f>IF(Cadastro!$C153="","",Cadastro!$C153)</f>
        <v/>
      </c>
      <c r="E153" s="19" t="str">
        <f t="shared" si="28"/>
        <v/>
      </c>
      <c r="F153" s="19" t="str">
        <f>IF(Cadastro!$N153="","",Cadastro!$N153)</f>
        <v/>
      </c>
      <c r="G153" s="24">
        <f>N(Cadastro!$O153)</f>
        <v>0</v>
      </c>
      <c r="H153" s="24">
        <f>N(Cadastro!$P153)</f>
        <v>0</v>
      </c>
      <c r="I153" s="23">
        <f>N(Cadastro!$Q153)</f>
        <v>0</v>
      </c>
      <c r="J153" s="21" t="str">
        <f t="shared" si="29"/>
        <v/>
      </c>
      <c r="K153" s="21" t="str">
        <f t="shared" si="30"/>
        <v/>
      </c>
      <c r="L153" s="24" t="str">
        <f t="shared" si="31"/>
        <v/>
      </c>
      <c r="M153" s="21" t="str">
        <f t="shared" si="32"/>
        <v/>
      </c>
      <c r="N153" s="21" t="str">
        <f t="shared" si="33"/>
        <v/>
      </c>
      <c r="O153" s="19" t="str">
        <f t="shared" si="34"/>
        <v/>
      </c>
    </row>
    <row r="154" spans="1:15" x14ac:dyDescent="0.3">
      <c r="A154" s="19" t="str">
        <f>IF(Cadastro!$M154="","",Cadastro!$M154)</f>
        <v/>
      </c>
      <c r="B154" s="19" t="str">
        <f>IF(Cadastro!$H154="","",Cadastro!$H154)</f>
        <v/>
      </c>
      <c r="C154" s="21" t="str">
        <f>IF(Cadastro!$B154="","",Cadastro!$B154)</f>
        <v/>
      </c>
      <c r="D154" s="21" t="str">
        <f>IF(Cadastro!$C154="","",Cadastro!$C154)</f>
        <v/>
      </c>
      <c r="E154" s="19" t="str">
        <f t="shared" si="28"/>
        <v/>
      </c>
      <c r="F154" s="19" t="str">
        <f>IF(Cadastro!$N154="","",Cadastro!$N154)</f>
        <v/>
      </c>
      <c r="G154" s="24">
        <f>N(Cadastro!$O154)</f>
        <v>0</v>
      </c>
      <c r="H154" s="24">
        <f>N(Cadastro!$P154)</f>
        <v>0</v>
      </c>
      <c r="I154" s="23">
        <f>N(Cadastro!$Q154)</f>
        <v>0</v>
      </c>
      <c r="J154" s="21" t="str">
        <f t="shared" si="29"/>
        <v/>
      </c>
      <c r="K154" s="21" t="str">
        <f t="shared" si="30"/>
        <v/>
      </c>
      <c r="L154" s="24" t="str">
        <f t="shared" si="31"/>
        <v/>
      </c>
      <c r="M154" s="21" t="str">
        <f t="shared" si="32"/>
        <v/>
      </c>
      <c r="N154" s="21" t="str">
        <f t="shared" si="33"/>
        <v/>
      </c>
      <c r="O154" s="19" t="str">
        <f t="shared" si="34"/>
        <v/>
      </c>
    </row>
  </sheetData>
  <conditionalFormatting sqref="O5:O154">
    <cfRule type="expression" dxfId="6" priority="2">
      <formula>OR(ISNUMBER(SEARCH("ATRAS",$O5)),$O5="RECEBIMENTO ACIMA DA OC")</formula>
    </cfRule>
    <cfRule type="expression" dxfId="5" priority="3">
      <formula>$O5="CONCLUÍDA NO PRAZO"</formula>
    </cfRule>
  </conditionalFormatting>
  <pageMargins left="0.75" right="0.75" top="1" bottom="1" header="0.511811023622047" footer="0.511811023622047"/>
  <pageSetup paperSize="9" orientation="portrait" horizontalDpi="300" verticalDpi="30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3A7CA5"/>
  </sheetPr>
  <dimension ref="A1:P154"/>
  <sheetViews>
    <sheetView showGridLines="0" zoomScaleNormal="100" workbookViewId="0">
      <pane xSplit="2" ySplit="4" topLeftCell="D5" activePane="bottomRight" state="frozen"/>
      <selection pane="topRight" activeCell="C1" sqref="C1"/>
      <selection pane="bottomLeft" activeCell="A5" sqref="A5"/>
      <selection pane="bottomRight" activeCell="B19" sqref="B19"/>
    </sheetView>
  </sheetViews>
  <sheetFormatPr defaultColWidth="8.6640625" defaultRowHeight="14.4" x14ac:dyDescent="0.3"/>
  <cols>
    <col min="1" max="1" width="14" customWidth="1"/>
    <col min="2" max="2" width="52" customWidth="1"/>
    <col min="3" max="3" width="18" hidden="1" customWidth="1"/>
    <col min="4" max="7" width="13" customWidth="1"/>
    <col min="8" max="8" width="36" customWidth="1"/>
    <col min="9" max="9" width="13" customWidth="1"/>
    <col min="10" max="10" width="11" customWidth="1"/>
    <col min="11" max="11" width="13" customWidth="1"/>
    <col min="12" max="13" width="20" customWidth="1"/>
    <col min="14" max="14" width="32" customWidth="1"/>
    <col min="15" max="15" width="38" customWidth="1"/>
    <col min="16" max="16" width="28" customWidth="1"/>
  </cols>
  <sheetData>
    <row r="1" spans="1:16" ht="18" x14ac:dyDescent="0.35">
      <c r="A1" s="12" t="s">
        <v>237</v>
      </c>
    </row>
    <row r="2" spans="1:16" x14ac:dyDescent="0.3">
      <c r="A2" s="15" t="s">
        <v>238</v>
      </c>
    </row>
    <row r="4" spans="1:16" ht="31.5" customHeight="1" x14ac:dyDescent="0.3">
      <c r="A4" s="16" t="s">
        <v>239</v>
      </c>
      <c r="B4" s="16" t="s">
        <v>240</v>
      </c>
      <c r="C4" s="16" t="s">
        <v>180</v>
      </c>
      <c r="D4" s="16" t="s">
        <v>191</v>
      </c>
      <c r="E4" s="16" t="s">
        <v>186</v>
      </c>
      <c r="F4" s="16" t="s">
        <v>34</v>
      </c>
      <c r="G4" s="16" t="s">
        <v>181</v>
      </c>
      <c r="H4" s="16" t="s">
        <v>210</v>
      </c>
      <c r="I4" s="16" t="s">
        <v>241</v>
      </c>
      <c r="J4" s="16" t="s">
        <v>200</v>
      </c>
      <c r="K4" s="16" t="s">
        <v>242</v>
      </c>
      <c r="L4" s="16" t="s">
        <v>243</v>
      </c>
      <c r="M4" s="16" t="s">
        <v>244</v>
      </c>
      <c r="N4" s="16" t="s">
        <v>245</v>
      </c>
      <c r="O4" s="16" t="s">
        <v>192</v>
      </c>
      <c r="P4" s="16" t="s">
        <v>246</v>
      </c>
    </row>
    <row r="5" spans="1:16" x14ac:dyDescent="0.3">
      <c r="A5" s="18">
        <v>579</v>
      </c>
      <c r="B5" s="18" t="s">
        <v>247</v>
      </c>
      <c r="C5" s="19" t="str">
        <f t="shared" ref="C5:C36" si="0">IF($B5="","",IFERROR(INDEX(Cad_ID,MATCH($B5,Cad_Rotulo,0)),""))</f>
        <v>123-105356</v>
      </c>
      <c r="D5" s="19">
        <f t="shared" ref="D5:D36" si="1">IF($C5="","",IFERROR(INDEX(Cad_OC,MATCH($C5,Cad_ID,0)),""))</f>
        <v>1849451</v>
      </c>
      <c r="E5" s="19">
        <f t="shared" ref="E5:E36" si="2">IF($C5="","",IFERROR(INDEX(Cad_SC,MATCH($C5,Cad_ID,0)),""))</f>
        <v>2446440</v>
      </c>
      <c r="F5" s="21">
        <f t="shared" ref="F5:F36" si="3">IF($C5="","",IFERROR(INDEX(Cad_Cham,MATCH($C5,Cad_ID,0)),""))</f>
        <v>123</v>
      </c>
      <c r="G5" s="21">
        <f t="shared" ref="G5:G36" si="4">IF($C5="","",IFERROR(INDEX(Cad_Prod,MATCH($C5,Cad_ID,0)),""))</f>
        <v>105356</v>
      </c>
      <c r="H5" s="19" t="str">
        <f t="shared" ref="H5:H36" si="5">IF($G5="","",IFERROR(INDEX(Prod_Desc,MATCH($G5,Prod_Cod,0)),"PRODUTO NÃO CADASTRADO"))</f>
        <v>MODULO VIDEOPORTEIRO EXTERNO</v>
      </c>
      <c r="I5" s="20">
        <v>46228</v>
      </c>
      <c r="J5" s="17">
        <v>2</v>
      </c>
      <c r="K5" s="18" t="s">
        <v>63</v>
      </c>
      <c r="L5" s="18" t="s">
        <v>248</v>
      </c>
      <c r="M5" s="18" t="s">
        <v>249</v>
      </c>
      <c r="N5" s="18"/>
      <c r="O5" s="19" t="str">
        <f t="shared" ref="O5:O36" si="6">IF($C5="","",IFERROR(INDEX(Cad_Forn,MATCH($C5,Cad_ID,0)),""))</f>
        <v>A DEFINIR</v>
      </c>
      <c r="P5" s="19" t="str">
        <f t="shared" ref="P5:P36" si="7">IF($A5="","",IF($C5="","ITEM NÃO ENCONTRADO",IF(SUMIFS(Ent_Qtd,Ent_Item,$C5)&gt;SUMIFS(Cad_QtdComp,Cad_ID,$C5),"RECEBIDO ACIMA DA OC","OK")))</f>
        <v>OK</v>
      </c>
    </row>
    <row r="6" spans="1:16" x14ac:dyDescent="0.3">
      <c r="A6" s="18">
        <v>7955</v>
      </c>
      <c r="B6" s="18" t="s">
        <v>250</v>
      </c>
      <c r="C6" s="19" t="str">
        <f t="shared" si="0"/>
        <v>N/A01-86698</v>
      </c>
      <c r="D6" s="19">
        <f t="shared" si="1"/>
        <v>1444808</v>
      </c>
      <c r="E6" s="19">
        <f t="shared" si="2"/>
        <v>1813487</v>
      </c>
      <c r="F6" s="21" t="str">
        <f t="shared" si="3"/>
        <v>N/A01</v>
      </c>
      <c r="G6" s="21">
        <f t="shared" si="4"/>
        <v>86698</v>
      </c>
      <c r="H6" s="19" t="str">
        <f t="shared" si="5"/>
        <v>SD6AL245GB-HNV</v>
      </c>
      <c r="I6" s="20">
        <v>45932</v>
      </c>
      <c r="J6" s="17">
        <v>1</v>
      </c>
      <c r="K6" s="18" t="s">
        <v>76</v>
      </c>
      <c r="L6" s="18" t="s">
        <v>251</v>
      </c>
      <c r="M6" s="18" t="s">
        <v>249</v>
      </c>
      <c r="N6" s="18"/>
      <c r="O6" s="19" t="str">
        <f t="shared" si="6"/>
        <v>BRAKO COMÉRCIO DE EQUIPAMENTOS ELETRÔNICOS LTDA</v>
      </c>
      <c r="P6" s="19" t="str">
        <f t="shared" si="7"/>
        <v>OK</v>
      </c>
    </row>
    <row r="7" spans="1:16" x14ac:dyDescent="0.3">
      <c r="A7" s="18">
        <v>7936</v>
      </c>
      <c r="B7" s="18" t="s">
        <v>252</v>
      </c>
      <c r="C7" s="19" t="str">
        <f t="shared" si="0"/>
        <v>N/A01-85197</v>
      </c>
      <c r="D7" s="19">
        <f t="shared" si="1"/>
        <v>1478354</v>
      </c>
      <c r="E7" s="19">
        <f t="shared" si="2"/>
        <v>1813492</v>
      </c>
      <c r="F7" s="21" t="str">
        <f t="shared" si="3"/>
        <v>N/A01</v>
      </c>
      <c r="G7" s="21">
        <f t="shared" si="4"/>
        <v>85197</v>
      </c>
      <c r="H7" s="19" t="str">
        <f t="shared" si="5"/>
        <v>PW4D-IZ3</v>
      </c>
      <c r="I7" s="20">
        <v>45932</v>
      </c>
      <c r="J7" s="17">
        <v>2</v>
      </c>
      <c r="K7" s="18" t="s">
        <v>76</v>
      </c>
      <c r="L7" s="18" t="s">
        <v>251</v>
      </c>
      <c r="M7" s="18" t="s">
        <v>249</v>
      </c>
      <c r="N7" s="18"/>
      <c r="O7" s="19" t="str">
        <f t="shared" si="6"/>
        <v>BRAKO COMÉRCIO DE EQUIPAMENTOS ELETRÔNICOS LTDA</v>
      </c>
      <c r="P7" s="19" t="str">
        <f t="shared" si="7"/>
        <v>OK</v>
      </c>
    </row>
    <row r="8" spans="1:16" x14ac:dyDescent="0.3">
      <c r="A8" s="18">
        <v>8343</v>
      </c>
      <c r="B8" s="18" t="s">
        <v>253</v>
      </c>
      <c r="C8" s="19" t="str">
        <f t="shared" si="0"/>
        <v>N/A01-63490</v>
      </c>
      <c r="D8" s="19">
        <f t="shared" si="1"/>
        <v>1478354</v>
      </c>
      <c r="E8" s="19">
        <f t="shared" si="2"/>
        <v>1813489</v>
      </c>
      <c r="F8" s="21" t="str">
        <f t="shared" si="3"/>
        <v>N/A01</v>
      </c>
      <c r="G8" s="21">
        <f t="shared" si="4"/>
        <v>63490</v>
      </c>
      <c r="H8" s="19" t="str">
        <f t="shared" si="5"/>
        <v>HFW3441T-ZAS</v>
      </c>
      <c r="I8" s="20">
        <v>46004</v>
      </c>
      <c r="J8" s="17">
        <v>11</v>
      </c>
      <c r="K8" s="18" t="s">
        <v>76</v>
      </c>
      <c r="L8" s="18" t="s">
        <v>251</v>
      </c>
      <c r="M8" s="18" t="s">
        <v>249</v>
      </c>
      <c r="N8" s="18"/>
      <c r="O8" s="19" t="str">
        <f t="shared" si="6"/>
        <v>BRAKO COMÉRCIO DE EQUIPAMENTOS ELETRÔNICOS LTDA</v>
      </c>
      <c r="P8" s="19" t="str">
        <f t="shared" si="7"/>
        <v>OK</v>
      </c>
    </row>
    <row r="9" spans="1:16" x14ac:dyDescent="0.3">
      <c r="A9" s="18">
        <v>8343</v>
      </c>
      <c r="B9" s="18" t="s">
        <v>254</v>
      </c>
      <c r="C9" s="19" t="str">
        <f t="shared" si="0"/>
        <v>N/A01-55721</v>
      </c>
      <c r="D9" s="19">
        <f t="shared" si="1"/>
        <v>1478354</v>
      </c>
      <c r="E9" s="19">
        <f t="shared" si="2"/>
        <v>1813493</v>
      </c>
      <c r="F9" s="21" t="str">
        <f t="shared" si="3"/>
        <v>N/A01</v>
      </c>
      <c r="G9" s="21">
        <f t="shared" si="4"/>
        <v>55721</v>
      </c>
      <c r="H9" s="19" t="str">
        <f t="shared" si="5"/>
        <v>LICENCIAMENTO DIREITOS USO SOFTWARE 7,2 ENTERPRISE PERMANENTE P/SISTEMA MONITORAMENTO</v>
      </c>
      <c r="I9" s="20">
        <v>46004</v>
      </c>
      <c r="J9" s="17">
        <v>1</v>
      </c>
      <c r="K9" s="18" t="s">
        <v>76</v>
      </c>
      <c r="L9" s="18" t="s">
        <v>251</v>
      </c>
      <c r="M9" s="18" t="s">
        <v>249</v>
      </c>
      <c r="N9" s="18"/>
      <c r="O9" s="19" t="str">
        <f t="shared" si="6"/>
        <v>BRAKO COMÉRCIO DE EQUIPAMENTOS ELETRÔNICOS LTDA</v>
      </c>
      <c r="P9" s="19" t="str">
        <f t="shared" si="7"/>
        <v>OK</v>
      </c>
    </row>
    <row r="10" spans="1:16" x14ac:dyDescent="0.3">
      <c r="A10" s="18">
        <v>8630</v>
      </c>
      <c r="B10" s="18" t="s">
        <v>255</v>
      </c>
      <c r="C10" s="19" t="str">
        <f t="shared" si="0"/>
        <v>N/A01-65153</v>
      </c>
      <c r="D10" s="19">
        <f t="shared" si="1"/>
        <v>1478354</v>
      </c>
      <c r="E10" s="19">
        <f t="shared" si="2"/>
        <v>1813484</v>
      </c>
      <c r="F10" s="21" t="str">
        <f t="shared" si="3"/>
        <v>N/A01</v>
      </c>
      <c r="G10" s="21">
        <f t="shared" si="4"/>
        <v>65153</v>
      </c>
      <c r="H10" s="19" t="str">
        <f t="shared" si="5"/>
        <v>DAHUA TECH/EPC230U</v>
      </c>
      <c r="I10" s="20">
        <v>46082</v>
      </c>
      <c r="J10" s="17">
        <v>4</v>
      </c>
      <c r="K10" s="18" t="s">
        <v>76</v>
      </c>
      <c r="L10" s="18" t="s">
        <v>251</v>
      </c>
      <c r="M10" s="18" t="s">
        <v>249</v>
      </c>
      <c r="N10" s="18" t="s">
        <v>256</v>
      </c>
      <c r="O10" s="19" t="str">
        <f t="shared" si="6"/>
        <v>BRAKO COMÉRCIO DE EQUIPAMENTOS ELETRÔNICOS LTDA</v>
      </c>
      <c r="P10" s="19" t="str">
        <f t="shared" si="7"/>
        <v>OK</v>
      </c>
    </row>
    <row r="11" spans="1:16" x14ac:dyDescent="0.3">
      <c r="A11" s="18">
        <v>9508</v>
      </c>
      <c r="B11" s="18" t="s">
        <v>257</v>
      </c>
      <c r="C11" s="19" t="str">
        <f t="shared" si="0"/>
        <v>N/A02-54824</v>
      </c>
      <c r="D11" s="19">
        <f t="shared" si="1"/>
        <v>1894361</v>
      </c>
      <c r="E11" s="19">
        <f t="shared" si="2"/>
        <v>2721467</v>
      </c>
      <c r="F11" s="21" t="str">
        <f t="shared" si="3"/>
        <v>N/A02</v>
      </c>
      <c r="G11" s="21">
        <f t="shared" si="4"/>
        <v>54824</v>
      </c>
      <c r="H11" s="19" t="str">
        <f t="shared" si="5"/>
        <v>SD6AL245U-HNI-IR</v>
      </c>
      <c r="I11" s="20">
        <v>46235</v>
      </c>
      <c r="J11" s="17">
        <v>4</v>
      </c>
      <c r="K11" s="18" t="s">
        <v>63</v>
      </c>
      <c r="L11" s="18" t="s">
        <v>258</v>
      </c>
      <c r="M11" s="18" t="s">
        <v>249</v>
      </c>
      <c r="N11" s="18"/>
      <c r="O11" s="19" t="str">
        <f t="shared" si="6"/>
        <v>BRAKO COMÉRCIO DE EQUIPAMENTOS ELETRÔNICOS LTDA</v>
      </c>
      <c r="P11" s="19" t="str">
        <f t="shared" si="7"/>
        <v>OK</v>
      </c>
    </row>
    <row r="12" spans="1:16" x14ac:dyDescent="0.3">
      <c r="A12" s="18">
        <v>7046</v>
      </c>
      <c r="B12" s="18" t="s">
        <v>628</v>
      </c>
      <c r="C12" s="19" t="str">
        <f t="shared" si="0"/>
        <v>123-68184</v>
      </c>
      <c r="D12" s="19">
        <f t="shared" si="1"/>
        <v>1194247</v>
      </c>
      <c r="E12" s="19">
        <f t="shared" si="2"/>
        <v>1569304</v>
      </c>
      <c r="F12" s="21">
        <f t="shared" si="3"/>
        <v>123</v>
      </c>
      <c r="G12" s="21">
        <f t="shared" si="4"/>
        <v>68184</v>
      </c>
      <c r="H12" s="19" t="str">
        <f t="shared" si="5"/>
        <v>12VCC 2 RS485/RJ45 2179KBPS DAHUA TECH/DHI-ITC413-PW4D-Z1</v>
      </c>
      <c r="I12" s="20">
        <v>45728</v>
      </c>
      <c r="J12" s="17">
        <v>4</v>
      </c>
      <c r="K12" s="18" t="s">
        <v>63</v>
      </c>
      <c r="L12" s="18" t="s">
        <v>258</v>
      </c>
      <c r="M12" s="18" t="s">
        <v>249</v>
      </c>
      <c r="N12" s="18"/>
      <c r="O12" s="19" t="str">
        <f t="shared" si="6"/>
        <v>BRAKO COMÉRCIO DE EQUIPAMENTOS ELETRÔNICOS LTDA</v>
      </c>
      <c r="P12" s="19" t="str">
        <f t="shared" si="7"/>
        <v>OK</v>
      </c>
    </row>
    <row r="13" spans="1:16" x14ac:dyDescent="0.3">
      <c r="A13" s="18">
        <v>8007</v>
      </c>
      <c r="B13" s="18" t="s">
        <v>629</v>
      </c>
      <c r="C13" s="19" t="str">
        <f t="shared" si="0"/>
        <v>123-85197</v>
      </c>
      <c r="D13" s="19">
        <f t="shared" si="1"/>
        <v>1500841</v>
      </c>
      <c r="E13" s="19">
        <f t="shared" si="2"/>
        <v>1924342</v>
      </c>
      <c r="F13" s="21">
        <f t="shared" si="3"/>
        <v>123</v>
      </c>
      <c r="G13" s="21">
        <f t="shared" si="4"/>
        <v>85197</v>
      </c>
      <c r="H13" s="19" t="str">
        <f t="shared" si="5"/>
        <v>PW4D-IZ3</v>
      </c>
      <c r="I13" s="20">
        <v>45925</v>
      </c>
      <c r="J13" s="17">
        <v>1</v>
      </c>
      <c r="K13" s="18" t="s">
        <v>63</v>
      </c>
      <c r="L13" s="18" t="s">
        <v>258</v>
      </c>
      <c r="M13" s="18" t="s">
        <v>249</v>
      </c>
      <c r="N13" s="18"/>
      <c r="O13" s="19" t="str">
        <f t="shared" si="6"/>
        <v>BRAKO COMÉRCIO DE EQUIPAMENTOS ELETRÔNICOS LTDA</v>
      </c>
      <c r="P13" s="19" t="str">
        <f t="shared" si="7"/>
        <v>OK</v>
      </c>
    </row>
    <row r="14" spans="1:16" x14ac:dyDescent="0.3">
      <c r="A14" s="18">
        <v>204</v>
      </c>
      <c r="B14" s="18" t="s">
        <v>633</v>
      </c>
      <c r="C14" s="19" t="str">
        <f t="shared" si="0"/>
        <v>123-52416</v>
      </c>
      <c r="D14" s="19">
        <f t="shared" si="1"/>
        <v>1476734</v>
      </c>
      <c r="E14" s="19">
        <f t="shared" si="2"/>
        <v>1806813</v>
      </c>
      <c r="F14" s="21">
        <f t="shared" si="3"/>
        <v>123</v>
      </c>
      <c r="G14" s="21">
        <f t="shared" si="4"/>
        <v>52416</v>
      </c>
      <c r="H14" s="19" t="str">
        <f t="shared" si="5"/>
        <v xml:space="preserve"> 29PORT 24RJ45/4 SFP/1 USB 100-240VCA 43,60X227X442MM HUAWEI/S5735-L24P4XE-A-V2</v>
      </c>
      <c r="I14" s="20">
        <v>45946</v>
      </c>
      <c r="J14" s="17">
        <v>2</v>
      </c>
      <c r="K14" s="18" t="s">
        <v>63</v>
      </c>
      <c r="L14" s="18" t="s">
        <v>251</v>
      </c>
      <c r="M14" s="18" t="s">
        <v>249</v>
      </c>
      <c r="N14" s="18"/>
      <c r="O14" s="19" t="str">
        <f t="shared" si="6"/>
        <v>MACTI COMERCIO DE INFORMATICA LTDA</v>
      </c>
      <c r="P14" s="19" t="str">
        <f t="shared" si="7"/>
        <v>OK</v>
      </c>
    </row>
    <row r="15" spans="1:16" x14ac:dyDescent="0.3">
      <c r="A15" s="18">
        <v>2586441</v>
      </c>
      <c r="B15" s="18" t="s">
        <v>637</v>
      </c>
      <c r="C15" s="19" t="str">
        <f t="shared" si="0"/>
        <v>123-92927</v>
      </c>
      <c r="D15" s="19">
        <f t="shared" si="1"/>
        <v>1437133</v>
      </c>
      <c r="E15" s="19">
        <f t="shared" si="2"/>
        <v>1806815</v>
      </c>
      <c r="F15" s="21">
        <f t="shared" si="3"/>
        <v>123</v>
      </c>
      <c r="G15" s="21">
        <f t="shared" si="4"/>
        <v>92927</v>
      </c>
      <c r="H15" s="19" t="str">
        <f t="shared" si="5"/>
        <v>INTERFONE PLASTICO ABS 12VCC C/ACIONAMENTO FECHADURA IP/WIFI DAHUA TECH/DHI-VTH5421E(W)-H</v>
      </c>
      <c r="I15" s="20">
        <v>45904</v>
      </c>
      <c r="J15" s="17">
        <v>2</v>
      </c>
      <c r="K15" s="18" t="s">
        <v>63</v>
      </c>
      <c r="L15" s="18" t="s">
        <v>251</v>
      </c>
      <c r="M15" s="18" t="s">
        <v>249</v>
      </c>
      <c r="N15" s="18"/>
      <c r="O15" s="19" t="str">
        <f t="shared" si="6"/>
        <v>MULTISEG COMERCIO DE INFORMATICA E TELECOMUNICAÇÕES EIRELI</v>
      </c>
      <c r="P15" s="19" t="str">
        <f t="shared" si="7"/>
        <v>OK</v>
      </c>
    </row>
    <row r="16" spans="1:16" x14ac:dyDescent="0.3">
      <c r="A16" s="18">
        <v>8237</v>
      </c>
      <c r="B16" s="18" t="s">
        <v>640</v>
      </c>
      <c r="C16" s="19" t="str">
        <f t="shared" si="0"/>
        <v>123-86736</v>
      </c>
      <c r="D16" s="19">
        <f t="shared" si="1"/>
        <v>1444810</v>
      </c>
      <c r="E16" s="19">
        <f t="shared" si="2"/>
        <v>1806817</v>
      </c>
      <c r="F16" s="21">
        <f t="shared" si="3"/>
        <v>123</v>
      </c>
      <c r="G16" s="21">
        <f t="shared" si="4"/>
        <v>86736</v>
      </c>
      <c r="H16" s="19" t="str">
        <f t="shared" si="5"/>
        <v>UNIDADE CONTROLE ACESSOS ELETR LCD 7POL FACIAL 218X118X24,20MM C/SUPORTE DAHUA TECH/DHI-ASI7213S-W</v>
      </c>
      <c r="I16" s="20">
        <v>45994</v>
      </c>
      <c r="J16" s="17">
        <v>4</v>
      </c>
      <c r="K16" s="18" t="s">
        <v>63</v>
      </c>
      <c r="L16" s="18" t="s">
        <v>251</v>
      </c>
      <c r="M16" s="18" t="s">
        <v>249</v>
      </c>
      <c r="N16" s="18"/>
      <c r="O16" s="19" t="str">
        <f t="shared" si="6"/>
        <v>BRAKO COMÉRCIO DE EQUIPAMENTOS ELETRÔNICOS LTDA</v>
      </c>
      <c r="P16" s="19" t="str">
        <f t="shared" si="7"/>
        <v>OK</v>
      </c>
    </row>
    <row r="17" spans="1:16" x14ac:dyDescent="0.3">
      <c r="A17" s="18"/>
      <c r="B17" s="18"/>
      <c r="C17" s="19" t="str">
        <f t="shared" si="0"/>
        <v/>
      </c>
      <c r="D17" s="19" t="str">
        <f t="shared" si="1"/>
        <v/>
      </c>
      <c r="E17" s="19" t="str">
        <f t="shared" si="2"/>
        <v/>
      </c>
      <c r="F17" s="21" t="str">
        <f t="shared" si="3"/>
        <v/>
      </c>
      <c r="G17" s="21" t="str">
        <f t="shared" si="4"/>
        <v/>
      </c>
      <c r="H17" s="19" t="str">
        <f t="shared" si="5"/>
        <v/>
      </c>
      <c r="I17" s="20"/>
      <c r="J17" s="17"/>
      <c r="K17" s="18"/>
      <c r="L17" s="18"/>
      <c r="M17" s="18"/>
      <c r="N17" s="18"/>
      <c r="O17" s="19" t="str">
        <f t="shared" si="6"/>
        <v/>
      </c>
      <c r="P17" s="19" t="str">
        <f t="shared" si="7"/>
        <v/>
      </c>
    </row>
    <row r="18" spans="1:16" x14ac:dyDescent="0.3">
      <c r="A18" s="18"/>
      <c r="B18" s="18"/>
      <c r="C18" s="19" t="str">
        <f t="shared" si="0"/>
        <v/>
      </c>
      <c r="D18" s="19" t="str">
        <f t="shared" si="1"/>
        <v/>
      </c>
      <c r="E18" s="19" t="str">
        <f t="shared" si="2"/>
        <v/>
      </c>
      <c r="F18" s="21" t="str">
        <f t="shared" si="3"/>
        <v/>
      </c>
      <c r="G18" s="21" t="str">
        <f t="shared" si="4"/>
        <v/>
      </c>
      <c r="H18" s="19" t="str">
        <f t="shared" si="5"/>
        <v/>
      </c>
      <c r="I18" s="20"/>
      <c r="J18" s="17"/>
      <c r="K18" s="18"/>
      <c r="L18" s="18"/>
      <c r="M18" s="18"/>
      <c r="N18" s="18"/>
      <c r="O18" s="19" t="str">
        <f t="shared" si="6"/>
        <v/>
      </c>
      <c r="P18" s="19" t="str">
        <f t="shared" si="7"/>
        <v/>
      </c>
    </row>
    <row r="19" spans="1:16" x14ac:dyDescent="0.3">
      <c r="A19" s="18"/>
      <c r="B19" s="18"/>
      <c r="C19" s="19" t="str">
        <f t="shared" si="0"/>
        <v/>
      </c>
      <c r="D19" s="19" t="str">
        <f t="shared" si="1"/>
        <v/>
      </c>
      <c r="E19" s="19" t="str">
        <f t="shared" si="2"/>
        <v/>
      </c>
      <c r="F19" s="21" t="str">
        <f t="shared" si="3"/>
        <v/>
      </c>
      <c r="G19" s="21" t="str">
        <f t="shared" si="4"/>
        <v/>
      </c>
      <c r="H19" s="19" t="str">
        <f t="shared" si="5"/>
        <v/>
      </c>
      <c r="I19" s="20"/>
      <c r="J19" s="17"/>
      <c r="K19" s="18"/>
      <c r="L19" s="18"/>
      <c r="M19" s="18"/>
      <c r="N19" s="18"/>
      <c r="O19" s="19" t="str">
        <f t="shared" si="6"/>
        <v/>
      </c>
      <c r="P19" s="19" t="str">
        <f t="shared" si="7"/>
        <v/>
      </c>
    </row>
    <row r="20" spans="1:16" x14ac:dyDescent="0.3">
      <c r="A20" s="18"/>
      <c r="B20" s="18"/>
      <c r="C20" s="19" t="str">
        <f t="shared" si="0"/>
        <v/>
      </c>
      <c r="D20" s="19" t="str">
        <f t="shared" si="1"/>
        <v/>
      </c>
      <c r="E20" s="19" t="str">
        <f t="shared" si="2"/>
        <v/>
      </c>
      <c r="F20" s="21" t="str">
        <f t="shared" si="3"/>
        <v/>
      </c>
      <c r="G20" s="21" t="str">
        <f t="shared" si="4"/>
        <v/>
      </c>
      <c r="H20" s="19" t="str">
        <f t="shared" si="5"/>
        <v/>
      </c>
      <c r="I20" s="20"/>
      <c r="J20" s="17"/>
      <c r="K20" s="18"/>
      <c r="L20" s="18"/>
      <c r="M20" s="18"/>
      <c r="N20" s="18"/>
      <c r="O20" s="19" t="str">
        <f t="shared" si="6"/>
        <v/>
      </c>
      <c r="P20" s="19" t="str">
        <f t="shared" si="7"/>
        <v/>
      </c>
    </row>
    <row r="21" spans="1:16" x14ac:dyDescent="0.3">
      <c r="A21" s="18"/>
      <c r="B21" s="18"/>
      <c r="C21" s="19" t="str">
        <f t="shared" si="0"/>
        <v/>
      </c>
      <c r="D21" s="19" t="str">
        <f t="shared" si="1"/>
        <v/>
      </c>
      <c r="E21" s="19" t="str">
        <f t="shared" si="2"/>
        <v/>
      </c>
      <c r="F21" s="21" t="str">
        <f t="shared" si="3"/>
        <v/>
      </c>
      <c r="G21" s="21" t="str">
        <f t="shared" si="4"/>
        <v/>
      </c>
      <c r="H21" s="19" t="str">
        <f t="shared" si="5"/>
        <v/>
      </c>
      <c r="I21" s="20"/>
      <c r="J21" s="17"/>
      <c r="K21" s="18"/>
      <c r="L21" s="18"/>
      <c r="M21" s="18"/>
      <c r="N21" s="18"/>
      <c r="O21" s="19" t="str">
        <f t="shared" si="6"/>
        <v/>
      </c>
      <c r="P21" s="19" t="str">
        <f t="shared" si="7"/>
        <v/>
      </c>
    </row>
    <row r="22" spans="1:16" x14ac:dyDescent="0.3">
      <c r="A22" s="18"/>
      <c r="B22" s="18"/>
      <c r="C22" s="19" t="str">
        <f t="shared" si="0"/>
        <v/>
      </c>
      <c r="D22" s="19" t="str">
        <f t="shared" si="1"/>
        <v/>
      </c>
      <c r="E22" s="19" t="str">
        <f t="shared" si="2"/>
        <v/>
      </c>
      <c r="F22" s="21" t="str">
        <f t="shared" si="3"/>
        <v/>
      </c>
      <c r="G22" s="21" t="str">
        <f t="shared" si="4"/>
        <v/>
      </c>
      <c r="H22" s="19" t="str">
        <f t="shared" si="5"/>
        <v/>
      </c>
      <c r="I22" s="20"/>
      <c r="J22" s="17"/>
      <c r="K22" s="18"/>
      <c r="L22" s="18"/>
      <c r="M22" s="18"/>
      <c r="N22" s="18"/>
      <c r="O22" s="19" t="str">
        <f t="shared" si="6"/>
        <v/>
      </c>
      <c r="P22" s="19" t="str">
        <f t="shared" si="7"/>
        <v/>
      </c>
    </row>
    <row r="23" spans="1:16" x14ac:dyDescent="0.3">
      <c r="A23" s="18"/>
      <c r="B23" s="18"/>
      <c r="C23" s="19" t="str">
        <f t="shared" si="0"/>
        <v/>
      </c>
      <c r="D23" s="19" t="str">
        <f t="shared" si="1"/>
        <v/>
      </c>
      <c r="E23" s="19" t="str">
        <f t="shared" si="2"/>
        <v/>
      </c>
      <c r="F23" s="21" t="str">
        <f t="shared" si="3"/>
        <v/>
      </c>
      <c r="G23" s="21" t="str">
        <f t="shared" si="4"/>
        <v/>
      </c>
      <c r="H23" s="19" t="str">
        <f t="shared" si="5"/>
        <v/>
      </c>
      <c r="I23" s="20"/>
      <c r="J23" s="17"/>
      <c r="K23" s="18"/>
      <c r="L23" s="18"/>
      <c r="M23" s="18"/>
      <c r="N23" s="18"/>
      <c r="O23" s="19" t="str">
        <f t="shared" si="6"/>
        <v/>
      </c>
      <c r="P23" s="19" t="str">
        <f t="shared" si="7"/>
        <v/>
      </c>
    </row>
    <row r="24" spans="1:16" x14ac:dyDescent="0.3">
      <c r="A24" s="18"/>
      <c r="B24" s="18"/>
      <c r="C24" s="19" t="str">
        <f t="shared" si="0"/>
        <v/>
      </c>
      <c r="D24" s="19" t="str">
        <f t="shared" si="1"/>
        <v/>
      </c>
      <c r="E24" s="19" t="str">
        <f t="shared" si="2"/>
        <v/>
      </c>
      <c r="F24" s="21" t="str">
        <f t="shared" si="3"/>
        <v/>
      </c>
      <c r="G24" s="21" t="str">
        <f t="shared" si="4"/>
        <v/>
      </c>
      <c r="H24" s="19" t="str">
        <f t="shared" si="5"/>
        <v/>
      </c>
      <c r="I24" s="20"/>
      <c r="J24" s="17"/>
      <c r="K24" s="18"/>
      <c r="L24" s="18"/>
      <c r="M24" s="18"/>
      <c r="N24" s="18"/>
      <c r="O24" s="19" t="str">
        <f t="shared" si="6"/>
        <v/>
      </c>
      <c r="P24" s="19" t="str">
        <f t="shared" si="7"/>
        <v/>
      </c>
    </row>
    <row r="25" spans="1:16" x14ac:dyDescent="0.3">
      <c r="A25" s="18"/>
      <c r="B25" s="18"/>
      <c r="C25" s="19" t="str">
        <f t="shared" si="0"/>
        <v/>
      </c>
      <c r="D25" s="19" t="str">
        <f t="shared" si="1"/>
        <v/>
      </c>
      <c r="E25" s="19" t="str">
        <f t="shared" si="2"/>
        <v/>
      </c>
      <c r="F25" s="21" t="str">
        <f t="shared" si="3"/>
        <v/>
      </c>
      <c r="G25" s="21" t="str">
        <f t="shared" si="4"/>
        <v/>
      </c>
      <c r="H25" s="19" t="str">
        <f t="shared" si="5"/>
        <v/>
      </c>
      <c r="I25" s="20"/>
      <c r="J25" s="17"/>
      <c r="K25" s="18"/>
      <c r="L25" s="18"/>
      <c r="M25" s="18"/>
      <c r="N25" s="18"/>
      <c r="O25" s="19" t="str">
        <f t="shared" si="6"/>
        <v/>
      </c>
      <c r="P25" s="19" t="str">
        <f t="shared" si="7"/>
        <v/>
      </c>
    </row>
    <row r="26" spans="1:16" x14ac:dyDescent="0.3">
      <c r="A26" s="18"/>
      <c r="B26" s="18"/>
      <c r="C26" s="19" t="str">
        <f t="shared" si="0"/>
        <v/>
      </c>
      <c r="D26" s="19" t="str">
        <f t="shared" si="1"/>
        <v/>
      </c>
      <c r="E26" s="19" t="str">
        <f t="shared" si="2"/>
        <v/>
      </c>
      <c r="F26" s="21" t="str">
        <f t="shared" si="3"/>
        <v/>
      </c>
      <c r="G26" s="21" t="str">
        <f t="shared" si="4"/>
        <v/>
      </c>
      <c r="H26" s="19" t="str">
        <f t="shared" si="5"/>
        <v/>
      </c>
      <c r="I26" s="20"/>
      <c r="J26" s="17"/>
      <c r="K26" s="18"/>
      <c r="L26" s="18"/>
      <c r="M26" s="18"/>
      <c r="N26" s="18"/>
      <c r="O26" s="19" t="str">
        <f t="shared" si="6"/>
        <v/>
      </c>
      <c r="P26" s="19" t="str">
        <f t="shared" si="7"/>
        <v/>
      </c>
    </row>
    <row r="27" spans="1:16" x14ac:dyDescent="0.3">
      <c r="A27" s="18"/>
      <c r="B27" s="18"/>
      <c r="C27" s="19" t="str">
        <f t="shared" si="0"/>
        <v/>
      </c>
      <c r="D27" s="19" t="str">
        <f t="shared" si="1"/>
        <v/>
      </c>
      <c r="E27" s="19" t="str">
        <f t="shared" si="2"/>
        <v/>
      </c>
      <c r="F27" s="21" t="str">
        <f t="shared" si="3"/>
        <v/>
      </c>
      <c r="G27" s="21" t="str">
        <f t="shared" si="4"/>
        <v/>
      </c>
      <c r="H27" s="19" t="str">
        <f t="shared" si="5"/>
        <v/>
      </c>
      <c r="I27" s="20"/>
      <c r="J27" s="17"/>
      <c r="K27" s="18"/>
      <c r="L27" s="18"/>
      <c r="M27" s="18"/>
      <c r="N27" s="18"/>
      <c r="O27" s="19" t="str">
        <f t="shared" si="6"/>
        <v/>
      </c>
      <c r="P27" s="19" t="str">
        <f t="shared" si="7"/>
        <v/>
      </c>
    </row>
    <row r="28" spans="1:16" x14ac:dyDescent="0.3">
      <c r="A28" s="18"/>
      <c r="B28" s="18"/>
      <c r="C28" s="19" t="str">
        <f t="shared" si="0"/>
        <v/>
      </c>
      <c r="D28" s="19" t="str">
        <f t="shared" si="1"/>
        <v/>
      </c>
      <c r="E28" s="19" t="str">
        <f t="shared" si="2"/>
        <v/>
      </c>
      <c r="F28" s="21" t="str">
        <f t="shared" si="3"/>
        <v/>
      </c>
      <c r="G28" s="21" t="str">
        <f t="shared" si="4"/>
        <v/>
      </c>
      <c r="H28" s="19" t="str">
        <f t="shared" si="5"/>
        <v/>
      </c>
      <c r="I28" s="20"/>
      <c r="J28" s="17"/>
      <c r="K28" s="18"/>
      <c r="L28" s="18"/>
      <c r="M28" s="18"/>
      <c r="N28" s="18"/>
      <c r="O28" s="19" t="str">
        <f t="shared" si="6"/>
        <v/>
      </c>
      <c r="P28" s="19" t="str">
        <f t="shared" si="7"/>
        <v/>
      </c>
    </row>
    <row r="29" spans="1:16" x14ac:dyDescent="0.3">
      <c r="A29" s="18"/>
      <c r="B29" s="18"/>
      <c r="C29" s="19" t="str">
        <f t="shared" si="0"/>
        <v/>
      </c>
      <c r="D29" s="19" t="str">
        <f t="shared" si="1"/>
        <v/>
      </c>
      <c r="E29" s="19" t="str">
        <f t="shared" si="2"/>
        <v/>
      </c>
      <c r="F29" s="21" t="str">
        <f t="shared" si="3"/>
        <v/>
      </c>
      <c r="G29" s="21" t="str">
        <f t="shared" si="4"/>
        <v/>
      </c>
      <c r="H29" s="19" t="str">
        <f t="shared" si="5"/>
        <v/>
      </c>
      <c r="I29" s="20"/>
      <c r="J29" s="17"/>
      <c r="K29" s="18"/>
      <c r="L29" s="18"/>
      <c r="M29" s="18"/>
      <c r="N29" s="18"/>
      <c r="O29" s="19" t="str">
        <f t="shared" si="6"/>
        <v/>
      </c>
      <c r="P29" s="19" t="str">
        <f t="shared" si="7"/>
        <v/>
      </c>
    </row>
    <row r="30" spans="1:16" x14ac:dyDescent="0.3">
      <c r="A30" s="18"/>
      <c r="B30" s="18"/>
      <c r="C30" s="19" t="str">
        <f t="shared" si="0"/>
        <v/>
      </c>
      <c r="D30" s="19" t="str">
        <f t="shared" si="1"/>
        <v/>
      </c>
      <c r="E30" s="19" t="str">
        <f t="shared" si="2"/>
        <v/>
      </c>
      <c r="F30" s="21" t="str">
        <f t="shared" si="3"/>
        <v/>
      </c>
      <c r="G30" s="21" t="str">
        <f t="shared" si="4"/>
        <v/>
      </c>
      <c r="H30" s="19" t="str">
        <f t="shared" si="5"/>
        <v/>
      </c>
      <c r="I30" s="20"/>
      <c r="J30" s="17"/>
      <c r="K30" s="18"/>
      <c r="L30" s="18"/>
      <c r="M30" s="18"/>
      <c r="N30" s="18"/>
      <c r="O30" s="19" t="str">
        <f t="shared" si="6"/>
        <v/>
      </c>
      <c r="P30" s="19" t="str">
        <f t="shared" si="7"/>
        <v/>
      </c>
    </row>
    <row r="31" spans="1:16" x14ac:dyDescent="0.3">
      <c r="A31" s="18"/>
      <c r="B31" s="18"/>
      <c r="C31" s="19" t="str">
        <f t="shared" si="0"/>
        <v/>
      </c>
      <c r="D31" s="19" t="str">
        <f t="shared" si="1"/>
        <v/>
      </c>
      <c r="E31" s="19" t="str">
        <f t="shared" si="2"/>
        <v/>
      </c>
      <c r="F31" s="21" t="str">
        <f t="shared" si="3"/>
        <v/>
      </c>
      <c r="G31" s="21" t="str">
        <f t="shared" si="4"/>
        <v/>
      </c>
      <c r="H31" s="19" t="str">
        <f t="shared" si="5"/>
        <v/>
      </c>
      <c r="I31" s="20"/>
      <c r="J31" s="17"/>
      <c r="K31" s="18"/>
      <c r="L31" s="18"/>
      <c r="M31" s="18"/>
      <c r="N31" s="18"/>
      <c r="O31" s="19" t="str">
        <f t="shared" si="6"/>
        <v/>
      </c>
      <c r="P31" s="19" t="str">
        <f t="shared" si="7"/>
        <v/>
      </c>
    </row>
    <row r="32" spans="1:16" x14ac:dyDescent="0.3">
      <c r="A32" s="18"/>
      <c r="B32" s="18"/>
      <c r="C32" s="19" t="str">
        <f t="shared" si="0"/>
        <v/>
      </c>
      <c r="D32" s="19" t="str">
        <f t="shared" si="1"/>
        <v/>
      </c>
      <c r="E32" s="19" t="str">
        <f t="shared" si="2"/>
        <v/>
      </c>
      <c r="F32" s="21" t="str">
        <f t="shared" si="3"/>
        <v/>
      </c>
      <c r="G32" s="21" t="str">
        <f t="shared" si="4"/>
        <v/>
      </c>
      <c r="H32" s="19" t="str">
        <f t="shared" si="5"/>
        <v/>
      </c>
      <c r="I32" s="20"/>
      <c r="J32" s="17"/>
      <c r="K32" s="18"/>
      <c r="L32" s="18"/>
      <c r="M32" s="18"/>
      <c r="N32" s="18"/>
      <c r="O32" s="19" t="str">
        <f t="shared" si="6"/>
        <v/>
      </c>
      <c r="P32" s="19" t="str">
        <f t="shared" si="7"/>
        <v/>
      </c>
    </row>
    <row r="33" spans="1:16" x14ac:dyDescent="0.3">
      <c r="A33" s="18"/>
      <c r="B33" s="18"/>
      <c r="C33" s="19" t="str">
        <f t="shared" si="0"/>
        <v/>
      </c>
      <c r="D33" s="19" t="str">
        <f t="shared" si="1"/>
        <v/>
      </c>
      <c r="E33" s="19" t="str">
        <f t="shared" si="2"/>
        <v/>
      </c>
      <c r="F33" s="21" t="str">
        <f t="shared" si="3"/>
        <v/>
      </c>
      <c r="G33" s="21" t="str">
        <f t="shared" si="4"/>
        <v/>
      </c>
      <c r="H33" s="19" t="str">
        <f t="shared" si="5"/>
        <v/>
      </c>
      <c r="I33" s="20"/>
      <c r="J33" s="17"/>
      <c r="K33" s="18"/>
      <c r="L33" s="18"/>
      <c r="M33" s="18"/>
      <c r="N33" s="18"/>
      <c r="O33" s="19" t="str">
        <f t="shared" si="6"/>
        <v/>
      </c>
      <c r="P33" s="19" t="str">
        <f t="shared" si="7"/>
        <v/>
      </c>
    </row>
    <row r="34" spans="1:16" x14ac:dyDescent="0.3">
      <c r="A34" s="18"/>
      <c r="B34" s="18"/>
      <c r="C34" s="19" t="str">
        <f t="shared" si="0"/>
        <v/>
      </c>
      <c r="D34" s="19" t="str">
        <f t="shared" si="1"/>
        <v/>
      </c>
      <c r="E34" s="19" t="str">
        <f t="shared" si="2"/>
        <v/>
      </c>
      <c r="F34" s="21" t="str">
        <f t="shared" si="3"/>
        <v/>
      </c>
      <c r="G34" s="21" t="str">
        <f t="shared" si="4"/>
        <v/>
      </c>
      <c r="H34" s="19" t="str">
        <f t="shared" si="5"/>
        <v/>
      </c>
      <c r="I34" s="20"/>
      <c r="J34" s="17"/>
      <c r="K34" s="18"/>
      <c r="L34" s="18"/>
      <c r="M34" s="18"/>
      <c r="N34" s="18"/>
      <c r="O34" s="19" t="str">
        <f t="shared" si="6"/>
        <v/>
      </c>
      <c r="P34" s="19" t="str">
        <f t="shared" si="7"/>
        <v/>
      </c>
    </row>
    <row r="35" spans="1:16" x14ac:dyDescent="0.3">
      <c r="A35" s="18"/>
      <c r="B35" s="18"/>
      <c r="C35" s="19" t="str">
        <f t="shared" si="0"/>
        <v/>
      </c>
      <c r="D35" s="19" t="str">
        <f t="shared" si="1"/>
        <v/>
      </c>
      <c r="E35" s="19" t="str">
        <f t="shared" si="2"/>
        <v/>
      </c>
      <c r="F35" s="21" t="str">
        <f t="shared" si="3"/>
        <v/>
      </c>
      <c r="G35" s="21" t="str">
        <f t="shared" si="4"/>
        <v/>
      </c>
      <c r="H35" s="19" t="str">
        <f t="shared" si="5"/>
        <v/>
      </c>
      <c r="I35" s="20"/>
      <c r="J35" s="17"/>
      <c r="K35" s="18"/>
      <c r="L35" s="18"/>
      <c r="M35" s="18"/>
      <c r="N35" s="18"/>
      <c r="O35" s="19" t="str">
        <f t="shared" si="6"/>
        <v/>
      </c>
      <c r="P35" s="19" t="str">
        <f t="shared" si="7"/>
        <v/>
      </c>
    </row>
    <row r="36" spans="1:16" x14ac:dyDescent="0.3">
      <c r="A36" s="18"/>
      <c r="B36" s="18"/>
      <c r="C36" s="19" t="str">
        <f t="shared" si="0"/>
        <v/>
      </c>
      <c r="D36" s="19" t="str">
        <f t="shared" si="1"/>
        <v/>
      </c>
      <c r="E36" s="19" t="str">
        <f t="shared" si="2"/>
        <v/>
      </c>
      <c r="F36" s="21" t="str">
        <f t="shared" si="3"/>
        <v/>
      </c>
      <c r="G36" s="21" t="str">
        <f t="shared" si="4"/>
        <v/>
      </c>
      <c r="H36" s="19" t="str">
        <f t="shared" si="5"/>
        <v/>
      </c>
      <c r="I36" s="20"/>
      <c r="J36" s="17"/>
      <c r="K36" s="18"/>
      <c r="L36" s="18"/>
      <c r="M36" s="18"/>
      <c r="N36" s="18"/>
      <c r="O36" s="19" t="str">
        <f t="shared" si="6"/>
        <v/>
      </c>
      <c r="P36" s="19" t="str">
        <f t="shared" si="7"/>
        <v/>
      </c>
    </row>
    <row r="37" spans="1:16" x14ac:dyDescent="0.3">
      <c r="A37" s="18"/>
      <c r="B37" s="18"/>
      <c r="C37" s="19" t="str">
        <f t="shared" ref="C37:C68" si="8">IF($B37="","",IFERROR(INDEX(Cad_ID,MATCH($B37,Cad_Rotulo,0)),""))</f>
        <v/>
      </c>
      <c r="D37" s="19" t="str">
        <f t="shared" ref="D37:D68" si="9">IF($C37="","",IFERROR(INDEX(Cad_OC,MATCH($C37,Cad_ID,0)),""))</f>
        <v/>
      </c>
      <c r="E37" s="19" t="str">
        <f t="shared" ref="E37:E68" si="10">IF($C37="","",IFERROR(INDEX(Cad_SC,MATCH($C37,Cad_ID,0)),""))</f>
        <v/>
      </c>
      <c r="F37" s="21" t="str">
        <f t="shared" ref="F37:F68" si="11">IF($C37="","",IFERROR(INDEX(Cad_Cham,MATCH($C37,Cad_ID,0)),""))</f>
        <v/>
      </c>
      <c r="G37" s="21" t="str">
        <f t="shared" ref="G37:G68" si="12">IF($C37="","",IFERROR(INDEX(Cad_Prod,MATCH($C37,Cad_ID,0)),""))</f>
        <v/>
      </c>
      <c r="H37" s="19" t="str">
        <f t="shared" ref="H37:H68" si="13">IF($G37="","",IFERROR(INDEX(Prod_Desc,MATCH($G37,Prod_Cod,0)),"PRODUTO NÃO CADASTRADO"))</f>
        <v/>
      </c>
      <c r="I37" s="20"/>
      <c r="J37" s="17"/>
      <c r="K37" s="18"/>
      <c r="L37" s="18"/>
      <c r="M37" s="18"/>
      <c r="N37" s="18"/>
      <c r="O37" s="19" t="str">
        <f t="shared" ref="O37:O68" si="14">IF($C37="","",IFERROR(INDEX(Cad_Forn,MATCH($C37,Cad_ID,0)),""))</f>
        <v/>
      </c>
      <c r="P37" s="19" t="str">
        <f t="shared" ref="P37:P68" si="15">IF($A37="","",IF($C37="","ITEM NÃO ENCONTRADO",IF(SUMIFS(Ent_Qtd,Ent_Item,$C37)&gt;SUMIFS(Cad_QtdComp,Cad_ID,$C37),"RECEBIDO ACIMA DA OC","OK")))</f>
        <v/>
      </c>
    </row>
    <row r="38" spans="1:16" x14ac:dyDescent="0.3">
      <c r="A38" s="18"/>
      <c r="B38" s="18"/>
      <c r="C38" s="19" t="str">
        <f t="shared" si="8"/>
        <v/>
      </c>
      <c r="D38" s="19" t="str">
        <f t="shared" si="9"/>
        <v/>
      </c>
      <c r="E38" s="19" t="str">
        <f t="shared" si="10"/>
        <v/>
      </c>
      <c r="F38" s="21" t="str">
        <f t="shared" si="11"/>
        <v/>
      </c>
      <c r="G38" s="21" t="str">
        <f t="shared" si="12"/>
        <v/>
      </c>
      <c r="H38" s="19" t="str">
        <f t="shared" si="13"/>
        <v/>
      </c>
      <c r="I38" s="20"/>
      <c r="J38" s="17"/>
      <c r="K38" s="18"/>
      <c r="L38" s="18"/>
      <c r="M38" s="18"/>
      <c r="N38" s="18"/>
      <c r="O38" s="19" t="str">
        <f t="shared" si="14"/>
        <v/>
      </c>
      <c r="P38" s="19" t="str">
        <f t="shared" si="15"/>
        <v/>
      </c>
    </row>
    <row r="39" spans="1:16" x14ac:dyDescent="0.3">
      <c r="A39" s="18"/>
      <c r="B39" s="18"/>
      <c r="C39" s="19" t="str">
        <f t="shared" si="8"/>
        <v/>
      </c>
      <c r="D39" s="19" t="str">
        <f t="shared" si="9"/>
        <v/>
      </c>
      <c r="E39" s="19" t="str">
        <f t="shared" si="10"/>
        <v/>
      </c>
      <c r="F39" s="21" t="str">
        <f t="shared" si="11"/>
        <v/>
      </c>
      <c r="G39" s="21" t="str">
        <f t="shared" si="12"/>
        <v/>
      </c>
      <c r="H39" s="19" t="str">
        <f t="shared" si="13"/>
        <v/>
      </c>
      <c r="I39" s="20"/>
      <c r="J39" s="17"/>
      <c r="K39" s="18"/>
      <c r="L39" s="18"/>
      <c r="M39" s="18"/>
      <c r="N39" s="18"/>
      <c r="O39" s="19" t="str">
        <f t="shared" si="14"/>
        <v/>
      </c>
      <c r="P39" s="19" t="str">
        <f t="shared" si="15"/>
        <v/>
      </c>
    </row>
    <row r="40" spans="1:16" x14ac:dyDescent="0.3">
      <c r="A40" s="18"/>
      <c r="B40" s="18"/>
      <c r="C40" s="19" t="str">
        <f t="shared" si="8"/>
        <v/>
      </c>
      <c r="D40" s="19" t="str">
        <f t="shared" si="9"/>
        <v/>
      </c>
      <c r="E40" s="19" t="str">
        <f t="shared" si="10"/>
        <v/>
      </c>
      <c r="F40" s="21" t="str">
        <f t="shared" si="11"/>
        <v/>
      </c>
      <c r="G40" s="21" t="str">
        <f t="shared" si="12"/>
        <v/>
      </c>
      <c r="H40" s="19" t="str">
        <f t="shared" si="13"/>
        <v/>
      </c>
      <c r="I40" s="20"/>
      <c r="J40" s="17"/>
      <c r="K40" s="18"/>
      <c r="L40" s="18"/>
      <c r="M40" s="18"/>
      <c r="N40" s="18"/>
      <c r="O40" s="19" t="str">
        <f t="shared" si="14"/>
        <v/>
      </c>
      <c r="P40" s="19" t="str">
        <f t="shared" si="15"/>
        <v/>
      </c>
    </row>
    <row r="41" spans="1:16" x14ac:dyDescent="0.3">
      <c r="A41" s="18"/>
      <c r="B41" s="18"/>
      <c r="C41" s="19" t="str">
        <f t="shared" si="8"/>
        <v/>
      </c>
      <c r="D41" s="19" t="str">
        <f t="shared" si="9"/>
        <v/>
      </c>
      <c r="E41" s="19" t="str">
        <f t="shared" si="10"/>
        <v/>
      </c>
      <c r="F41" s="21" t="str">
        <f t="shared" si="11"/>
        <v/>
      </c>
      <c r="G41" s="21" t="str">
        <f t="shared" si="12"/>
        <v/>
      </c>
      <c r="H41" s="19" t="str">
        <f t="shared" si="13"/>
        <v/>
      </c>
      <c r="I41" s="20"/>
      <c r="J41" s="17"/>
      <c r="K41" s="18"/>
      <c r="L41" s="18"/>
      <c r="M41" s="18"/>
      <c r="N41" s="18"/>
      <c r="O41" s="19" t="str">
        <f t="shared" si="14"/>
        <v/>
      </c>
      <c r="P41" s="19" t="str">
        <f t="shared" si="15"/>
        <v/>
      </c>
    </row>
    <row r="42" spans="1:16" x14ac:dyDescent="0.3">
      <c r="A42" s="18"/>
      <c r="B42" s="18"/>
      <c r="C42" s="19" t="str">
        <f t="shared" si="8"/>
        <v/>
      </c>
      <c r="D42" s="19" t="str">
        <f t="shared" si="9"/>
        <v/>
      </c>
      <c r="E42" s="19" t="str">
        <f t="shared" si="10"/>
        <v/>
      </c>
      <c r="F42" s="21" t="str">
        <f t="shared" si="11"/>
        <v/>
      </c>
      <c r="G42" s="21" t="str">
        <f t="shared" si="12"/>
        <v/>
      </c>
      <c r="H42" s="19" t="str">
        <f t="shared" si="13"/>
        <v/>
      </c>
      <c r="I42" s="20"/>
      <c r="J42" s="17"/>
      <c r="K42" s="18"/>
      <c r="L42" s="18"/>
      <c r="M42" s="18"/>
      <c r="N42" s="18"/>
      <c r="O42" s="19" t="str">
        <f t="shared" si="14"/>
        <v/>
      </c>
      <c r="P42" s="19" t="str">
        <f t="shared" si="15"/>
        <v/>
      </c>
    </row>
    <row r="43" spans="1:16" x14ac:dyDescent="0.3">
      <c r="A43" s="18"/>
      <c r="B43" s="18"/>
      <c r="C43" s="19" t="str">
        <f t="shared" si="8"/>
        <v/>
      </c>
      <c r="D43" s="19" t="str">
        <f t="shared" si="9"/>
        <v/>
      </c>
      <c r="E43" s="19" t="str">
        <f t="shared" si="10"/>
        <v/>
      </c>
      <c r="F43" s="21" t="str">
        <f t="shared" si="11"/>
        <v/>
      </c>
      <c r="G43" s="21" t="str">
        <f t="shared" si="12"/>
        <v/>
      </c>
      <c r="H43" s="19" t="str">
        <f t="shared" si="13"/>
        <v/>
      </c>
      <c r="I43" s="20"/>
      <c r="J43" s="17"/>
      <c r="K43" s="18"/>
      <c r="L43" s="18"/>
      <c r="M43" s="18"/>
      <c r="N43" s="18"/>
      <c r="O43" s="19" t="str">
        <f t="shared" si="14"/>
        <v/>
      </c>
      <c r="P43" s="19" t="str">
        <f t="shared" si="15"/>
        <v/>
      </c>
    </row>
    <row r="44" spans="1:16" x14ac:dyDescent="0.3">
      <c r="A44" s="18"/>
      <c r="B44" s="18"/>
      <c r="C44" s="19" t="str">
        <f t="shared" si="8"/>
        <v/>
      </c>
      <c r="D44" s="19" t="str">
        <f t="shared" si="9"/>
        <v/>
      </c>
      <c r="E44" s="19" t="str">
        <f t="shared" si="10"/>
        <v/>
      </c>
      <c r="F44" s="21" t="str">
        <f t="shared" si="11"/>
        <v/>
      </c>
      <c r="G44" s="21" t="str">
        <f t="shared" si="12"/>
        <v/>
      </c>
      <c r="H44" s="19" t="str">
        <f t="shared" si="13"/>
        <v/>
      </c>
      <c r="I44" s="20"/>
      <c r="J44" s="17"/>
      <c r="K44" s="18"/>
      <c r="L44" s="18"/>
      <c r="M44" s="18"/>
      <c r="N44" s="18"/>
      <c r="O44" s="19" t="str">
        <f t="shared" si="14"/>
        <v/>
      </c>
      <c r="P44" s="19" t="str">
        <f t="shared" si="15"/>
        <v/>
      </c>
    </row>
    <row r="45" spans="1:16" x14ac:dyDescent="0.3">
      <c r="A45" s="18"/>
      <c r="B45" s="18"/>
      <c r="C45" s="19" t="str">
        <f t="shared" si="8"/>
        <v/>
      </c>
      <c r="D45" s="19" t="str">
        <f t="shared" si="9"/>
        <v/>
      </c>
      <c r="E45" s="19" t="str">
        <f t="shared" si="10"/>
        <v/>
      </c>
      <c r="F45" s="21" t="str">
        <f t="shared" si="11"/>
        <v/>
      </c>
      <c r="G45" s="21" t="str">
        <f t="shared" si="12"/>
        <v/>
      </c>
      <c r="H45" s="19" t="str">
        <f t="shared" si="13"/>
        <v/>
      </c>
      <c r="I45" s="20"/>
      <c r="J45" s="17"/>
      <c r="K45" s="18"/>
      <c r="L45" s="18"/>
      <c r="M45" s="18"/>
      <c r="N45" s="18"/>
      <c r="O45" s="19" t="str">
        <f t="shared" si="14"/>
        <v/>
      </c>
      <c r="P45" s="19" t="str">
        <f t="shared" si="15"/>
        <v/>
      </c>
    </row>
    <row r="46" spans="1:16" x14ac:dyDescent="0.3">
      <c r="A46" s="18"/>
      <c r="B46" s="18"/>
      <c r="C46" s="19" t="str">
        <f t="shared" si="8"/>
        <v/>
      </c>
      <c r="D46" s="19" t="str">
        <f t="shared" si="9"/>
        <v/>
      </c>
      <c r="E46" s="19" t="str">
        <f t="shared" si="10"/>
        <v/>
      </c>
      <c r="F46" s="21" t="str">
        <f t="shared" si="11"/>
        <v/>
      </c>
      <c r="G46" s="21" t="str">
        <f t="shared" si="12"/>
        <v/>
      </c>
      <c r="H46" s="19" t="str">
        <f t="shared" si="13"/>
        <v/>
      </c>
      <c r="I46" s="20"/>
      <c r="J46" s="17"/>
      <c r="K46" s="18"/>
      <c r="L46" s="18"/>
      <c r="M46" s="18"/>
      <c r="N46" s="18"/>
      <c r="O46" s="19" t="str">
        <f t="shared" si="14"/>
        <v/>
      </c>
      <c r="P46" s="19" t="str">
        <f t="shared" si="15"/>
        <v/>
      </c>
    </row>
    <row r="47" spans="1:16" x14ac:dyDescent="0.3">
      <c r="A47" s="18"/>
      <c r="B47" s="18"/>
      <c r="C47" s="19" t="str">
        <f t="shared" si="8"/>
        <v/>
      </c>
      <c r="D47" s="19" t="str">
        <f t="shared" si="9"/>
        <v/>
      </c>
      <c r="E47" s="19" t="str">
        <f t="shared" si="10"/>
        <v/>
      </c>
      <c r="F47" s="21" t="str">
        <f t="shared" si="11"/>
        <v/>
      </c>
      <c r="G47" s="21" t="str">
        <f t="shared" si="12"/>
        <v/>
      </c>
      <c r="H47" s="19" t="str">
        <f t="shared" si="13"/>
        <v/>
      </c>
      <c r="I47" s="20"/>
      <c r="J47" s="17"/>
      <c r="K47" s="18"/>
      <c r="L47" s="18"/>
      <c r="M47" s="18"/>
      <c r="N47" s="18"/>
      <c r="O47" s="19" t="str">
        <f t="shared" si="14"/>
        <v/>
      </c>
      <c r="P47" s="19" t="str">
        <f t="shared" si="15"/>
        <v/>
      </c>
    </row>
    <row r="48" spans="1:16" x14ac:dyDescent="0.3">
      <c r="A48" s="18"/>
      <c r="B48" s="18"/>
      <c r="C48" s="19" t="str">
        <f t="shared" si="8"/>
        <v/>
      </c>
      <c r="D48" s="19" t="str">
        <f t="shared" si="9"/>
        <v/>
      </c>
      <c r="E48" s="19" t="str">
        <f t="shared" si="10"/>
        <v/>
      </c>
      <c r="F48" s="21" t="str">
        <f t="shared" si="11"/>
        <v/>
      </c>
      <c r="G48" s="21" t="str">
        <f t="shared" si="12"/>
        <v/>
      </c>
      <c r="H48" s="19" t="str">
        <f t="shared" si="13"/>
        <v/>
      </c>
      <c r="I48" s="20"/>
      <c r="J48" s="17"/>
      <c r="K48" s="18"/>
      <c r="L48" s="18"/>
      <c r="M48" s="18"/>
      <c r="N48" s="18"/>
      <c r="O48" s="19" t="str">
        <f t="shared" si="14"/>
        <v/>
      </c>
      <c r="P48" s="19" t="str">
        <f t="shared" si="15"/>
        <v/>
      </c>
    </row>
    <row r="49" spans="1:16" x14ac:dyDescent="0.3">
      <c r="A49" s="18"/>
      <c r="B49" s="18"/>
      <c r="C49" s="19" t="str">
        <f t="shared" si="8"/>
        <v/>
      </c>
      <c r="D49" s="19" t="str">
        <f t="shared" si="9"/>
        <v/>
      </c>
      <c r="E49" s="19" t="str">
        <f t="shared" si="10"/>
        <v/>
      </c>
      <c r="F49" s="21" t="str">
        <f t="shared" si="11"/>
        <v/>
      </c>
      <c r="G49" s="21" t="str">
        <f t="shared" si="12"/>
        <v/>
      </c>
      <c r="H49" s="19" t="str">
        <f t="shared" si="13"/>
        <v/>
      </c>
      <c r="I49" s="20"/>
      <c r="J49" s="17"/>
      <c r="K49" s="18"/>
      <c r="L49" s="18"/>
      <c r="M49" s="18"/>
      <c r="N49" s="18"/>
      <c r="O49" s="19" t="str">
        <f t="shared" si="14"/>
        <v/>
      </c>
      <c r="P49" s="19" t="str">
        <f t="shared" si="15"/>
        <v/>
      </c>
    </row>
    <row r="50" spans="1:16" x14ac:dyDescent="0.3">
      <c r="A50" s="18"/>
      <c r="B50" s="18"/>
      <c r="C50" s="19" t="str">
        <f t="shared" si="8"/>
        <v/>
      </c>
      <c r="D50" s="19" t="str">
        <f t="shared" si="9"/>
        <v/>
      </c>
      <c r="E50" s="19" t="str">
        <f t="shared" si="10"/>
        <v/>
      </c>
      <c r="F50" s="21" t="str">
        <f t="shared" si="11"/>
        <v/>
      </c>
      <c r="G50" s="21" t="str">
        <f t="shared" si="12"/>
        <v/>
      </c>
      <c r="H50" s="19" t="str">
        <f t="shared" si="13"/>
        <v/>
      </c>
      <c r="I50" s="20"/>
      <c r="J50" s="17"/>
      <c r="K50" s="18"/>
      <c r="L50" s="18"/>
      <c r="M50" s="18"/>
      <c r="N50" s="18"/>
      <c r="O50" s="19" t="str">
        <f t="shared" si="14"/>
        <v/>
      </c>
      <c r="P50" s="19" t="str">
        <f t="shared" si="15"/>
        <v/>
      </c>
    </row>
    <row r="51" spans="1:16" x14ac:dyDescent="0.3">
      <c r="A51" s="18"/>
      <c r="B51" s="18"/>
      <c r="C51" s="19" t="str">
        <f t="shared" si="8"/>
        <v/>
      </c>
      <c r="D51" s="19" t="str">
        <f t="shared" si="9"/>
        <v/>
      </c>
      <c r="E51" s="19" t="str">
        <f t="shared" si="10"/>
        <v/>
      </c>
      <c r="F51" s="21" t="str">
        <f t="shared" si="11"/>
        <v/>
      </c>
      <c r="G51" s="21" t="str">
        <f t="shared" si="12"/>
        <v/>
      </c>
      <c r="H51" s="19" t="str">
        <f t="shared" si="13"/>
        <v/>
      </c>
      <c r="I51" s="20"/>
      <c r="J51" s="17"/>
      <c r="K51" s="18"/>
      <c r="L51" s="18"/>
      <c r="M51" s="18"/>
      <c r="N51" s="18"/>
      <c r="O51" s="19" t="str">
        <f t="shared" si="14"/>
        <v/>
      </c>
      <c r="P51" s="19" t="str">
        <f t="shared" si="15"/>
        <v/>
      </c>
    </row>
    <row r="52" spans="1:16" x14ac:dyDescent="0.3">
      <c r="A52" s="18"/>
      <c r="B52" s="18"/>
      <c r="C52" s="19" t="str">
        <f t="shared" si="8"/>
        <v/>
      </c>
      <c r="D52" s="19" t="str">
        <f t="shared" si="9"/>
        <v/>
      </c>
      <c r="E52" s="19" t="str">
        <f t="shared" si="10"/>
        <v/>
      </c>
      <c r="F52" s="21" t="str">
        <f t="shared" si="11"/>
        <v/>
      </c>
      <c r="G52" s="21" t="str">
        <f t="shared" si="12"/>
        <v/>
      </c>
      <c r="H52" s="19" t="str">
        <f t="shared" si="13"/>
        <v/>
      </c>
      <c r="I52" s="20"/>
      <c r="J52" s="17"/>
      <c r="K52" s="18"/>
      <c r="L52" s="18"/>
      <c r="M52" s="18"/>
      <c r="N52" s="18"/>
      <c r="O52" s="19" t="str">
        <f t="shared" si="14"/>
        <v/>
      </c>
      <c r="P52" s="19" t="str">
        <f t="shared" si="15"/>
        <v/>
      </c>
    </row>
    <row r="53" spans="1:16" x14ac:dyDescent="0.3">
      <c r="A53" s="18"/>
      <c r="B53" s="18"/>
      <c r="C53" s="19" t="str">
        <f t="shared" si="8"/>
        <v/>
      </c>
      <c r="D53" s="19" t="str">
        <f t="shared" si="9"/>
        <v/>
      </c>
      <c r="E53" s="19" t="str">
        <f t="shared" si="10"/>
        <v/>
      </c>
      <c r="F53" s="21" t="str">
        <f t="shared" si="11"/>
        <v/>
      </c>
      <c r="G53" s="21" t="str">
        <f t="shared" si="12"/>
        <v/>
      </c>
      <c r="H53" s="19" t="str">
        <f t="shared" si="13"/>
        <v/>
      </c>
      <c r="I53" s="20"/>
      <c r="J53" s="17"/>
      <c r="K53" s="18"/>
      <c r="L53" s="18"/>
      <c r="M53" s="18"/>
      <c r="N53" s="18"/>
      <c r="O53" s="19" t="str">
        <f t="shared" si="14"/>
        <v/>
      </c>
      <c r="P53" s="19" t="str">
        <f t="shared" si="15"/>
        <v/>
      </c>
    </row>
    <row r="54" spans="1:16" x14ac:dyDescent="0.3">
      <c r="A54" s="18"/>
      <c r="B54" s="18"/>
      <c r="C54" s="19" t="str">
        <f t="shared" si="8"/>
        <v/>
      </c>
      <c r="D54" s="19" t="str">
        <f t="shared" si="9"/>
        <v/>
      </c>
      <c r="E54" s="19" t="str">
        <f t="shared" si="10"/>
        <v/>
      </c>
      <c r="F54" s="21" t="str">
        <f t="shared" si="11"/>
        <v/>
      </c>
      <c r="G54" s="21" t="str">
        <f t="shared" si="12"/>
        <v/>
      </c>
      <c r="H54" s="19" t="str">
        <f t="shared" si="13"/>
        <v/>
      </c>
      <c r="I54" s="20"/>
      <c r="J54" s="17"/>
      <c r="K54" s="18"/>
      <c r="L54" s="18"/>
      <c r="M54" s="18"/>
      <c r="N54" s="18"/>
      <c r="O54" s="19" t="str">
        <f t="shared" si="14"/>
        <v/>
      </c>
      <c r="P54" s="19" t="str">
        <f t="shared" si="15"/>
        <v/>
      </c>
    </row>
    <row r="55" spans="1:16" x14ac:dyDescent="0.3">
      <c r="A55" s="18"/>
      <c r="B55" s="18"/>
      <c r="C55" s="19" t="str">
        <f t="shared" si="8"/>
        <v/>
      </c>
      <c r="D55" s="19" t="str">
        <f t="shared" si="9"/>
        <v/>
      </c>
      <c r="E55" s="19" t="str">
        <f t="shared" si="10"/>
        <v/>
      </c>
      <c r="F55" s="21" t="str">
        <f t="shared" si="11"/>
        <v/>
      </c>
      <c r="G55" s="21" t="str">
        <f t="shared" si="12"/>
        <v/>
      </c>
      <c r="H55" s="19" t="str">
        <f t="shared" si="13"/>
        <v/>
      </c>
      <c r="I55" s="20"/>
      <c r="J55" s="17"/>
      <c r="K55" s="18"/>
      <c r="L55" s="18"/>
      <c r="M55" s="18"/>
      <c r="N55" s="18"/>
      <c r="O55" s="19" t="str">
        <f t="shared" si="14"/>
        <v/>
      </c>
      <c r="P55" s="19" t="str">
        <f t="shared" si="15"/>
        <v/>
      </c>
    </row>
    <row r="56" spans="1:16" x14ac:dyDescent="0.3">
      <c r="A56" s="18"/>
      <c r="B56" s="18"/>
      <c r="C56" s="19" t="str">
        <f t="shared" si="8"/>
        <v/>
      </c>
      <c r="D56" s="19" t="str">
        <f t="shared" si="9"/>
        <v/>
      </c>
      <c r="E56" s="19" t="str">
        <f t="shared" si="10"/>
        <v/>
      </c>
      <c r="F56" s="21" t="str">
        <f t="shared" si="11"/>
        <v/>
      </c>
      <c r="G56" s="21" t="str">
        <f t="shared" si="12"/>
        <v/>
      </c>
      <c r="H56" s="19" t="str">
        <f t="shared" si="13"/>
        <v/>
      </c>
      <c r="I56" s="20"/>
      <c r="J56" s="17"/>
      <c r="K56" s="18"/>
      <c r="L56" s="18"/>
      <c r="M56" s="18"/>
      <c r="N56" s="18"/>
      <c r="O56" s="19" t="str">
        <f t="shared" si="14"/>
        <v/>
      </c>
      <c r="P56" s="19" t="str">
        <f t="shared" si="15"/>
        <v/>
      </c>
    </row>
    <row r="57" spans="1:16" x14ac:dyDescent="0.3">
      <c r="A57" s="18"/>
      <c r="B57" s="18"/>
      <c r="C57" s="19" t="str">
        <f t="shared" si="8"/>
        <v/>
      </c>
      <c r="D57" s="19" t="str">
        <f t="shared" si="9"/>
        <v/>
      </c>
      <c r="E57" s="19" t="str">
        <f t="shared" si="10"/>
        <v/>
      </c>
      <c r="F57" s="21" t="str">
        <f t="shared" si="11"/>
        <v/>
      </c>
      <c r="G57" s="21" t="str">
        <f t="shared" si="12"/>
        <v/>
      </c>
      <c r="H57" s="19" t="str">
        <f t="shared" si="13"/>
        <v/>
      </c>
      <c r="I57" s="20"/>
      <c r="J57" s="17"/>
      <c r="K57" s="18"/>
      <c r="L57" s="18"/>
      <c r="M57" s="18"/>
      <c r="N57" s="18"/>
      <c r="O57" s="19" t="str">
        <f t="shared" si="14"/>
        <v/>
      </c>
      <c r="P57" s="19" t="str">
        <f t="shared" si="15"/>
        <v/>
      </c>
    </row>
    <row r="58" spans="1:16" x14ac:dyDescent="0.3">
      <c r="A58" s="18"/>
      <c r="B58" s="18"/>
      <c r="C58" s="19" t="str">
        <f t="shared" si="8"/>
        <v/>
      </c>
      <c r="D58" s="19" t="str">
        <f t="shared" si="9"/>
        <v/>
      </c>
      <c r="E58" s="19" t="str">
        <f t="shared" si="10"/>
        <v/>
      </c>
      <c r="F58" s="21" t="str">
        <f t="shared" si="11"/>
        <v/>
      </c>
      <c r="G58" s="21" t="str">
        <f t="shared" si="12"/>
        <v/>
      </c>
      <c r="H58" s="19" t="str">
        <f t="shared" si="13"/>
        <v/>
      </c>
      <c r="I58" s="20"/>
      <c r="J58" s="17"/>
      <c r="K58" s="18"/>
      <c r="L58" s="18"/>
      <c r="M58" s="18"/>
      <c r="N58" s="18"/>
      <c r="O58" s="19" t="str">
        <f t="shared" si="14"/>
        <v/>
      </c>
      <c r="P58" s="19" t="str">
        <f t="shared" si="15"/>
        <v/>
      </c>
    </row>
    <row r="59" spans="1:16" x14ac:dyDescent="0.3">
      <c r="A59" s="18"/>
      <c r="B59" s="18"/>
      <c r="C59" s="19" t="str">
        <f t="shared" si="8"/>
        <v/>
      </c>
      <c r="D59" s="19" t="str">
        <f t="shared" si="9"/>
        <v/>
      </c>
      <c r="E59" s="19" t="str">
        <f t="shared" si="10"/>
        <v/>
      </c>
      <c r="F59" s="21" t="str">
        <f t="shared" si="11"/>
        <v/>
      </c>
      <c r="G59" s="21" t="str">
        <f t="shared" si="12"/>
        <v/>
      </c>
      <c r="H59" s="19" t="str">
        <f t="shared" si="13"/>
        <v/>
      </c>
      <c r="I59" s="20"/>
      <c r="J59" s="17"/>
      <c r="K59" s="18"/>
      <c r="L59" s="18"/>
      <c r="M59" s="18"/>
      <c r="N59" s="18"/>
      <c r="O59" s="19" t="str">
        <f t="shared" si="14"/>
        <v/>
      </c>
      <c r="P59" s="19" t="str">
        <f t="shared" si="15"/>
        <v/>
      </c>
    </row>
    <row r="60" spans="1:16" x14ac:dyDescent="0.3">
      <c r="A60" s="18"/>
      <c r="B60" s="18"/>
      <c r="C60" s="19" t="str">
        <f t="shared" si="8"/>
        <v/>
      </c>
      <c r="D60" s="19" t="str">
        <f t="shared" si="9"/>
        <v/>
      </c>
      <c r="E60" s="19" t="str">
        <f t="shared" si="10"/>
        <v/>
      </c>
      <c r="F60" s="21" t="str">
        <f t="shared" si="11"/>
        <v/>
      </c>
      <c r="G60" s="21" t="str">
        <f t="shared" si="12"/>
        <v/>
      </c>
      <c r="H60" s="19" t="str">
        <f t="shared" si="13"/>
        <v/>
      </c>
      <c r="I60" s="20"/>
      <c r="J60" s="17"/>
      <c r="K60" s="18"/>
      <c r="L60" s="18"/>
      <c r="M60" s="18"/>
      <c r="N60" s="18"/>
      <c r="O60" s="19" t="str">
        <f t="shared" si="14"/>
        <v/>
      </c>
      <c r="P60" s="19" t="str">
        <f t="shared" si="15"/>
        <v/>
      </c>
    </row>
    <row r="61" spans="1:16" x14ac:dyDescent="0.3">
      <c r="A61" s="18"/>
      <c r="B61" s="18"/>
      <c r="C61" s="19" t="str">
        <f t="shared" si="8"/>
        <v/>
      </c>
      <c r="D61" s="19" t="str">
        <f t="shared" si="9"/>
        <v/>
      </c>
      <c r="E61" s="19" t="str">
        <f t="shared" si="10"/>
        <v/>
      </c>
      <c r="F61" s="21" t="str">
        <f t="shared" si="11"/>
        <v/>
      </c>
      <c r="G61" s="21" t="str">
        <f t="shared" si="12"/>
        <v/>
      </c>
      <c r="H61" s="19" t="str">
        <f t="shared" si="13"/>
        <v/>
      </c>
      <c r="I61" s="20"/>
      <c r="J61" s="17"/>
      <c r="K61" s="18"/>
      <c r="L61" s="18"/>
      <c r="M61" s="18"/>
      <c r="N61" s="18"/>
      <c r="O61" s="19" t="str">
        <f t="shared" si="14"/>
        <v/>
      </c>
      <c r="P61" s="19" t="str">
        <f t="shared" si="15"/>
        <v/>
      </c>
    </row>
    <row r="62" spans="1:16" x14ac:dyDescent="0.3">
      <c r="A62" s="18"/>
      <c r="B62" s="18"/>
      <c r="C62" s="19" t="str">
        <f t="shared" si="8"/>
        <v/>
      </c>
      <c r="D62" s="19" t="str">
        <f t="shared" si="9"/>
        <v/>
      </c>
      <c r="E62" s="19" t="str">
        <f t="shared" si="10"/>
        <v/>
      </c>
      <c r="F62" s="21" t="str">
        <f t="shared" si="11"/>
        <v/>
      </c>
      <c r="G62" s="21" t="str">
        <f t="shared" si="12"/>
        <v/>
      </c>
      <c r="H62" s="19" t="str">
        <f t="shared" si="13"/>
        <v/>
      </c>
      <c r="I62" s="20"/>
      <c r="J62" s="17"/>
      <c r="K62" s="18"/>
      <c r="L62" s="18"/>
      <c r="M62" s="18"/>
      <c r="N62" s="18"/>
      <c r="O62" s="19" t="str">
        <f t="shared" si="14"/>
        <v/>
      </c>
      <c r="P62" s="19" t="str">
        <f t="shared" si="15"/>
        <v/>
      </c>
    </row>
    <row r="63" spans="1:16" x14ac:dyDescent="0.3">
      <c r="A63" s="18"/>
      <c r="B63" s="18"/>
      <c r="C63" s="19" t="str">
        <f t="shared" si="8"/>
        <v/>
      </c>
      <c r="D63" s="19" t="str">
        <f t="shared" si="9"/>
        <v/>
      </c>
      <c r="E63" s="19" t="str">
        <f t="shared" si="10"/>
        <v/>
      </c>
      <c r="F63" s="21" t="str">
        <f t="shared" si="11"/>
        <v/>
      </c>
      <c r="G63" s="21" t="str">
        <f t="shared" si="12"/>
        <v/>
      </c>
      <c r="H63" s="19" t="str">
        <f t="shared" si="13"/>
        <v/>
      </c>
      <c r="I63" s="20"/>
      <c r="J63" s="17"/>
      <c r="K63" s="18"/>
      <c r="L63" s="18"/>
      <c r="M63" s="18"/>
      <c r="N63" s="18"/>
      <c r="O63" s="19" t="str">
        <f t="shared" si="14"/>
        <v/>
      </c>
      <c r="P63" s="19" t="str">
        <f t="shared" si="15"/>
        <v/>
      </c>
    </row>
    <row r="64" spans="1:16" x14ac:dyDescent="0.3">
      <c r="A64" s="18"/>
      <c r="B64" s="18"/>
      <c r="C64" s="19" t="str">
        <f t="shared" si="8"/>
        <v/>
      </c>
      <c r="D64" s="19" t="str">
        <f t="shared" si="9"/>
        <v/>
      </c>
      <c r="E64" s="19" t="str">
        <f t="shared" si="10"/>
        <v/>
      </c>
      <c r="F64" s="21" t="str">
        <f t="shared" si="11"/>
        <v/>
      </c>
      <c r="G64" s="21" t="str">
        <f t="shared" si="12"/>
        <v/>
      </c>
      <c r="H64" s="19" t="str">
        <f t="shared" si="13"/>
        <v/>
      </c>
      <c r="I64" s="20"/>
      <c r="J64" s="17"/>
      <c r="K64" s="18"/>
      <c r="L64" s="18"/>
      <c r="M64" s="18"/>
      <c r="N64" s="18"/>
      <c r="O64" s="19" t="str">
        <f t="shared" si="14"/>
        <v/>
      </c>
      <c r="P64" s="19" t="str">
        <f t="shared" si="15"/>
        <v/>
      </c>
    </row>
    <row r="65" spans="1:16" x14ac:dyDescent="0.3">
      <c r="A65" s="18"/>
      <c r="B65" s="18"/>
      <c r="C65" s="19" t="str">
        <f t="shared" si="8"/>
        <v/>
      </c>
      <c r="D65" s="19" t="str">
        <f t="shared" si="9"/>
        <v/>
      </c>
      <c r="E65" s="19" t="str">
        <f t="shared" si="10"/>
        <v/>
      </c>
      <c r="F65" s="21" t="str">
        <f t="shared" si="11"/>
        <v/>
      </c>
      <c r="G65" s="21" t="str">
        <f t="shared" si="12"/>
        <v/>
      </c>
      <c r="H65" s="19" t="str">
        <f t="shared" si="13"/>
        <v/>
      </c>
      <c r="I65" s="20"/>
      <c r="J65" s="17"/>
      <c r="K65" s="18"/>
      <c r="L65" s="18"/>
      <c r="M65" s="18"/>
      <c r="N65" s="18"/>
      <c r="O65" s="19" t="str">
        <f t="shared" si="14"/>
        <v/>
      </c>
      <c r="P65" s="19" t="str">
        <f t="shared" si="15"/>
        <v/>
      </c>
    </row>
    <row r="66" spans="1:16" x14ac:dyDescent="0.3">
      <c r="A66" s="18"/>
      <c r="B66" s="18"/>
      <c r="C66" s="19" t="str">
        <f t="shared" si="8"/>
        <v/>
      </c>
      <c r="D66" s="19" t="str">
        <f t="shared" si="9"/>
        <v/>
      </c>
      <c r="E66" s="19" t="str">
        <f t="shared" si="10"/>
        <v/>
      </c>
      <c r="F66" s="21" t="str">
        <f t="shared" si="11"/>
        <v/>
      </c>
      <c r="G66" s="21" t="str">
        <f t="shared" si="12"/>
        <v/>
      </c>
      <c r="H66" s="19" t="str">
        <f t="shared" si="13"/>
        <v/>
      </c>
      <c r="I66" s="20"/>
      <c r="J66" s="17"/>
      <c r="K66" s="18"/>
      <c r="L66" s="18"/>
      <c r="M66" s="18"/>
      <c r="N66" s="18"/>
      <c r="O66" s="19" t="str">
        <f t="shared" si="14"/>
        <v/>
      </c>
      <c r="P66" s="19" t="str">
        <f t="shared" si="15"/>
        <v/>
      </c>
    </row>
    <row r="67" spans="1:16" x14ac:dyDescent="0.3">
      <c r="A67" s="18"/>
      <c r="B67" s="18"/>
      <c r="C67" s="19" t="str">
        <f t="shared" si="8"/>
        <v/>
      </c>
      <c r="D67" s="19" t="str">
        <f t="shared" si="9"/>
        <v/>
      </c>
      <c r="E67" s="19" t="str">
        <f t="shared" si="10"/>
        <v/>
      </c>
      <c r="F67" s="21" t="str">
        <f t="shared" si="11"/>
        <v/>
      </c>
      <c r="G67" s="21" t="str">
        <f t="shared" si="12"/>
        <v/>
      </c>
      <c r="H67" s="19" t="str">
        <f t="shared" si="13"/>
        <v/>
      </c>
      <c r="I67" s="20"/>
      <c r="J67" s="17"/>
      <c r="K67" s="18"/>
      <c r="L67" s="18"/>
      <c r="M67" s="18"/>
      <c r="N67" s="18"/>
      <c r="O67" s="19" t="str">
        <f t="shared" si="14"/>
        <v/>
      </c>
      <c r="P67" s="19" t="str">
        <f t="shared" si="15"/>
        <v/>
      </c>
    </row>
    <row r="68" spans="1:16" x14ac:dyDescent="0.3">
      <c r="A68" s="18"/>
      <c r="B68" s="18"/>
      <c r="C68" s="19" t="str">
        <f t="shared" si="8"/>
        <v/>
      </c>
      <c r="D68" s="19" t="str">
        <f t="shared" si="9"/>
        <v/>
      </c>
      <c r="E68" s="19" t="str">
        <f t="shared" si="10"/>
        <v/>
      </c>
      <c r="F68" s="21" t="str">
        <f t="shared" si="11"/>
        <v/>
      </c>
      <c r="G68" s="21" t="str">
        <f t="shared" si="12"/>
        <v/>
      </c>
      <c r="H68" s="19" t="str">
        <f t="shared" si="13"/>
        <v/>
      </c>
      <c r="I68" s="20"/>
      <c r="J68" s="17"/>
      <c r="K68" s="18"/>
      <c r="L68" s="18"/>
      <c r="M68" s="18"/>
      <c r="N68" s="18"/>
      <c r="O68" s="19" t="str">
        <f t="shared" si="14"/>
        <v/>
      </c>
      <c r="P68" s="19" t="str">
        <f t="shared" si="15"/>
        <v/>
      </c>
    </row>
    <row r="69" spans="1:16" x14ac:dyDescent="0.3">
      <c r="A69" s="18"/>
      <c r="B69" s="18"/>
      <c r="C69" s="19" t="str">
        <f t="shared" ref="C69:C100" si="16">IF($B69="","",IFERROR(INDEX(Cad_ID,MATCH($B69,Cad_Rotulo,0)),""))</f>
        <v/>
      </c>
      <c r="D69" s="19" t="str">
        <f t="shared" ref="D69:D100" si="17">IF($C69="","",IFERROR(INDEX(Cad_OC,MATCH($C69,Cad_ID,0)),""))</f>
        <v/>
      </c>
      <c r="E69" s="19" t="str">
        <f t="shared" ref="E69:E100" si="18">IF($C69="","",IFERROR(INDEX(Cad_SC,MATCH($C69,Cad_ID,0)),""))</f>
        <v/>
      </c>
      <c r="F69" s="21" t="str">
        <f t="shared" ref="F69:F100" si="19">IF($C69="","",IFERROR(INDEX(Cad_Cham,MATCH($C69,Cad_ID,0)),""))</f>
        <v/>
      </c>
      <c r="G69" s="21" t="str">
        <f t="shared" ref="G69:G100" si="20">IF($C69="","",IFERROR(INDEX(Cad_Prod,MATCH($C69,Cad_ID,0)),""))</f>
        <v/>
      </c>
      <c r="H69" s="19" t="str">
        <f t="shared" ref="H69:H100" si="21">IF($G69="","",IFERROR(INDEX(Prod_Desc,MATCH($G69,Prod_Cod,0)),"PRODUTO NÃO CADASTRADO"))</f>
        <v/>
      </c>
      <c r="I69" s="20"/>
      <c r="J69" s="17"/>
      <c r="K69" s="18"/>
      <c r="L69" s="18"/>
      <c r="M69" s="18"/>
      <c r="N69" s="18"/>
      <c r="O69" s="19" t="str">
        <f t="shared" ref="O69:O100" si="22">IF($C69="","",IFERROR(INDEX(Cad_Forn,MATCH($C69,Cad_ID,0)),""))</f>
        <v/>
      </c>
      <c r="P69" s="19" t="str">
        <f t="shared" ref="P69:P100" si="23">IF($A69="","",IF($C69="","ITEM NÃO ENCONTRADO",IF(SUMIFS(Ent_Qtd,Ent_Item,$C69)&gt;SUMIFS(Cad_QtdComp,Cad_ID,$C69),"RECEBIDO ACIMA DA OC","OK")))</f>
        <v/>
      </c>
    </row>
    <row r="70" spans="1:16" x14ac:dyDescent="0.3">
      <c r="A70" s="18"/>
      <c r="B70" s="18"/>
      <c r="C70" s="19" t="str">
        <f t="shared" si="16"/>
        <v/>
      </c>
      <c r="D70" s="19" t="str">
        <f t="shared" si="17"/>
        <v/>
      </c>
      <c r="E70" s="19" t="str">
        <f t="shared" si="18"/>
        <v/>
      </c>
      <c r="F70" s="21" t="str">
        <f t="shared" si="19"/>
        <v/>
      </c>
      <c r="G70" s="21" t="str">
        <f t="shared" si="20"/>
        <v/>
      </c>
      <c r="H70" s="19" t="str">
        <f t="shared" si="21"/>
        <v/>
      </c>
      <c r="I70" s="20"/>
      <c r="J70" s="17"/>
      <c r="K70" s="18"/>
      <c r="L70" s="18"/>
      <c r="M70" s="18"/>
      <c r="N70" s="18"/>
      <c r="O70" s="19" t="str">
        <f t="shared" si="22"/>
        <v/>
      </c>
      <c r="P70" s="19" t="str">
        <f t="shared" si="23"/>
        <v/>
      </c>
    </row>
    <row r="71" spans="1:16" x14ac:dyDescent="0.3">
      <c r="A71" s="18"/>
      <c r="B71" s="18"/>
      <c r="C71" s="19" t="str">
        <f t="shared" si="16"/>
        <v/>
      </c>
      <c r="D71" s="19" t="str">
        <f t="shared" si="17"/>
        <v/>
      </c>
      <c r="E71" s="19" t="str">
        <f t="shared" si="18"/>
        <v/>
      </c>
      <c r="F71" s="21" t="str">
        <f t="shared" si="19"/>
        <v/>
      </c>
      <c r="G71" s="21" t="str">
        <f t="shared" si="20"/>
        <v/>
      </c>
      <c r="H71" s="19" t="str">
        <f t="shared" si="21"/>
        <v/>
      </c>
      <c r="I71" s="20"/>
      <c r="J71" s="17"/>
      <c r="K71" s="18"/>
      <c r="L71" s="18"/>
      <c r="M71" s="18"/>
      <c r="N71" s="18"/>
      <c r="O71" s="19" t="str">
        <f t="shared" si="22"/>
        <v/>
      </c>
      <c r="P71" s="19" t="str">
        <f t="shared" si="23"/>
        <v/>
      </c>
    </row>
    <row r="72" spans="1:16" x14ac:dyDescent="0.3">
      <c r="A72" s="18"/>
      <c r="B72" s="18"/>
      <c r="C72" s="19" t="str">
        <f t="shared" si="16"/>
        <v/>
      </c>
      <c r="D72" s="19" t="str">
        <f t="shared" si="17"/>
        <v/>
      </c>
      <c r="E72" s="19" t="str">
        <f t="shared" si="18"/>
        <v/>
      </c>
      <c r="F72" s="21" t="str">
        <f t="shared" si="19"/>
        <v/>
      </c>
      <c r="G72" s="21" t="str">
        <f t="shared" si="20"/>
        <v/>
      </c>
      <c r="H72" s="19" t="str">
        <f t="shared" si="21"/>
        <v/>
      </c>
      <c r="I72" s="20"/>
      <c r="J72" s="17"/>
      <c r="K72" s="18"/>
      <c r="L72" s="18"/>
      <c r="M72" s="18"/>
      <c r="N72" s="18"/>
      <c r="O72" s="19" t="str">
        <f t="shared" si="22"/>
        <v/>
      </c>
      <c r="P72" s="19" t="str">
        <f t="shared" si="23"/>
        <v/>
      </c>
    </row>
    <row r="73" spans="1:16" x14ac:dyDescent="0.3">
      <c r="A73" s="18"/>
      <c r="B73" s="18"/>
      <c r="C73" s="19" t="str">
        <f t="shared" si="16"/>
        <v/>
      </c>
      <c r="D73" s="19" t="str">
        <f t="shared" si="17"/>
        <v/>
      </c>
      <c r="E73" s="19" t="str">
        <f t="shared" si="18"/>
        <v/>
      </c>
      <c r="F73" s="21" t="str">
        <f t="shared" si="19"/>
        <v/>
      </c>
      <c r="G73" s="21" t="str">
        <f t="shared" si="20"/>
        <v/>
      </c>
      <c r="H73" s="19" t="str">
        <f t="shared" si="21"/>
        <v/>
      </c>
      <c r="I73" s="20"/>
      <c r="J73" s="17"/>
      <c r="K73" s="18"/>
      <c r="L73" s="18"/>
      <c r="M73" s="18"/>
      <c r="N73" s="18"/>
      <c r="O73" s="19" t="str">
        <f t="shared" si="22"/>
        <v/>
      </c>
      <c r="P73" s="19" t="str">
        <f t="shared" si="23"/>
        <v/>
      </c>
    </row>
    <row r="74" spans="1:16" x14ac:dyDescent="0.3">
      <c r="A74" s="18"/>
      <c r="B74" s="18"/>
      <c r="C74" s="19" t="str">
        <f t="shared" si="16"/>
        <v/>
      </c>
      <c r="D74" s="19" t="str">
        <f t="shared" si="17"/>
        <v/>
      </c>
      <c r="E74" s="19" t="str">
        <f t="shared" si="18"/>
        <v/>
      </c>
      <c r="F74" s="21" t="str">
        <f t="shared" si="19"/>
        <v/>
      </c>
      <c r="G74" s="21" t="str">
        <f t="shared" si="20"/>
        <v/>
      </c>
      <c r="H74" s="19" t="str">
        <f t="shared" si="21"/>
        <v/>
      </c>
      <c r="I74" s="20"/>
      <c r="J74" s="17"/>
      <c r="K74" s="18"/>
      <c r="L74" s="18"/>
      <c r="M74" s="18"/>
      <c r="N74" s="18"/>
      <c r="O74" s="19" t="str">
        <f t="shared" si="22"/>
        <v/>
      </c>
      <c r="P74" s="19" t="str">
        <f t="shared" si="23"/>
        <v/>
      </c>
    </row>
    <row r="75" spans="1:16" x14ac:dyDescent="0.3">
      <c r="A75" s="18"/>
      <c r="B75" s="18"/>
      <c r="C75" s="19" t="str">
        <f t="shared" si="16"/>
        <v/>
      </c>
      <c r="D75" s="19" t="str">
        <f t="shared" si="17"/>
        <v/>
      </c>
      <c r="E75" s="19" t="str">
        <f t="shared" si="18"/>
        <v/>
      </c>
      <c r="F75" s="21" t="str">
        <f t="shared" si="19"/>
        <v/>
      </c>
      <c r="G75" s="21" t="str">
        <f t="shared" si="20"/>
        <v/>
      </c>
      <c r="H75" s="19" t="str">
        <f t="shared" si="21"/>
        <v/>
      </c>
      <c r="I75" s="20"/>
      <c r="J75" s="17"/>
      <c r="K75" s="18"/>
      <c r="L75" s="18"/>
      <c r="M75" s="18"/>
      <c r="N75" s="18"/>
      <c r="O75" s="19" t="str">
        <f t="shared" si="22"/>
        <v/>
      </c>
      <c r="P75" s="19" t="str">
        <f t="shared" si="23"/>
        <v/>
      </c>
    </row>
    <row r="76" spans="1:16" x14ac:dyDescent="0.3">
      <c r="A76" s="18"/>
      <c r="B76" s="18"/>
      <c r="C76" s="19" t="str">
        <f t="shared" si="16"/>
        <v/>
      </c>
      <c r="D76" s="19" t="str">
        <f t="shared" si="17"/>
        <v/>
      </c>
      <c r="E76" s="19" t="str">
        <f t="shared" si="18"/>
        <v/>
      </c>
      <c r="F76" s="21" t="str">
        <f t="shared" si="19"/>
        <v/>
      </c>
      <c r="G76" s="21" t="str">
        <f t="shared" si="20"/>
        <v/>
      </c>
      <c r="H76" s="19" t="str">
        <f t="shared" si="21"/>
        <v/>
      </c>
      <c r="I76" s="20"/>
      <c r="J76" s="17"/>
      <c r="K76" s="18"/>
      <c r="L76" s="18"/>
      <c r="M76" s="18"/>
      <c r="N76" s="18"/>
      <c r="O76" s="19" t="str">
        <f t="shared" si="22"/>
        <v/>
      </c>
      <c r="P76" s="19" t="str">
        <f t="shared" si="23"/>
        <v/>
      </c>
    </row>
    <row r="77" spans="1:16" x14ac:dyDescent="0.3">
      <c r="A77" s="18"/>
      <c r="B77" s="18"/>
      <c r="C77" s="19" t="str">
        <f t="shared" si="16"/>
        <v/>
      </c>
      <c r="D77" s="19" t="str">
        <f t="shared" si="17"/>
        <v/>
      </c>
      <c r="E77" s="19" t="str">
        <f t="shared" si="18"/>
        <v/>
      </c>
      <c r="F77" s="21" t="str">
        <f t="shared" si="19"/>
        <v/>
      </c>
      <c r="G77" s="21" t="str">
        <f t="shared" si="20"/>
        <v/>
      </c>
      <c r="H77" s="19" t="str">
        <f t="shared" si="21"/>
        <v/>
      </c>
      <c r="I77" s="20"/>
      <c r="J77" s="17"/>
      <c r="K77" s="18"/>
      <c r="L77" s="18"/>
      <c r="M77" s="18"/>
      <c r="N77" s="18"/>
      <c r="O77" s="19" t="str">
        <f t="shared" si="22"/>
        <v/>
      </c>
      <c r="P77" s="19" t="str">
        <f t="shared" si="23"/>
        <v/>
      </c>
    </row>
    <row r="78" spans="1:16" x14ac:dyDescent="0.3">
      <c r="A78" s="18"/>
      <c r="B78" s="18"/>
      <c r="C78" s="19" t="str">
        <f t="shared" si="16"/>
        <v/>
      </c>
      <c r="D78" s="19" t="str">
        <f t="shared" si="17"/>
        <v/>
      </c>
      <c r="E78" s="19" t="str">
        <f t="shared" si="18"/>
        <v/>
      </c>
      <c r="F78" s="21" t="str">
        <f t="shared" si="19"/>
        <v/>
      </c>
      <c r="G78" s="21" t="str">
        <f t="shared" si="20"/>
        <v/>
      </c>
      <c r="H78" s="19" t="str">
        <f t="shared" si="21"/>
        <v/>
      </c>
      <c r="I78" s="20"/>
      <c r="J78" s="17"/>
      <c r="K78" s="18"/>
      <c r="L78" s="18"/>
      <c r="M78" s="18"/>
      <c r="N78" s="18"/>
      <c r="O78" s="19" t="str">
        <f t="shared" si="22"/>
        <v/>
      </c>
      <c r="P78" s="19" t="str">
        <f t="shared" si="23"/>
        <v/>
      </c>
    </row>
    <row r="79" spans="1:16" x14ac:dyDescent="0.3">
      <c r="A79" s="18"/>
      <c r="B79" s="18"/>
      <c r="C79" s="19" t="str">
        <f t="shared" si="16"/>
        <v/>
      </c>
      <c r="D79" s="19" t="str">
        <f t="shared" si="17"/>
        <v/>
      </c>
      <c r="E79" s="19" t="str">
        <f t="shared" si="18"/>
        <v/>
      </c>
      <c r="F79" s="21" t="str">
        <f t="shared" si="19"/>
        <v/>
      </c>
      <c r="G79" s="21" t="str">
        <f t="shared" si="20"/>
        <v/>
      </c>
      <c r="H79" s="19" t="str">
        <f t="shared" si="21"/>
        <v/>
      </c>
      <c r="I79" s="20"/>
      <c r="J79" s="17"/>
      <c r="K79" s="18"/>
      <c r="L79" s="18"/>
      <c r="M79" s="18"/>
      <c r="N79" s="18"/>
      <c r="O79" s="19" t="str">
        <f t="shared" si="22"/>
        <v/>
      </c>
      <c r="P79" s="19" t="str">
        <f t="shared" si="23"/>
        <v/>
      </c>
    </row>
    <row r="80" spans="1:16" x14ac:dyDescent="0.3">
      <c r="A80" s="18"/>
      <c r="B80" s="18"/>
      <c r="C80" s="19" t="str">
        <f t="shared" si="16"/>
        <v/>
      </c>
      <c r="D80" s="19" t="str">
        <f t="shared" si="17"/>
        <v/>
      </c>
      <c r="E80" s="19" t="str">
        <f t="shared" si="18"/>
        <v/>
      </c>
      <c r="F80" s="21" t="str">
        <f t="shared" si="19"/>
        <v/>
      </c>
      <c r="G80" s="21" t="str">
        <f t="shared" si="20"/>
        <v/>
      </c>
      <c r="H80" s="19" t="str">
        <f t="shared" si="21"/>
        <v/>
      </c>
      <c r="I80" s="20"/>
      <c r="J80" s="17"/>
      <c r="K80" s="18"/>
      <c r="L80" s="18"/>
      <c r="M80" s="18"/>
      <c r="N80" s="18"/>
      <c r="O80" s="19" t="str">
        <f t="shared" si="22"/>
        <v/>
      </c>
      <c r="P80" s="19" t="str">
        <f t="shared" si="23"/>
        <v/>
      </c>
    </row>
    <row r="81" spans="1:16" x14ac:dyDescent="0.3">
      <c r="A81" s="18"/>
      <c r="B81" s="18"/>
      <c r="C81" s="19" t="str">
        <f t="shared" si="16"/>
        <v/>
      </c>
      <c r="D81" s="19" t="str">
        <f t="shared" si="17"/>
        <v/>
      </c>
      <c r="E81" s="19" t="str">
        <f t="shared" si="18"/>
        <v/>
      </c>
      <c r="F81" s="21" t="str">
        <f t="shared" si="19"/>
        <v/>
      </c>
      <c r="G81" s="21" t="str">
        <f t="shared" si="20"/>
        <v/>
      </c>
      <c r="H81" s="19" t="str">
        <f t="shared" si="21"/>
        <v/>
      </c>
      <c r="I81" s="20"/>
      <c r="J81" s="17"/>
      <c r="K81" s="18"/>
      <c r="L81" s="18"/>
      <c r="M81" s="18"/>
      <c r="N81" s="18"/>
      <c r="O81" s="19" t="str">
        <f t="shared" si="22"/>
        <v/>
      </c>
      <c r="P81" s="19" t="str">
        <f t="shared" si="23"/>
        <v/>
      </c>
    </row>
    <row r="82" spans="1:16" x14ac:dyDescent="0.3">
      <c r="A82" s="18"/>
      <c r="B82" s="18"/>
      <c r="C82" s="19" t="str">
        <f t="shared" si="16"/>
        <v/>
      </c>
      <c r="D82" s="19" t="str">
        <f t="shared" si="17"/>
        <v/>
      </c>
      <c r="E82" s="19" t="str">
        <f t="shared" si="18"/>
        <v/>
      </c>
      <c r="F82" s="21" t="str">
        <f t="shared" si="19"/>
        <v/>
      </c>
      <c r="G82" s="21" t="str">
        <f t="shared" si="20"/>
        <v/>
      </c>
      <c r="H82" s="19" t="str">
        <f t="shared" si="21"/>
        <v/>
      </c>
      <c r="I82" s="20"/>
      <c r="J82" s="17"/>
      <c r="K82" s="18"/>
      <c r="L82" s="18"/>
      <c r="M82" s="18"/>
      <c r="N82" s="18"/>
      <c r="O82" s="19" t="str">
        <f t="shared" si="22"/>
        <v/>
      </c>
      <c r="P82" s="19" t="str">
        <f t="shared" si="23"/>
        <v/>
      </c>
    </row>
    <row r="83" spans="1:16" x14ac:dyDescent="0.3">
      <c r="A83" s="18"/>
      <c r="B83" s="18"/>
      <c r="C83" s="19" t="str">
        <f t="shared" si="16"/>
        <v/>
      </c>
      <c r="D83" s="19" t="str">
        <f t="shared" si="17"/>
        <v/>
      </c>
      <c r="E83" s="19" t="str">
        <f t="shared" si="18"/>
        <v/>
      </c>
      <c r="F83" s="21" t="str">
        <f t="shared" si="19"/>
        <v/>
      </c>
      <c r="G83" s="21" t="str">
        <f t="shared" si="20"/>
        <v/>
      </c>
      <c r="H83" s="19" t="str">
        <f t="shared" si="21"/>
        <v/>
      </c>
      <c r="I83" s="20"/>
      <c r="J83" s="17"/>
      <c r="K83" s="18"/>
      <c r="L83" s="18"/>
      <c r="M83" s="18"/>
      <c r="N83" s="18"/>
      <c r="O83" s="19" t="str">
        <f t="shared" si="22"/>
        <v/>
      </c>
      <c r="P83" s="19" t="str">
        <f t="shared" si="23"/>
        <v/>
      </c>
    </row>
    <row r="84" spans="1:16" x14ac:dyDescent="0.3">
      <c r="A84" s="18"/>
      <c r="B84" s="18"/>
      <c r="C84" s="19" t="str">
        <f t="shared" si="16"/>
        <v/>
      </c>
      <c r="D84" s="19" t="str">
        <f t="shared" si="17"/>
        <v/>
      </c>
      <c r="E84" s="19" t="str">
        <f t="shared" si="18"/>
        <v/>
      </c>
      <c r="F84" s="21" t="str">
        <f t="shared" si="19"/>
        <v/>
      </c>
      <c r="G84" s="21" t="str">
        <f t="shared" si="20"/>
        <v/>
      </c>
      <c r="H84" s="19" t="str">
        <f t="shared" si="21"/>
        <v/>
      </c>
      <c r="I84" s="20"/>
      <c r="J84" s="17"/>
      <c r="K84" s="18"/>
      <c r="L84" s="18"/>
      <c r="M84" s="18"/>
      <c r="N84" s="18"/>
      <c r="O84" s="19" t="str">
        <f t="shared" si="22"/>
        <v/>
      </c>
      <c r="P84" s="19" t="str">
        <f t="shared" si="23"/>
        <v/>
      </c>
    </row>
    <row r="85" spans="1:16" x14ac:dyDescent="0.3">
      <c r="A85" s="18"/>
      <c r="B85" s="18"/>
      <c r="C85" s="19" t="str">
        <f t="shared" si="16"/>
        <v/>
      </c>
      <c r="D85" s="19" t="str">
        <f t="shared" si="17"/>
        <v/>
      </c>
      <c r="E85" s="19" t="str">
        <f t="shared" si="18"/>
        <v/>
      </c>
      <c r="F85" s="21" t="str">
        <f t="shared" si="19"/>
        <v/>
      </c>
      <c r="G85" s="21" t="str">
        <f t="shared" si="20"/>
        <v/>
      </c>
      <c r="H85" s="19" t="str">
        <f t="shared" si="21"/>
        <v/>
      </c>
      <c r="I85" s="20"/>
      <c r="J85" s="17"/>
      <c r="K85" s="18"/>
      <c r="L85" s="18"/>
      <c r="M85" s="18"/>
      <c r="N85" s="18"/>
      <c r="O85" s="19" t="str">
        <f t="shared" si="22"/>
        <v/>
      </c>
      <c r="P85" s="19" t="str">
        <f t="shared" si="23"/>
        <v/>
      </c>
    </row>
    <row r="86" spans="1:16" x14ac:dyDescent="0.3">
      <c r="A86" s="18"/>
      <c r="B86" s="18"/>
      <c r="C86" s="19" t="str">
        <f t="shared" si="16"/>
        <v/>
      </c>
      <c r="D86" s="19" t="str">
        <f t="shared" si="17"/>
        <v/>
      </c>
      <c r="E86" s="19" t="str">
        <f t="shared" si="18"/>
        <v/>
      </c>
      <c r="F86" s="21" t="str">
        <f t="shared" si="19"/>
        <v/>
      </c>
      <c r="G86" s="21" t="str">
        <f t="shared" si="20"/>
        <v/>
      </c>
      <c r="H86" s="19" t="str">
        <f t="shared" si="21"/>
        <v/>
      </c>
      <c r="I86" s="20"/>
      <c r="J86" s="17"/>
      <c r="K86" s="18"/>
      <c r="L86" s="18"/>
      <c r="M86" s="18"/>
      <c r="N86" s="18"/>
      <c r="O86" s="19" t="str">
        <f t="shared" si="22"/>
        <v/>
      </c>
      <c r="P86" s="19" t="str">
        <f t="shared" si="23"/>
        <v/>
      </c>
    </row>
    <row r="87" spans="1:16" x14ac:dyDescent="0.3">
      <c r="A87" s="18"/>
      <c r="B87" s="18"/>
      <c r="C87" s="19" t="str">
        <f t="shared" si="16"/>
        <v/>
      </c>
      <c r="D87" s="19" t="str">
        <f t="shared" si="17"/>
        <v/>
      </c>
      <c r="E87" s="19" t="str">
        <f t="shared" si="18"/>
        <v/>
      </c>
      <c r="F87" s="21" t="str">
        <f t="shared" si="19"/>
        <v/>
      </c>
      <c r="G87" s="21" t="str">
        <f t="shared" si="20"/>
        <v/>
      </c>
      <c r="H87" s="19" t="str">
        <f t="shared" si="21"/>
        <v/>
      </c>
      <c r="I87" s="20"/>
      <c r="J87" s="17"/>
      <c r="K87" s="18"/>
      <c r="L87" s="18"/>
      <c r="M87" s="18"/>
      <c r="N87" s="18"/>
      <c r="O87" s="19" t="str">
        <f t="shared" si="22"/>
        <v/>
      </c>
      <c r="P87" s="19" t="str">
        <f t="shared" si="23"/>
        <v/>
      </c>
    </row>
    <row r="88" spans="1:16" x14ac:dyDescent="0.3">
      <c r="A88" s="18"/>
      <c r="B88" s="18"/>
      <c r="C88" s="19" t="str">
        <f t="shared" si="16"/>
        <v/>
      </c>
      <c r="D88" s="19" t="str">
        <f t="shared" si="17"/>
        <v/>
      </c>
      <c r="E88" s="19" t="str">
        <f t="shared" si="18"/>
        <v/>
      </c>
      <c r="F88" s="21" t="str">
        <f t="shared" si="19"/>
        <v/>
      </c>
      <c r="G88" s="21" t="str">
        <f t="shared" si="20"/>
        <v/>
      </c>
      <c r="H88" s="19" t="str">
        <f t="shared" si="21"/>
        <v/>
      </c>
      <c r="I88" s="20"/>
      <c r="J88" s="17"/>
      <c r="K88" s="18"/>
      <c r="L88" s="18"/>
      <c r="M88" s="18"/>
      <c r="N88" s="18"/>
      <c r="O88" s="19" t="str">
        <f t="shared" si="22"/>
        <v/>
      </c>
      <c r="P88" s="19" t="str">
        <f t="shared" si="23"/>
        <v/>
      </c>
    </row>
    <row r="89" spans="1:16" x14ac:dyDescent="0.3">
      <c r="A89" s="18"/>
      <c r="B89" s="18"/>
      <c r="C89" s="19" t="str">
        <f t="shared" si="16"/>
        <v/>
      </c>
      <c r="D89" s="19" t="str">
        <f t="shared" si="17"/>
        <v/>
      </c>
      <c r="E89" s="19" t="str">
        <f t="shared" si="18"/>
        <v/>
      </c>
      <c r="F89" s="21" t="str">
        <f t="shared" si="19"/>
        <v/>
      </c>
      <c r="G89" s="21" t="str">
        <f t="shared" si="20"/>
        <v/>
      </c>
      <c r="H89" s="19" t="str">
        <f t="shared" si="21"/>
        <v/>
      </c>
      <c r="I89" s="20"/>
      <c r="J89" s="17"/>
      <c r="K89" s="18"/>
      <c r="L89" s="18"/>
      <c r="M89" s="18"/>
      <c r="N89" s="18"/>
      <c r="O89" s="19" t="str">
        <f t="shared" si="22"/>
        <v/>
      </c>
      <c r="P89" s="19" t="str">
        <f t="shared" si="23"/>
        <v/>
      </c>
    </row>
    <row r="90" spans="1:16" x14ac:dyDescent="0.3">
      <c r="A90" s="18"/>
      <c r="B90" s="18"/>
      <c r="C90" s="19" t="str">
        <f t="shared" si="16"/>
        <v/>
      </c>
      <c r="D90" s="19" t="str">
        <f t="shared" si="17"/>
        <v/>
      </c>
      <c r="E90" s="19" t="str">
        <f t="shared" si="18"/>
        <v/>
      </c>
      <c r="F90" s="21" t="str">
        <f t="shared" si="19"/>
        <v/>
      </c>
      <c r="G90" s="21" t="str">
        <f t="shared" si="20"/>
        <v/>
      </c>
      <c r="H90" s="19" t="str">
        <f t="shared" si="21"/>
        <v/>
      </c>
      <c r="I90" s="20"/>
      <c r="J90" s="17"/>
      <c r="K90" s="18"/>
      <c r="L90" s="18"/>
      <c r="M90" s="18"/>
      <c r="N90" s="18"/>
      <c r="O90" s="19" t="str">
        <f t="shared" si="22"/>
        <v/>
      </c>
      <c r="P90" s="19" t="str">
        <f t="shared" si="23"/>
        <v/>
      </c>
    </row>
    <row r="91" spans="1:16" x14ac:dyDescent="0.3">
      <c r="A91" s="18"/>
      <c r="B91" s="18"/>
      <c r="C91" s="19" t="str">
        <f t="shared" si="16"/>
        <v/>
      </c>
      <c r="D91" s="19" t="str">
        <f t="shared" si="17"/>
        <v/>
      </c>
      <c r="E91" s="19" t="str">
        <f t="shared" si="18"/>
        <v/>
      </c>
      <c r="F91" s="21" t="str">
        <f t="shared" si="19"/>
        <v/>
      </c>
      <c r="G91" s="21" t="str">
        <f t="shared" si="20"/>
        <v/>
      </c>
      <c r="H91" s="19" t="str">
        <f t="shared" si="21"/>
        <v/>
      </c>
      <c r="I91" s="20"/>
      <c r="J91" s="17"/>
      <c r="K91" s="18"/>
      <c r="L91" s="18"/>
      <c r="M91" s="18"/>
      <c r="N91" s="18"/>
      <c r="O91" s="19" t="str">
        <f t="shared" si="22"/>
        <v/>
      </c>
      <c r="P91" s="19" t="str">
        <f t="shared" si="23"/>
        <v/>
      </c>
    </row>
    <row r="92" spans="1:16" x14ac:dyDescent="0.3">
      <c r="A92" s="18"/>
      <c r="B92" s="18"/>
      <c r="C92" s="19" t="str">
        <f t="shared" si="16"/>
        <v/>
      </c>
      <c r="D92" s="19" t="str">
        <f t="shared" si="17"/>
        <v/>
      </c>
      <c r="E92" s="19" t="str">
        <f t="shared" si="18"/>
        <v/>
      </c>
      <c r="F92" s="21" t="str">
        <f t="shared" si="19"/>
        <v/>
      </c>
      <c r="G92" s="21" t="str">
        <f t="shared" si="20"/>
        <v/>
      </c>
      <c r="H92" s="19" t="str">
        <f t="shared" si="21"/>
        <v/>
      </c>
      <c r="I92" s="20"/>
      <c r="J92" s="17"/>
      <c r="K92" s="18"/>
      <c r="L92" s="18"/>
      <c r="M92" s="18"/>
      <c r="N92" s="18"/>
      <c r="O92" s="19" t="str">
        <f t="shared" si="22"/>
        <v/>
      </c>
      <c r="P92" s="19" t="str">
        <f t="shared" si="23"/>
        <v/>
      </c>
    </row>
    <row r="93" spans="1:16" x14ac:dyDescent="0.3">
      <c r="A93" s="18"/>
      <c r="B93" s="18"/>
      <c r="C93" s="19" t="str">
        <f t="shared" si="16"/>
        <v/>
      </c>
      <c r="D93" s="19" t="str">
        <f t="shared" si="17"/>
        <v/>
      </c>
      <c r="E93" s="19" t="str">
        <f t="shared" si="18"/>
        <v/>
      </c>
      <c r="F93" s="21" t="str">
        <f t="shared" si="19"/>
        <v/>
      </c>
      <c r="G93" s="21" t="str">
        <f t="shared" si="20"/>
        <v/>
      </c>
      <c r="H93" s="19" t="str">
        <f t="shared" si="21"/>
        <v/>
      </c>
      <c r="I93" s="20"/>
      <c r="J93" s="17"/>
      <c r="K93" s="18"/>
      <c r="L93" s="18"/>
      <c r="M93" s="18"/>
      <c r="N93" s="18"/>
      <c r="O93" s="19" t="str">
        <f t="shared" si="22"/>
        <v/>
      </c>
      <c r="P93" s="19" t="str">
        <f t="shared" si="23"/>
        <v/>
      </c>
    </row>
    <row r="94" spans="1:16" x14ac:dyDescent="0.3">
      <c r="A94" s="18"/>
      <c r="B94" s="18"/>
      <c r="C94" s="19" t="str">
        <f t="shared" si="16"/>
        <v/>
      </c>
      <c r="D94" s="19" t="str">
        <f t="shared" si="17"/>
        <v/>
      </c>
      <c r="E94" s="19" t="str">
        <f t="shared" si="18"/>
        <v/>
      </c>
      <c r="F94" s="21" t="str">
        <f t="shared" si="19"/>
        <v/>
      </c>
      <c r="G94" s="21" t="str">
        <f t="shared" si="20"/>
        <v/>
      </c>
      <c r="H94" s="19" t="str">
        <f t="shared" si="21"/>
        <v/>
      </c>
      <c r="I94" s="20"/>
      <c r="J94" s="17"/>
      <c r="K94" s="18"/>
      <c r="L94" s="18"/>
      <c r="M94" s="18"/>
      <c r="N94" s="18"/>
      <c r="O94" s="19" t="str">
        <f t="shared" si="22"/>
        <v/>
      </c>
      <c r="P94" s="19" t="str">
        <f t="shared" si="23"/>
        <v/>
      </c>
    </row>
    <row r="95" spans="1:16" x14ac:dyDescent="0.3">
      <c r="A95" s="18"/>
      <c r="B95" s="18"/>
      <c r="C95" s="19" t="str">
        <f t="shared" si="16"/>
        <v/>
      </c>
      <c r="D95" s="19" t="str">
        <f t="shared" si="17"/>
        <v/>
      </c>
      <c r="E95" s="19" t="str">
        <f t="shared" si="18"/>
        <v/>
      </c>
      <c r="F95" s="21" t="str">
        <f t="shared" si="19"/>
        <v/>
      </c>
      <c r="G95" s="21" t="str">
        <f t="shared" si="20"/>
        <v/>
      </c>
      <c r="H95" s="19" t="str">
        <f t="shared" si="21"/>
        <v/>
      </c>
      <c r="I95" s="20"/>
      <c r="J95" s="17"/>
      <c r="K95" s="18"/>
      <c r="L95" s="18"/>
      <c r="M95" s="18"/>
      <c r="N95" s="18"/>
      <c r="O95" s="19" t="str">
        <f t="shared" si="22"/>
        <v/>
      </c>
      <c r="P95" s="19" t="str">
        <f t="shared" si="23"/>
        <v/>
      </c>
    </row>
    <row r="96" spans="1:16" x14ac:dyDescent="0.3">
      <c r="A96" s="18"/>
      <c r="B96" s="18"/>
      <c r="C96" s="19" t="str">
        <f t="shared" si="16"/>
        <v/>
      </c>
      <c r="D96" s="19" t="str">
        <f t="shared" si="17"/>
        <v/>
      </c>
      <c r="E96" s="19" t="str">
        <f t="shared" si="18"/>
        <v/>
      </c>
      <c r="F96" s="21" t="str">
        <f t="shared" si="19"/>
        <v/>
      </c>
      <c r="G96" s="21" t="str">
        <f t="shared" si="20"/>
        <v/>
      </c>
      <c r="H96" s="19" t="str">
        <f t="shared" si="21"/>
        <v/>
      </c>
      <c r="I96" s="20"/>
      <c r="J96" s="17"/>
      <c r="K96" s="18"/>
      <c r="L96" s="18"/>
      <c r="M96" s="18"/>
      <c r="N96" s="18"/>
      <c r="O96" s="19" t="str">
        <f t="shared" si="22"/>
        <v/>
      </c>
      <c r="P96" s="19" t="str">
        <f t="shared" si="23"/>
        <v/>
      </c>
    </row>
    <row r="97" spans="1:16" x14ac:dyDescent="0.3">
      <c r="A97" s="18"/>
      <c r="B97" s="18"/>
      <c r="C97" s="19" t="str">
        <f t="shared" si="16"/>
        <v/>
      </c>
      <c r="D97" s="19" t="str">
        <f t="shared" si="17"/>
        <v/>
      </c>
      <c r="E97" s="19" t="str">
        <f t="shared" si="18"/>
        <v/>
      </c>
      <c r="F97" s="21" t="str">
        <f t="shared" si="19"/>
        <v/>
      </c>
      <c r="G97" s="21" t="str">
        <f t="shared" si="20"/>
        <v/>
      </c>
      <c r="H97" s="19" t="str">
        <f t="shared" si="21"/>
        <v/>
      </c>
      <c r="I97" s="20"/>
      <c r="J97" s="17"/>
      <c r="K97" s="18"/>
      <c r="L97" s="18"/>
      <c r="M97" s="18"/>
      <c r="N97" s="18"/>
      <c r="O97" s="19" t="str">
        <f t="shared" si="22"/>
        <v/>
      </c>
      <c r="P97" s="19" t="str">
        <f t="shared" si="23"/>
        <v/>
      </c>
    </row>
    <row r="98" spans="1:16" x14ac:dyDescent="0.3">
      <c r="A98" s="18"/>
      <c r="B98" s="18"/>
      <c r="C98" s="19" t="str">
        <f t="shared" si="16"/>
        <v/>
      </c>
      <c r="D98" s="19" t="str">
        <f t="shared" si="17"/>
        <v/>
      </c>
      <c r="E98" s="19" t="str">
        <f t="shared" si="18"/>
        <v/>
      </c>
      <c r="F98" s="21" t="str">
        <f t="shared" si="19"/>
        <v/>
      </c>
      <c r="G98" s="21" t="str">
        <f t="shared" si="20"/>
        <v/>
      </c>
      <c r="H98" s="19" t="str">
        <f t="shared" si="21"/>
        <v/>
      </c>
      <c r="I98" s="20"/>
      <c r="J98" s="17"/>
      <c r="K98" s="18"/>
      <c r="L98" s="18"/>
      <c r="M98" s="18"/>
      <c r="N98" s="18"/>
      <c r="O98" s="19" t="str">
        <f t="shared" si="22"/>
        <v/>
      </c>
      <c r="P98" s="19" t="str">
        <f t="shared" si="23"/>
        <v/>
      </c>
    </row>
    <row r="99" spans="1:16" x14ac:dyDescent="0.3">
      <c r="A99" s="18"/>
      <c r="B99" s="18"/>
      <c r="C99" s="19" t="str">
        <f t="shared" si="16"/>
        <v/>
      </c>
      <c r="D99" s="19" t="str">
        <f t="shared" si="17"/>
        <v/>
      </c>
      <c r="E99" s="19" t="str">
        <f t="shared" si="18"/>
        <v/>
      </c>
      <c r="F99" s="21" t="str">
        <f t="shared" si="19"/>
        <v/>
      </c>
      <c r="G99" s="21" t="str">
        <f t="shared" si="20"/>
        <v/>
      </c>
      <c r="H99" s="19" t="str">
        <f t="shared" si="21"/>
        <v/>
      </c>
      <c r="I99" s="20"/>
      <c r="J99" s="17"/>
      <c r="K99" s="18"/>
      <c r="L99" s="18"/>
      <c r="M99" s="18"/>
      <c r="N99" s="18"/>
      <c r="O99" s="19" t="str">
        <f t="shared" si="22"/>
        <v/>
      </c>
      <c r="P99" s="19" t="str">
        <f t="shared" si="23"/>
        <v/>
      </c>
    </row>
    <row r="100" spans="1:16" x14ac:dyDescent="0.3">
      <c r="A100" s="18"/>
      <c r="B100" s="18"/>
      <c r="C100" s="19" t="str">
        <f t="shared" si="16"/>
        <v/>
      </c>
      <c r="D100" s="19" t="str">
        <f t="shared" si="17"/>
        <v/>
      </c>
      <c r="E100" s="19" t="str">
        <f t="shared" si="18"/>
        <v/>
      </c>
      <c r="F100" s="21" t="str">
        <f t="shared" si="19"/>
        <v/>
      </c>
      <c r="G100" s="21" t="str">
        <f t="shared" si="20"/>
        <v/>
      </c>
      <c r="H100" s="19" t="str">
        <f t="shared" si="21"/>
        <v/>
      </c>
      <c r="I100" s="20"/>
      <c r="J100" s="17"/>
      <c r="K100" s="18"/>
      <c r="L100" s="18"/>
      <c r="M100" s="18"/>
      <c r="N100" s="18"/>
      <c r="O100" s="19" t="str">
        <f t="shared" si="22"/>
        <v/>
      </c>
      <c r="P100" s="19" t="str">
        <f t="shared" si="23"/>
        <v/>
      </c>
    </row>
    <row r="101" spans="1:16" x14ac:dyDescent="0.3">
      <c r="A101" s="18"/>
      <c r="B101" s="18"/>
      <c r="C101" s="19" t="str">
        <f t="shared" ref="C101:C132" si="24">IF($B101="","",IFERROR(INDEX(Cad_ID,MATCH($B101,Cad_Rotulo,0)),""))</f>
        <v/>
      </c>
      <c r="D101" s="19" t="str">
        <f t="shared" ref="D101:D132" si="25">IF($C101="","",IFERROR(INDEX(Cad_OC,MATCH($C101,Cad_ID,0)),""))</f>
        <v/>
      </c>
      <c r="E101" s="19" t="str">
        <f t="shared" ref="E101:E132" si="26">IF($C101="","",IFERROR(INDEX(Cad_SC,MATCH($C101,Cad_ID,0)),""))</f>
        <v/>
      </c>
      <c r="F101" s="21" t="str">
        <f t="shared" ref="F101:F132" si="27">IF($C101="","",IFERROR(INDEX(Cad_Cham,MATCH($C101,Cad_ID,0)),""))</f>
        <v/>
      </c>
      <c r="G101" s="21" t="str">
        <f t="shared" ref="G101:G132" si="28">IF($C101="","",IFERROR(INDEX(Cad_Prod,MATCH($C101,Cad_ID,0)),""))</f>
        <v/>
      </c>
      <c r="H101" s="19" t="str">
        <f t="shared" ref="H101:H132" si="29">IF($G101="","",IFERROR(INDEX(Prod_Desc,MATCH($G101,Prod_Cod,0)),"PRODUTO NÃO CADASTRADO"))</f>
        <v/>
      </c>
      <c r="I101" s="20"/>
      <c r="J101" s="17"/>
      <c r="K101" s="18"/>
      <c r="L101" s="18"/>
      <c r="M101" s="18"/>
      <c r="N101" s="18"/>
      <c r="O101" s="19" t="str">
        <f t="shared" ref="O101:O132" si="30">IF($C101="","",IFERROR(INDEX(Cad_Forn,MATCH($C101,Cad_ID,0)),""))</f>
        <v/>
      </c>
      <c r="P101" s="19" t="str">
        <f t="shared" ref="P101:P132" si="31">IF($A101="","",IF($C101="","ITEM NÃO ENCONTRADO",IF(SUMIFS(Ent_Qtd,Ent_Item,$C101)&gt;SUMIFS(Cad_QtdComp,Cad_ID,$C101),"RECEBIDO ACIMA DA OC","OK")))</f>
        <v/>
      </c>
    </row>
    <row r="102" spans="1:16" x14ac:dyDescent="0.3">
      <c r="A102" s="18"/>
      <c r="B102" s="18"/>
      <c r="C102" s="19" t="str">
        <f t="shared" si="24"/>
        <v/>
      </c>
      <c r="D102" s="19" t="str">
        <f t="shared" si="25"/>
        <v/>
      </c>
      <c r="E102" s="19" t="str">
        <f t="shared" si="26"/>
        <v/>
      </c>
      <c r="F102" s="21" t="str">
        <f t="shared" si="27"/>
        <v/>
      </c>
      <c r="G102" s="21" t="str">
        <f t="shared" si="28"/>
        <v/>
      </c>
      <c r="H102" s="19" t="str">
        <f t="shared" si="29"/>
        <v/>
      </c>
      <c r="I102" s="20"/>
      <c r="J102" s="17"/>
      <c r="K102" s="18"/>
      <c r="L102" s="18"/>
      <c r="M102" s="18"/>
      <c r="N102" s="18"/>
      <c r="O102" s="19" t="str">
        <f t="shared" si="30"/>
        <v/>
      </c>
      <c r="P102" s="19" t="str">
        <f t="shared" si="31"/>
        <v/>
      </c>
    </row>
    <row r="103" spans="1:16" x14ac:dyDescent="0.3">
      <c r="A103" s="18"/>
      <c r="B103" s="18"/>
      <c r="C103" s="19" t="str">
        <f t="shared" si="24"/>
        <v/>
      </c>
      <c r="D103" s="19" t="str">
        <f t="shared" si="25"/>
        <v/>
      </c>
      <c r="E103" s="19" t="str">
        <f t="shared" si="26"/>
        <v/>
      </c>
      <c r="F103" s="21" t="str">
        <f t="shared" si="27"/>
        <v/>
      </c>
      <c r="G103" s="21" t="str">
        <f t="shared" si="28"/>
        <v/>
      </c>
      <c r="H103" s="19" t="str">
        <f t="shared" si="29"/>
        <v/>
      </c>
      <c r="I103" s="20"/>
      <c r="J103" s="17"/>
      <c r="K103" s="18"/>
      <c r="L103" s="18"/>
      <c r="M103" s="18"/>
      <c r="N103" s="18"/>
      <c r="O103" s="19" t="str">
        <f t="shared" si="30"/>
        <v/>
      </c>
      <c r="P103" s="19" t="str">
        <f t="shared" si="31"/>
        <v/>
      </c>
    </row>
    <row r="104" spans="1:16" x14ac:dyDescent="0.3">
      <c r="A104" s="18"/>
      <c r="B104" s="18"/>
      <c r="C104" s="19" t="str">
        <f t="shared" si="24"/>
        <v/>
      </c>
      <c r="D104" s="19" t="str">
        <f t="shared" si="25"/>
        <v/>
      </c>
      <c r="E104" s="19" t="str">
        <f t="shared" si="26"/>
        <v/>
      </c>
      <c r="F104" s="21" t="str">
        <f t="shared" si="27"/>
        <v/>
      </c>
      <c r="G104" s="21" t="str">
        <f t="shared" si="28"/>
        <v/>
      </c>
      <c r="H104" s="19" t="str">
        <f t="shared" si="29"/>
        <v/>
      </c>
      <c r="I104" s="20"/>
      <c r="J104" s="17"/>
      <c r="K104" s="18"/>
      <c r="L104" s="18"/>
      <c r="M104" s="18"/>
      <c r="N104" s="18"/>
      <c r="O104" s="19" t="str">
        <f t="shared" si="30"/>
        <v/>
      </c>
      <c r="P104" s="19" t="str">
        <f t="shared" si="31"/>
        <v/>
      </c>
    </row>
    <row r="105" spans="1:16" x14ac:dyDescent="0.3">
      <c r="A105" s="18"/>
      <c r="B105" s="18"/>
      <c r="C105" s="19" t="str">
        <f t="shared" si="24"/>
        <v/>
      </c>
      <c r="D105" s="19" t="str">
        <f t="shared" si="25"/>
        <v/>
      </c>
      <c r="E105" s="19" t="str">
        <f t="shared" si="26"/>
        <v/>
      </c>
      <c r="F105" s="21" t="str">
        <f t="shared" si="27"/>
        <v/>
      </c>
      <c r="G105" s="21" t="str">
        <f t="shared" si="28"/>
        <v/>
      </c>
      <c r="H105" s="19" t="str">
        <f t="shared" si="29"/>
        <v/>
      </c>
      <c r="I105" s="20"/>
      <c r="J105" s="17"/>
      <c r="K105" s="18"/>
      <c r="L105" s="18"/>
      <c r="M105" s="18"/>
      <c r="N105" s="18"/>
      <c r="O105" s="19" t="str">
        <f t="shared" si="30"/>
        <v/>
      </c>
      <c r="P105" s="19" t="str">
        <f t="shared" si="31"/>
        <v/>
      </c>
    </row>
    <row r="106" spans="1:16" x14ac:dyDescent="0.3">
      <c r="A106" s="18"/>
      <c r="B106" s="18"/>
      <c r="C106" s="19" t="str">
        <f t="shared" si="24"/>
        <v/>
      </c>
      <c r="D106" s="19" t="str">
        <f t="shared" si="25"/>
        <v/>
      </c>
      <c r="E106" s="19" t="str">
        <f t="shared" si="26"/>
        <v/>
      </c>
      <c r="F106" s="21" t="str">
        <f t="shared" si="27"/>
        <v/>
      </c>
      <c r="G106" s="21" t="str">
        <f t="shared" si="28"/>
        <v/>
      </c>
      <c r="H106" s="19" t="str">
        <f t="shared" si="29"/>
        <v/>
      </c>
      <c r="I106" s="20"/>
      <c r="J106" s="17"/>
      <c r="K106" s="18"/>
      <c r="L106" s="18"/>
      <c r="M106" s="18"/>
      <c r="N106" s="18"/>
      <c r="O106" s="19" t="str">
        <f t="shared" si="30"/>
        <v/>
      </c>
      <c r="P106" s="19" t="str">
        <f t="shared" si="31"/>
        <v/>
      </c>
    </row>
    <row r="107" spans="1:16" x14ac:dyDescent="0.3">
      <c r="A107" s="18"/>
      <c r="B107" s="18"/>
      <c r="C107" s="19" t="str">
        <f t="shared" si="24"/>
        <v/>
      </c>
      <c r="D107" s="19" t="str">
        <f t="shared" si="25"/>
        <v/>
      </c>
      <c r="E107" s="19" t="str">
        <f t="shared" si="26"/>
        <v/>
      </c>
      <c r="F107" s="21" t="str">
        <f t="shared" si="27"/>
        <v/>
      </c>
      <c r="G107" s="21" t="str">
        <f t="shared" si="28"/>
        <v/>
      </c>
      <c r="H107" s="19" t="str">
        <f t="shared" si="29"/>
        <v/>
      </c>
      <c r="I107" s="20"/>
      <c r="J107" s="17"/>
      <c r="K107" s="18"/>
      <c r="L107" s="18"/>
      <c r="M107" s="18"/>
      <c r="N107" s="18"/>
      <c r="O107" s="19" t="str">
        <f t="shared" si="30"/>
        <v/>
      </c>
      <c r="P107" s="19" t="str">
        <f t="shared" si="31"/>
        <v/>
      </c>
    </row>
    <row r="108" spans="1:16" x14ac:dyDescent="0.3">
      <c r="A108" s="18"/>
      <c r="B108" s="18"/>
      <c r="C108" s="19" t="str">
        <f t="shared" si="24"/>
        <v/>
      </c>
      <c r="D108" s="19" t="str">
        <f t="shared" si="25"/>
        <v/>
      </c>
      <c r="E108" s="19" t="str">
        <f t="shared" si="26"/>
        <v/>
      </c>
      <c r="F108" s="21" t="str">
        <f t="shared" si="27"/>
        <v/>
      </c>
      <c r="G108" s="21" t="str">
        <f t="shared" si="28"/>
        <v/>
      </c>
      <c r="H108" s="19" t="str">
        <f t="shared" si="29"/>
        <v/>
      </c>
      <c r="I108" s="20"/>
      <c r="J108" s="17"/>
      <c r="K108" s="18"/>
      <c r="L108" s="18"/>
      <c r="M108" s="18"/>
      <c r="N108" s="18"/>
      <c r="O108" s="19" t="str">
        <f t="shared" si="30"/>
        <v/>
      </c>
      <c r="P108" s="19" t="str">
        <f t="shared" si="31"/>
        <v/>
      </c>
    </row>
    <row r="109" spans="1:16" x14ac:dyDescent="0.3">
      <c r="A109" s="18"/>
      <c r="B109" s="18"/>
      <c r="C109" s="19" t="str">
        <f t="shared" si="24"/>
        <v/>
      </c>
      <c r="D109" s="19" t="str">
        <f t="shared" si="25"/>
        <v/>
      </c>
      <c r="E109" s="19" t="str">
        <f t="shared" si="26"/>
        <v/>
      </c>
      <c r="F109" s="21" t="str">
        <f t="shared" si="27"/>
        <v/>
      </c>
      <c r="G109" s="21" t="str">
        <f t="shared" si="28"/>
        <v/>
      </c>
      <c r="H109" s="19" t="str">
        <f t="shared" si="29"/>
        <v/>
      </c>
      <c r="I109" s="20"/>
      <c r="J109" s="17"/>
      <c r="K109" s="18"/>
      <c r="L109" s="18"/>
      <c r="M109" s="18"/>
      <c r="N109" s="18"/>
      <c r="O109" s="19" t="str">
        <f t="shared" si="30"/>
        <v/>
      </c>
      <c r="P109" s="19" t="str">
        <f t="shared" si="31"/>
        <v/>
      </c>
    </row>
    <row r="110" spans="1:16" x14ac:dyDescent="0.3">
      <c r="A110" s="18"/>
      <c r="B110" s="18"/>
      <c r="C110" s="19" t="str">
        <f t="shared" si="24"/>
        <v/>
      </c>
      <c r="D110" s="19" t="str">
        <f t="shared" si="25"/>
        <v/>
      </c>
      <c r="E110" s="19" t="str">
        <f t="shared" si="26"/>
        <v/>
      </c>
      <c r="F110" s="21" t="str">
        <f t="shared" si="27"/>
        <v/>
      </c>
      <c r="G110" s="21" t="str">
        <f t="shared" si="28"/>
        <v/>
      </c>
      <c r="H110" s="19" t="str">
        <f t="shared" si="29"/>
        <v/>
      </c>
      <c r="I110" s="20"/>
      <c r="J110" s="17"/>
      <c r="K110" s="18"/>
      <c r="L110" s="18"/>
      <c r="M110" s="18"/>
      <c r="N110" s="18"/>
      <c r="O110" s="19" t="str">
        <f t="shared" si="30"/>
        <v/>
      </c>
      <c r="P110" s="19" t="str">
        <f t="shared" si="31"/>
        <v/>
      </c>
    </row>
    <row r="111" spans="1:16" x14ac:dyDescent="0.3">
      <c r="A111" s="18"/>
      <c r="B111" s="18"/>
      <c r="C111" s="19" t="str">
        <f t="shared" si="24"/>
        <v/>
      </c>
      <c r="D111" s="19" t="str">
        <f t="shared" si="25"/>
        <v/>
      </c>
      <c r="E111" s="19" t="str">
        <f t="shared" si="26"/>
        <v/>
      </c>
      <c r="F111" s="21" t="str">
        <f t="shared" si="27"/>
        <v/>
      </c>
      <c r="G111" s="21" t="str">
        <f t="shared" si="28"/>
        <v/>
      </c>
      <c r="H111" s="19" t="str">
        <f t="shared" si="29"/>
        <v/>
      </c>
      <c r="I111" s="20"/>
      <c r="J111" s="17"/>
      <c r="K111" s="18"/>
      <c r="L111" s="18"/>
      <c r="M111" s="18"/>
      <c r="N111" s="18"/>
      <c r="O111" s="19" t="str">
        <f t="shared" si="30"/>
        <v/>
      </c>
      <c r="P111" s="19" t="str">
        <f t="shared" si="31"/>
        <v/>
      </c>
    </row>
    <row r="112" spans="1:16" x14ac:dyDescent="0.3">
      <c r="A112" s="18"/>
      <c r="B112" s="18"/>
      <c r="C112" s="19" t="str">
        <f t="shared" si="24"/>
        <v/>
      </c>
      <c r="D112" s="19" t="str">
        <f t="shared" si="25"/>
        <v/>
      </c>
      <c r="E112" s="19" t="str">
        <f t="shared" si="26"/>
        <v/>
      </c>
      <c r="F112" s="21" t="str">
        <f t="shared" si="27"/>
        <v/>
      </c>
      <c r="G112" s="21" t="str">
        <f t="shared" si="28"/>
        <v/>
      </c>
      <c r="H112" s="19" t="str">
        <f t="shared" si="29"/>
        <v/>
      </c>
      <c r="I112" s="20"/>
      <c r="J112" s="17"/>
      <c r="K112" s="18"/>
      <c r="L112" s="18"/>
      <c r="M112" s="18"/>
      <c r="N112" s="18"/>
      <c r="O112" s="19" t="str">
        <f t="shared" si="30"/>
        <v/>
      </c>
      <c r="P112" s="19" t="str">
        <f t="shared" si="31"/>
        <v/>
      </c>
    </row>
    <row r="113" spans="1:16" x14ac:dyDescent="0.3">
      <c r="A113" s="18"/>
      <c r="B113" s="18"/>
      <c r="C113" s="19" t="str">
        <f t="shared" si="24"/>
        <v/>
      </c>
      <c r="D113" s="19" t="str">
        <f t="shared" si="25"/>
        <v/>
      </c>
      <c r="E113" s="19" t="str">
        <f t="shared" si="26"/>
        <v/>
      </c>
      <c r="F113" s="21" t="str">
        <f t="shared" si="27"/>
        <v/>
      </c>
      <c r="G113" s="21" t="str">
        <f t="shared" si="28"/>
        <v/>
      </c>
      <c r="H113" s="19" t="str">
        <f t="shared" si="29"/>
        <v/>
      </c>
      <c r="I113" s="20"/>
      <c r="J113" s="17"/>
      <c r="K113" s="18"/>
      <c r="L113" s="18"/>
      <c r="M113" s="18"/>
      <c r="N113" s="18"/>
      <c r="O113" s="19" t="str">
        <f t="shared" si="30"/>
        <v/>
      </c>
      <c r="P113" s="19" t="str">
        <f t="shared" si="31"/>
        <v/>
      </c>
    </row>
    <row r="114" spans="1:16" x14ac:dyDescent="0.3">
      <c r="A114" s="18"/>
      <c r="B114" s="18"/>
      <c r="C114" s="19" t="str">
        <f t="shared" si="24"/>
        <v/>
      </c>
      <c r="D114" s="19" t="str">
        <f t="shared" si="25"/>
        <v/>
      </c>
      <c r="E114" s="19" t="str">
        <f t="shared" si="26"/>
        <v/>
      </c>
      <c r="F114" s="21" t="str">
        <f t="shared" si="27"/>
        <v/>
      </c>
      <c r="G114" s="21" t="str">
        <f t="shared" si="28"/>
        <v/>
      </c>
      <c r="H114" s="19" t="str">
        <f t="shared" si="29"/>
        <v/>
      </c>
      <c r="I114" s="20"/>
      <c r="J114" s="17"/>
      <c r="K114" s="18"/>
      <c r="L114" s="18"/>
      <c r="M114" s="18"/>
      <c r="N114" s="18"/>
      <c r="O114" s="19" t="str">
        <f t="shared" si="30"/>
        <v/>
      </c>
      <c r="P114" s="19" t="str">
        <f t="shared" si="31"/>
        <v/>
      </c>
    </row>
    <row r="115" spans="1:16" x14ac:dyDescent="0.3">
      <c r="A115" s="18"/>
      <c r="B115" s="18"/>
      <c r="C115" s="19" t="str">
        <f t="shared" si="24"/>
        <v/>
      </c>
      <c r="D115" s="19" t="str">
        <f t="shared" si="25"/>
        <v/>
      </c>
      <c r="E115" s="19" t="str">
        <f t="shared" si="26"/>
        <v/>
      </c>
      <c r="F115" s="21" t="str">
        <f t="shared" si="27"/>
        <v/>
      </c>
      <c r="G115" s="21" t="str">
        <f t="shared" si="28"/>
        <v/>
      </c>
      <c r="H115" s="19" t="str">
        <f t="shared" si="29"/>
        <v/>
      </c>
      <c r="I115" s="20"/>
      <c r="J115" s="17"/>
      <c r="K115" s="18"/>
      <c r="L115" s="18"/>
      <c r="M115" s="18"/>
      <c r="N115" s="18"/>
      <c r="O115" s="19" t="str">
        <f t="shared" si="30"/>
        <v/>
      </c>
      <c r="P115" s="19" t="str">
        <f t="shared" si="31"/>
        <v/>
      </c>
    </row>
    <row r="116" spans="1:16" x14ac:dyDescent="0.3">
      <c r="A116" s="18"/>
      <c r="B116" s="18"/>
      <c r="C116" s="19" t="str">
        <f t="shared" si="24"/>
        <v/>
      </c>
      <c r="D116" s="19" t="str">
        <f t="shared" si="25"/>
        <v/>
      </c>
      <c r="E116" s="19" t="str">
        <f t="shared" si="26"/>
        <v/>
      </c>
      <c r="F116" s="21" t="str">
        <f t="shared" si="27"/>
        <v/>
      </c>
      <c r="G116" s="21" t="str">
        <f t="shared" si="28"/>
        <v/>
      </c>
      <c r="H116" s="19" t="str">
        <f t="shared" si="29"/>
        <v/>
      </c>
      <c r="I116" s="20"/>
      <c r="J116" s="17"/>
      <c r="K116" s="18"/>
      <c r="L116" s="18"/>
      <c r="M116" s="18"/>
      <c r="N116" s="18"/>
      <c r="O116" s="19" t="str">
        <f t="shared" si="30"/>
        <v/>
      </c>
      <c r="P116" s="19" t="str">
        <f t="shared" si="31"/>
        <v/>
      </c>
    </row>
    <row r="117" spans="1:16" x14ac:dyDescent="0.3">
      <c r="A117" s="18"/>
      <c r="B117" s="18"/>
      <c r="C117" s="19" t="str">
        <f t="shared" si="24"/>
        <v/>
      </c>
      <c r="D117" s="19" t="str">
        <f t="shared" si="25"/>
        <v/>
      </c>
      <c r="E117" s="19" t="str">
        <f t="shared" si="26"/>
        <v/>
      </c>
      <c r="F117" s="21" t="str">
        <f t="shared" si="27"/>
        <v/>
      </c>
      <c r="G117" s="21" t="str">
        <f t="shared" si="28"/>
        <v/>
      </c>
      <c r="H117" s="19" t="str">
        <f t="shared" si="29"/>
        <v/>
      </c>
      <c r="I117" s="20"/>
      <c r="J117" s="17"/>
      <c r="K117" s="18"/>
      <c r="L117" s="18"/>
      <c r="M117" s="18"/>
      <c r="N117" s="18"/>
      <c r="O117" s="19" t="str">
        <f t="shared" si="30"/>
        <v/>
      </c>
      <c r="P117" s="19" t="str">
        <f t="shared" si="31"/>
        <v/>
      </c>
    </row>
    <row r="118" spans="1:16" x14ac:dyDescent="0.3">
      <c r="A118" s="18"/>
      <c r="B118" s="18"/>
      <c r="C118" s="19" t="str">
        <f t="shared" si="24"/>
        <v/>
      </c>
      <c r="D118" s="19" t="str">
        <f t="shared" si="25"/>
        <v/>
      </c>
      <c r="E118" s="19" t="str">
        <f t="shared" si="26"/>
        <v/>
      </c>
      <c r="F118" s="21" t="str">
        <f t="shared" si="27"/>
        <v/>
      </c>
      <c r="G118" s="21" t="str">
        <f t="shared" si="28"/>
        <v/>
      </c>
      <c r="H118" s="19" t="str">
        <f t="shared" si="29"/>
        <v/>
      </c>
      <c r="I118" s="20"/>
      <c r="J118" s="17"/>
      <c r="K118" s="18"/>
      <c r="L118" s="18"/>
      <c r="M118" s="18"/>
      <c r="N118" s="18"/>
      <c r="O118" s="19" t="str">
        <f t="shared" si="30"/>
        <v/>
      </c>
      <c r="P118" s="19" t="str">
        <f t="shared" si="31"/>
        <v/>
      </c>
    </row>
    <row r="119" spans="1:16" x14ac:dyDescent="0.3">
      <c r="A119" s="18"/>
      <c r="B119" s="18"/>
      <c r="C119" s="19" t="str">
        <f t="shared" si="24"/>
        <v/>
      </c>
      <c r="D119" s="19" t="str">
        <f t="shared" si="25"/>
        <v/>
      </c>
      <c r="E119" s="19" t="str">
        <f t="shared" si="26"/>
        <v/>
      </c>
      <c r="F119" s="21" t="str">
        <f t="shared" si="27"/>
        <v/>
      </c>
      <c r="G119" s="21" t="str">
        <f t="shared" si="28"/>
        <v/>
      </c>
      <c r="H119" s="19" t="str">
        <f t="shared" si="29"/>
        <v/>
      </c>
      <c r="I119" s="20"/>
      <c r="J119" s="17"/>
      <c r="K119" s="18"/>
      <c r="L119" s="18"/>
      <c r="M119" s="18"/>
      <c r="N119" s="18"/>
      <c r="O119" s="19" t="str">
        <f t="shared" si="30"/>
        <v/>
      </c>
      <c r="P119" s="19" t="str">
        <f t="shared" si="31"/>
        <v/>
      </c>
    </row>
    <row r="120" spans="1:16" x14ac:dyDescent="0.3">
      <c r="A120" s="18"/>
      <c r="B120" s="18"/>
      <c r="C120" s="19" t="str">
        <f t="shared" si="24"/>
        <v/>
      </c>
      <c r="D120" s="19" t="str">
        <f t="shared" si="25"/>
        <v/>
      </c>
      <c r="E120" s="19" t="str">
        <f t="shared" si="26"/>
        <v/>
      </c>
      <c r="F120" s="21" t="str">
        <f t="shared" si="27"/>
        <v/>
      </c>
      <c r="G120" s="21" t="str">
        <f t="shared" si="28"/>
        <v/>
      </c>
      <c r="H120" s="19" t="str">
        <f t="shared" si="29"/>
        <v/>
      </c>
      <c r="I120" s="20"/>
      <c r="J120" s="17"/>
      <c r="K120" s="18"/>
      <c r="L120" s="18"/>
      <c r="M120" s="18"/>
      <c r="N120" s="18"/>
      <c r="O120" s="19" t="str">
        <f t="shared" si="30"/>
        <v/>
      </c>
      <c r="P120" s="19" t="str">
        <f t="shared" si="31"/>
        <v/>
      </c>
    </row>
    <row r="121" spans="1:16" x14ac:dyDescent="0.3">
      <c r="A121" s="18"/>
      <c r="B121" s="18"/>
      <c r="C121" s="19" t="str">
        <f t="shared" si="24"/>
        <v/>
      </c>
      <c r="D121" s="19" t="str">
        <f t="shared" si="25"/>
        <v/>
      </c>
      <c r="E121" s="19" t="str">
        <f t="shared" si="26"/>
        <v/>
      </c>
      <c r="F121" s="21" t="str">
        <f t="shared" si="27"/>
        <v/>
      </c>
      <c r="G121" s="21" t="str">
        <f t="shared" si="28"/>
        <v/>
      </c>
      <c r="H121" s="19" t="str">
        <f t="shared" si="29"/>
        <v/>
      </c>
      <c r="I121" s="20"/>
      <c r="J121" s="17"/>
      <c r="K121" s="18"/>
      <c r="L121" s="18"/>
      <c r="M121" s="18"/>
      <c r="N121" s="18"/>
      <c r="O121" s="19" t="str">
        <f t="shared" si="30"/>
        <v/>
      </c>
      <c r="P121" s="19" t="str">
        <f t="shared" si="31"/>
        <v/>
      </c>
    </row>
    <row r="122" spans="1:16" x14ac:dyDescent="0.3">
      <c r="A122" s="18"/>
      <c r="B122" s="18"/>
      <c r="C122" s="19" t="str">
        <f t="shared" si="24"/>
        <v/>
      </c>
      <c r="D122" s="19" t="str">
        <f t="shared" si="25"/>
        <v/>
      </c>
      <c r="E122" s="19" t="str">
        <f t="shared" si="26"/>
        <v/>
      </c>
      <c r="F122" s="21" t="str">
        <f t="shared" si="27"/>
        <v/>
      </c>
      <c r="G122" s="21" t="str">
        <f t="shared" si="28"/>
        <v/>
      </c>
      <c r="H122" s="19" t="str">
        <f t="shared" si="29"/>
        <v/>
      </c>
      <c r="I122" s="20"/>
      <c r="J122" s="17"/>
      <c r="K122" s="18"/>
      <c r="L122" s="18"/>
      <c r="M122" s="18"/>
      <c r="N122" s="18"/>
      <c r="O122" s="19" t="str">
        <f t="shared" si="30"/>
        <v/>
      </c>
      <c r="P122" s="19" t="str">
        <f t="shared" si="31"/>
        <v/>
      </c>
    </row>
    <row r="123" spans="1:16" x14ac:dyDescent="0.3">
      <c r="A123" s="18"/>
      <c r="B123" s="18"/>
      <c r="C123" s="19" t="str">
        <f t="shared" si="24"/>
        <v/>
      </c>
      <c r="D123" s="19" t="str">
        <f t="shared" si="25"/>
        <v/>
      </c>
      <c r="E123" s="19" t="str">
        <f t="shared" si="26"/>
        <v/>
      </c>
      <c r="F123" s="21" t="str">
        <f t="shared" si="27"/>
        <v/>
      </c>
      <c r="G123" s="21" t="str">
        <f t="shared" si="28"/>
        <v/>
      </c>
      <c r="H123" s="19" t="str">
        <f t="shared" si="29"/>
        <v/>
      </c>
      <c r="I123" s="20"/>
      <c r="J123" s="17"/>
      <c r="K123" s="18"/>
      <c r="L123" s="18"/>
      <c r="M123" s="18"/>
      <c r="N123" s="18"/>
      <c r="O123" s="19" t="str">
        <f t="shared" si="30"/>
        <v/>
      </c>
      <c r="P123" s="19" t="str">
        <f t="shared" si="31"/>
        <v/>
      </c>
    </row>
    <row r="124" spans="1:16" x14ac:dyDescent="0.3">
      <c r="A124" s="18"/>
      <c r="B124" s="18"/>
      <c r="C124" s="19" t="str">
        <f t="shared" si="24"/>
        <v/>
      </c>
      <c r="D124" s="19" t="str">
        <f t="shared" si="25"/>
        <v/>
      </c>
      <c r="E124" s="19" t="str">
        <f t="shared" si="26"/>
        <v/>
      </c>
      <c r="F124" s="21" t="str">
        <f t="shared" si="27"/>
        <v/>
      </c>
      <c r="G124" s="21" t="str">
        <f t="shared" si="28"/>
        <v/>
      </c>
      <c r="H124" s="19" t="str">
        <f t="shared" si="29"/>
        <v/>
      </c>
      <c r="I124" s="20"/>
      <c r="J124" s="17"/>
      <c r="K124" s="18"/>
      <c r="L124" s="18"/>
      <c r="M124" s="18"/>
      <c r="N124" s="18"/>
      <c r="O124" s="19" t="str">
        <f t="shared" si="30"/>
        <v/>
      </c>
      <c r="P124" s="19" t="str">
        <f t="shared" si="31"/>
        <v/>
      </c>
    </row>
    <row r="125" spans="1:16" x14ac:dyDescent="0.3">
      <c r="A125" s="18"/>
      <c r="B125" s="18"/>
      <c r="C125" s="19" t="str">
        <f t="shared" si="24"/>
        <v/>
      </c>
      <c r="D125" s="19" t="str">
        <f t="shared" si="25"/>
        <v/>
      </c>
      <c r="E125" s="19" t="str">
        <f t="shared" si="26"/>
        <v/>
      </c>
      <c r="F125" s="21" t="str">
        <f t="shared" si="27"/>
        <v/>
      </c>
      <c r="G125" s="21" t="str">
        <f t="shared" si="28"/>
        <v/>
      </c>
      <c r="H125" s="19" t="str">
        <f t="shared" si="29"/>
        <v/>
      </c>
      <c r="I125" s="20"/>
      <c r="J125" s="17"/>
      <c r="K125" s="18"/>
      <c r="L125" s="18"/>
      <c r="M125" s="18"/>
      <c r="N125" s="18"/>
      <c r="O125" s="19" t="str">
        <f t="shared" si="30"/>
        <v/>
      </c>
      <c r="P125" s="19" t="str">
        <f t="shared" si="31"/>
        <v/>
      </c>
    </row>
    <row r="126" spans="1:16" x14ac:dyDescent="0.3">
      <c r="A126" s="18"/>
      <c r="B126" s="18"/>
      <c r="C126" s="19" t="str">
        <f t="shared" si="24"/>
        <v/>
      </c>
      <c r="D126" s="19" t="str">
        <f t="shared" si="25"/>
        <v/>
      </c>
      <c r="E126" s="19" t="str">
        <f t="shared" si="26"/>
        <v/>
      </c>
      <c r="F126" s="21" t="str">
        <f t="shared" si="27"/>
        <v/>
      </c>
      <c r="G126" s="21" t="str">
        <f t="shared" si="28"/>
        <v/>
      </c>
      <c r="H126" s="19" t="str">
        <f t="shared" si="29"/>
        <v/>
      </c>
      <c r="I126" s="20"/>
      <c r="J126" s="17"/>
      <c r="K126" s="18"/>
      <c r="L126" s="18"/>
      <c r="M126" s="18"/>
      <c r="N126" s="18"/>
      <c r="O126" s="19" t="str">
        <f t="shared" si="30"/>
        <v/>
      </c>
      <c r="P126" s="19" t="str">
        <f t="shared" si="31"/>
        <v/>
      </c>
    </row>
    <row r="127" spans="1:16" x14ac:dyDescent="0.3">
      <c r="A127" s="18"/>
      <c r="B127" s="18"/>
      <c r="C127" s="19" t="str">
        <f t="shared" si="24"/>
        <v/>
      </c>
      <c r="D127" s="19" t="str">
        <f t="shared" si="25"/>
        <v/>
      </c>
      <c r="E127" s="19" t="str">
        <f t="shared" si="26"/>
        <v/>
      </c>
      <c r="F127" s="21" t="str">
        <f t="shared" si="27"/>
        <v/>
      </c>
      <c r="G127" s="21" t="str">
        <f t="shared" si="28"/>
        <v/>
      </c>
      <c r="H127" s="19" t="str">
        <f t="shared" si="29"/>
        <v/>
      </c>
      <c r="I127" s="20"/>
      <c r="J127" s="17"/>
      <c r="K127" s="18"/>
      <c r="L127" s="18"/>
      <c r="M127" s="18"/>
      <c r="N127" s="18"/>
      <c r="O127" s="19" t="str">
        <f t="shared" si="30"/>
        <v/>
      </c>
      <c r="P127" s="19" t="str">
        <f t="shared" si="31"/>
        <v/>
      </c>
    </row>
    <row r="128" spans="1:16" x14ac:dyDescent="0.3">
      <c r="A128" s="18"/>
      <c r="B128" s="18"/>
      <c r="C128" s="19" t="str">
        <f t="shared" si="24"/>
        <v/>
      </c>
      <c r="D128" s="19" t="str">
        <f t="shared" si="25"/>
        <v/>
      </c>
      <c r="E128" s="19" t="str">
        <f t="shared" si="26"/>
        <v/>
      </c>
      <c r="F128" s="21" t="str">
        <f t="shared" si="27"/>
        <v/>
      </c>
      <c r="G128" s="21" t="str">
        <f t="shared" si="28"/>
        <v/>
      </c>
      <c r="H128" s="19" t="str">
        <f t="shared" si="29"/>
        <v/>
      </c>
      <c r="I128" s="20"/>
      <c r="J128" s="17"/>
      <c r="K128" s="18"/>
      <c r="L128" s="18"/>
      <c r="M128" s="18"/>
      <c r="N128" s="18"/>
      <c r="O128" s="19" t="str">
        <f t="shared" si="30"/>
        <v/>
      </c>
      <c r="P128" s="19" t="str">
        <f t="shared" si="31"/>
        <v/>
      </c>
    </row>
    <row r="129" spans="1:16" x14ac:dyDescent="0.3">
      <c r="A129" s="18"/>
      <c r="B129" s="18"/>
      <c r="C129" s="19" t="str">
        <f t="shared" si="24"/>
        <v/>
      </c>
      <c r="D129" s="19" t="str">
        <f t="shared" si="25"/>
        <v/>
      </c>
      <c r="E129" s="19" t="str">
        <f t="shared" si="26"/>
        <v/>
      </c>
      <c r="F129" s="21" t="str">
        <f t="shared" si="27"/>
        <v/>
      </c>
      <c r="G129" s="21" t="str">
        <f t="shared" si="28"/>
        <v/>
      </c>
      <c r="H129" s="19" t="str">
        <f t="shared" si="29"/>
        <v/>
      </c>
      <c r="I129" s="20"/>
      <c r="J129" s="17"/>
      <c r="K129" s="18"/>
      <c r="L129" s="18"/>
      <c r="M129" s="18"/>
      <c r="N129" s="18"/>
      <c r="O129" s="19" t="str">
        <f t="shared" si="30"/>
        <v/>
      </c>
      <c r="P129" s="19" t="str">
        <f t="shared" si="31"/>
        <v/>
      </c>
    </row>
    <row r="130" spans="1:16" x14ac:dyDescent="0.3">
      <c r="A130" s="18"/>
      <c r="B130" s="18"/>
      <c r="C130" s="19" t="str">
        <f t="shared" si="24"/>
        <v/>
      </c>
      <c r="D130" s="19" t="str">
        <f t="shared" si="25"/>
        <v/>
      </c>
      <c r="E130" s="19" t="str">
        <f t="shared" si="26"/>
        <v/>
      </c>
      <c r="F130" s="21" t="str">
        <f t="shared" si="27"/>
        <v/>
      </c>
      <c r="G130" s="21" t="str">
        <f t="shared" si="28"/>
        <v/>
      </c>
      <c r="H130" s="19" t="str">
        <f t="shared" si="29"/>
        <v/>
      </c>
      <c r="I130" s="20"/>
      <c r="J130" s="17"/>
      <c r="K130" s="18"/>
      <c r="L130" s="18"/>
      <c r="M130" s="18"/>
      <c r="N130" s="18"/>
      <c r="O130" s="19" t="str">
        <f t="shared" si="30"/>
        <v/>
      </c>
      <c r="P130" s="19" t="str">
        <f t="shared" si="31"/>
        <v/>
      </c>
    </row>
    <row r="131" spans="1:16" x14ac:dyDescent="0.3">
      <c r="A131" s="18"/>
      <c r="B131" s="18"/>
      <c r="C131" s="19" t="str">
        <f t="shared" si="24"/>
        <v/>
      </c>
      <c r="D131" s="19" t="str">
        <f t="shared" si="25"/>
        <v/>
      </c>
      <c r="E131" s="19" t="str">
        <f t="shared" si="26"/>
        <v/>
      </c>
      <c r="F131" s="21" t="str">
        <f t="shared" si="27"/>
        <v/>
      </c>
      <c r="G131" s="21" t="str">
        <f t="shared" si="28"/>
        <v/>
      </c>
      <c r="H131" s="19" t="str">
        <f t="shared" si="29"/>
        <v/>
      </c>
      <c r="I131" s="20"/>
      <c r="J131" s="17"/>
      <c r="K131" s="18"/>
      <c r="L131" s="18"/>
      <c r="M131" s="18"/>
      <c r="N131" s="18"/>
      <c r="O131" s="19" t="str">
        <f t="shared" si="30"/>
        <v/>
      </c>
      <c r="P131" s="19" t="str">
        <f t="shared" si="31"/>
        <v/>
      </c>
    </row>
    <row r="132" spans="1:16" x14ac:dyDescent="0.3">
      <c r="A132" s="18"/>
      <c r="B132" s="18"/>
      <c r="C132" s="19" t="str">
        <f t="shared" si="24"/>
        <v/>
      </c>
      <c r="D132" s="19" t="str">
        <f t="shared" si="25"/>
        <v/>
      </c>
      <c r="E132" s="19" t="str">
        <f t="shared" si="26"/>
        <v/>
      </c>
      <c r="F132" s="21" t="str">
        <f t="shared" si="27"/>
        <v/>
      </c>
      <c r="G132" s="21" t="str">
        <f t="shared" si="28"/>
        <v/>
      </c>
      <c r="H132" s="19" t="str">
        <f t="shared" si="29"/>
        <v/>
      </c>
      <c r="I132" s="20"/>
      <c r="J132" s="17"/>
      <c r="K132" s="18"/>
      <c r="L132" s="18"/>
      <c r="M132" s="18"/>
      <c r="N132" s="18"/>
      <c r="O132" s="19" t="str">
        <f t="shared" si="30"/>
        <v/>
      </c>
      <c r="P132" s="19" t="str">
        <f t="shared" si="31"/>
        <v/>
      </c>
    </row>
    <row r="133" spans="1:16" x14ac:dyDescent="0.3">
      <c r="A133" s="18"/>
      <c r="B133" s="18"/>
      <c r="C133" s="19" t="str">
        <f t="shared" ref="C133:C154" si="32">IF($B133="","",IFERROR(INDEX(Cad_ID,MATCH($B133,Cad_Rotulo,0)),""))</f>
        <v/>
      </c>
      <c r="D133" s="19" t="str">
        <f t="shared" ref="D133:D154" si="33">IF($C133="","",IFERROR(INDEX(Cad_OC,MATCH($C133,Cad_ID,0)),""))</f>
        <v/>
      </c>
      <c r="E133" s="19" t="str">
        <f t="shared" ref="E133:E154" si="34">IF($C133="","",IFERROR(INDEX(Cad_SC,MATCH($C133,Cad_ID,0)),""))</f>
        <v/>
      </c>
      <c r="F133" s="21" t="str">
        <f t="shared" ref="F133:F154" si="35">IF($C133="","",IFERROR(INDEX(Cad_Cham,MATCH($C133,Cad_ID,0)),""))</f>
        <v/>
      </c>
      <c r="G133" s="21" t="str">
        <f t="shared" ref="G133:G154" si="36">IF($C133="","",IFERROR(INDEX(Cad_Prod,MATCH($C133,Cad_ID,0)),""))</f>
        <v/>
      </c>
      <c r="H133" s="19" t="str">
        <f t="shared" ref="H133:H154" si="37">IF($G133="","",IFERROR(INDEX(Prod_Desc,MATCH($G133,Prod_Cod,0)),"PRODUTO NÃO CADASTRADO"))</f>
        <v/>
      </c>
      <c r="I133" s="20"/>
      <c r="J133" s="17"/>
      <c r="K133" s="18"/>
      <c r="L133" s="18"/>
      <c r="M133" s="18"/>
      <c r="N133" s="18"/>
      <c r="O133" s="19" t="str">
        <f t="shared" ref="O133:O154" si="38">IF($C133="","",IFERROR(INDEX(Cad_Forn,MATCH($C133,Cad_ID,0)),""))</f>
        <v/>
      </c>
      <c r="P133" s="19" t="str">
        <f t="shared" ref="P133:P154" si="39">IF($A133="","",IF($C133="","ITEM NÃO ENCONTRADO",IF(SUMIFS(Ent_Qtd,Ent_Item,$C133)&gt;SUMIFS(Cad_QtdComp,Cad_ID,$C133),"RECEBIDO ACIMA DA OC","OK")))</f>
        <v/>
      </c>
    </row>
    <row r="134" spans="1:16" x14ac:dyDescent="0.3">
      <c r="A134" s="18"/>
      <c r="B134" s="18"/>
      <c r="C134" s="19" t="str">
        <f t="shared" si="32"/>
        <v/>
      </c>
      <c r="D134" s="19" t="str">
        <f t="shared" si="33"/>
        <v/>
      </c>
      <c r="E134" s="19" t="str">
        <f t="shared" si="34"/>
        <v/>
      </c>
      <c r="F134" s="21" t="str">
        <f t="shared" si="35"/>
        <v/>
      </c>
      <c r="G134" s="21" t="str">
        <f t="shared" si="36"/>
        <v/>
      </c>
      <c r="H134" s="19" t="str">
        <f t="shared" si="37"/>
        <v/>
      </c>
      <c r="I134" s="20"/>
      <c r="J134" s="17"/>
      <c r="K134" s="18"/>
      <c r="L134" s="18"/>
      <c r="M134" s="18"/>
      <c r="N134" s="18"/>
      <c r="O134" s="19" t="str">
        <f t="shared" si="38"/>
        <v/>
      </c>
      <c r="P134" s="19" t="str">
        <f t="shared" si="39"/>
        <v/>
      </c>
    </row>
    <row r="135" spans="1:16" x14ac:dyDescent="0.3">
      <c r="A135" s="18"/>
      <c r="B135" s="18"/>
      <c r="C135" s="19" t="str">
        <f t="shared" si="32"/>
        <v/>
      </c>
      <c r="D135" s="19" t="str">
        <f t="shared" si="33"/>
        <v/>
      </c>
      <c r="E135" s="19" t="str">
        <f t="shared" si="34"/>
        <v/>
      </c>
      <c r="F135" s="21" t="str">
        <f t="shared" si="35"/>
        <v/>
      </c>
      <c r="G135" s="21" t="str">
        <f t="shared" si="36"/>
        <v/>
      </c>
      <c r="H135" s="19" t="str">
        <f t="shared" si="37"/>
        <v/>
      </c>
      <c r="I135" s="20"/>
      <c r="J135" s="17"/>
      <c r="K135" s="18"/>
      <c r="L135" s="18"/>
      <c r="M135" s="18"/>
      <c r="N135" s="18"/>
      <c r="O135" s="19" t="str">
        <f t="shared" si="38"/>
        <v/>
      </c>
      <c r="P135" s="19" t="str">
        <f t="shared" si="39"/>
        <v/>
      </c>
    </row>
    <row r="136" spans="1:16" x14ac:dyDescent="0.3">
      <c r="A136" s="18"/>
      <c r="B136" s="18"/>
      <c r="C136" s="19" t="str">
        <f t="shared" si="32"/>
        <v/>
      </c>
      <c r="D136" s="19" t="str">
        <f t="shared" si="33"/>
        <v/>
      </c>
      <c r="E136" s="19" t="str">
        <f t="shared" si="34"/>
        <v/>
      </c>
      <c r="F136" s="21" t="str">
        <f t="shared" si="35"/>
        <v/>
      </c>
      <c r="G136" s="21" t="str">
        <f t="shared" si="36"/>
        <v/>
      </c>
      <c r="H136" s="19" t="str">
        <f t="shared" si="37"/>
        <v/>
      </c>
      <c r="I136" s="20"/>
      <c r="J136" s="17"/>
      <c r="K136" s="18"/>
      <c r="L136" s="18"/>
      <c r="M136" s="18"/>
      <c r="N136" s="18"/>
      <c r="O136" s="19" t="str">
        <f t="shared" si="38"/>
        <v/>
      </c>
      <c r="P136" s="19" t="str">
        <f t="shared" si="39"/>
        <v/>
      </c>
    </row>
    <row r="137" spans="1:16" x14ac:dyDescent="0.3">
      <c r="A137" s="18"/>
      <c r="B137" s="18"/>
      <c r="C137" s="19" t="str">
        <f t="shared" si="32"/>
        <v/>
      </c>
      <c r="D137" s="19" t="str">
        <f t="shared" si="33"/>
        <v/>
      </c>
      <c r="E137" s="19" t="str">
        <f t="shared" si="34"/>
        <v/>
      </c>
      <c r="F137" s="21" t="str">
        <f t="shared" si="35"/>
        <v/>
      </c>
      <c r="G137" s="21" t="str">
        <f t="shared" si="36"/>
        <v/>
      </c>
      <c r="H137" s="19" t="str">
        <f t="shared" si="37"/>
        <v/>
      </c>
      <c r="I137" s="20"/>
      <c r="J137" s="17"/>
      <c r="K137" s="18"/>
      <c r="L137" s="18"/>
      <c r="M137" s="18"/>
      <c r="N137" s="18"/>
      <c r="O137" s="19" t="str">
        <f t="shared" si="38"/>
        <v/>
      </c>
      <c r="P137" s="19" t="str">
        <f t="shared" si="39"/>
        <v/>
      </c>
    </row>
    <row r="138" spans="1:16" x14ac:dyDescent="0.3">
      <c r="A138" s="18"/>
      <c r="B138" s="18"/>
      <c r="C138" s="19" t="str">
        <f t="shared" si="32"/>
        <v/>
      </c>
      <c r="D138" s="19" t="str">
        <f t="shared" si="33"/>
        <v/>
      </c>
      <c r="E138" s="19" t="str">
        <f t="shared" si="34"/>
        <v/>
      </c>
      <c r="F138" s="21" t="str">
        <f t="shared" si="35"/>
        <v/>
      </c>
      <c r="G138" s="21" t="str">
        <f t="shared" si="36"/>
        <v/>
      </c>
      <c r="H138" s="19" t="str">
        <f t="shared" si="37"/>
        <v/>
      </c>
      <c r="I138" s="20"/>
      <c r="J138" s="17"/>
      <c r="K138" s="18"/>
      <c r="L138" s="18"/>
      <c r="M138" s="18"/>
      <c r="N138" s="18"/>
      <c r="O138" s="19" t="str">
        <f t="shared" si="38"/>
        <v/>
      </c>
      <c r="P138" s="19" t="str">
        <f t="shared" si="39"/>
        <v/>
      </c>
    </row>
    <row r="139" spans="1:16" x14ac:dyDescent="0.3">
      <c r="A139" s="18"/>
      <c r="B139" s="18"/>
      <c r="C139" s="19" t="str">
        <f t="shared" si="32"/>
        <v/>
      </c>
      <c r="D139" s="19" t="str">
        <f t="shared" si="33"/>
        <v/>
      </c>
      <c r="E139" s="19" t="str">
        <f t="shared" si="34"/>
        <v/>
      </c>
      <c r="F139" s="21" t="str">
        <f t="shared" si="35"/>
        <v/>
      </c>
      <c r="G139" s="21" t="str">
        <f t="shared" si="36"/>
        <v/>
      </c>
      <c r="H139" s="19" t="str">
        <f t="shared" si="37"/>
        <v/>
      </c>
      <c r="I139" s="20"/>
      <c r="J139" s="17"/>
      <c r="K139" s="18"/>
      <c r="L139" s="18"/>
      <c r="M139" s="18"/>
      <c r="N139" s="18"/>
      <c r="O139" s="19" t="str">
        <f t="shared" si="38"/>
        <v/>
      </c>
      <c r="P139" s="19" t="str">
        <f t="shared" si="39"/>
        <v/>
      </c>
    </row>
    <row r="140" spans="1:16" x14ac:dyDescent="0.3">
      <c r="A140" s="18"/>
      <c r="B140" s="18"/>
      <c r="C140" s="19" t="str">
        <f t="shared" si="32"/>
        <v/>
      </c>
      <c r="D140" s="19" t="str">
        <f t="shared" si="33"/>
        <v/>
      </c>
      <c r="E140" s="19" t="str">
        <f t="shared" si="34"/>
        <v/>
      </c>
      <c r="F140" s="21" t="str">
        <f t="shared" si="35"/>
        <v/>
      </c>
      <c r="G140" s="21" t="str">
        <f t="shared" si="36"/>
        <v/>
      </c>
      <c r="H140" s="19" t="str">
        <f t="shared" si="37"/>
        <v/>
      </c>
      <c r="I140" s="20"/>
      <c r="J140" s="17"/>
      <c r="K140" s="18"/>
      <c r="L140" s="18"/>
      <c r="M140" s="18"/>
      <c r="N140" s="18"/>
      <c r="O140" s="19" t="str">
        <f t="shared" si="38"/>
        <v/>
      </c>
      <c r="P140" s="19" t="str">
        <f t="shared" si="39"/>
        <v/>
      </c>
    </row>
    <row r="141" spans="1:16" x14ac:dyDescent="0.3">
      <c r="A141" s="18"/>
      <c r="B141" s="18"/>
      <c r="C141" s="19" t="str">
        <f t="shared" si="32"/>
        <v/>
      </c>
      <c r="D141" s="19" t="str">
        <f t="shared" si="33"/>
        <v/>
      </c>
      <c r="E141" s="19" t="str">
        <f t="shared" si="34"/>
        <v/>
      </c>
      <c r="F141" s="21" t="str">
        <f t="shared" si="35"/>
        <v/>
      </c>
      <c r="G141" s="21" t="str">
        <f t="shared" si="36"/>
        <v/>
      </c>
      <c r="H141" s="19" t="str">
        <f t="shared" si="37"/>
        <v/>
      </c>
      <c r="I141" s="20"/>
      <c r="J141" s="17"/>
      <c r="K141" s="18"/>
      <c r="L141" s="18"/>
      <c r="M141" s="18"/>
      <c r="N141" s="18"/>
      <c r="O141" s="19" t="str">
        <f t="shared" si="38"/>
        <v/>
      </c>
      <c r="P141" s="19" t="str">
        <f t="shared" si="39"/>
        <v/>
      </c>
    </row>
    <row r="142" spans="1:16" x14ac:dyDescent="0.3">
      <c r="A142" s="18"/>
      <c r="B142" s="18"/>
      <c r="C142" s="19" t="str">
        <f t="shared" si="32"/>
        <v/>
      </c>
      <c r="D142" s="19" t="str">
        <f t="shared" si="33"/>
        <v/>
      </c>
      <c r="E142" s="19" t="str">
        <f t="shared" si="34"/>
        <v/>
      </c>
      <c r="F142" s="21" t="str">
        <f t="shared" si="35"/>
        <v/>
      </c>
      <c r="G142" s="21" t="str">
        <f t="shared" si="36"/>
        <v/>
      </c>
      <c r="H142" s="19" t="str">
        <f t="shared" si="37"/>
        <v/>
      </c>
      <c r="I142" s="20"/>
      <c r="J142" s="17"/>
      <c r="K142" s="18"/>
      <c r="L142" s="18"/>
      <c r="M142" s="18"/>
      <c r="N142" s="18"/>
      <c r="O142" s="19" t="str">
        <f t="shared" si="38"/>
        <v/>
      </c>
      <c r="P142" s="19" t="str">
        <f t="shared" si="39"/>
        <v/>
      </c>
    </row>
    <row r="143" spans="1:16" x14ac:dyDescent="0.3">
      <c r="A143" s="18"/>
      <c r="B143" s="18"/>
      <c r="C143" s="19" t="str">
        <f t="shared" si="32"/>
        <v/>
      </c>
      <c r="D143" s="19" t="str">
        <f t="shared" si="33"/>
        <v/>
      </c>
      <c r="E143" s="19" t="str">
        <f t="shared" si="34"/>
        <v/>
      </c>
      <c r="F143" s="21" t="str">
        <f t="shared" si="35"/>
        <v/>
      </c>
      <c r="G143" s="21" t="str">
        <f t="shared" si="36"/>
        <v/>
      </c>
      <c r="H143" s="19" t="str">
        <f t="shared" si="37"/>
        <v/>
      </c>
      <c r="I143" s="20"/>
      <c r="J143" s="17"/>
      <c r="K143" s="18"/>
      <c r="L143" s="18"/>
      <c r="M143" s="18"/>
      <c r="N143" s="18"/>
      <c r="O143" s="19" t="str">
        <f t="shared" si="38"/>
        <v/>
      </c>
      <c r="P143" s="19" t="str">
        <f t="shared" si="39"/>
        <v/>
      </c>
    </row>
    <row r="144" spans="1:16" x14ac:dyDescent="0.3">
      <c r="A144" s="18"/>
      <c r="B144" s="18"/>
      <c r="C144" s="19" t="str">
        <f t="shared" si="32"/>
        <v/>
      </c>
      <c r="D144" s="19" t="str">
        <f t="shared" si="33"/>
        <v/>
      </c>
      <c r="E144" s="19" t="str">
        <f t="shared" si="34"/>
        <v/>
      </c>
      <c r="F144" s="21" t="str">
        <f t="shared" si="35"/>
        <v/>
      </c>
      <c r="G144" s="21" t="str">
        <f t="shared" si="36"/>
        <v/>
      </c>
      <c r="H144" s="19" t="str">
        <f t="shared" si="37"/>
        <v/>
      </c>
      <c r="I144" s="20"/>
      <c r="J144" s="17"/>
      <c r="K144" s="18"/>
      <c r="L144" s="18"/>
      <c r="M144" s="18"/>
      <c r="N144" s="18"/>
      <c r="O144" s="19" t="str">
        <f t="shared" si="38"/>
        <v/>
      </c>
      <c r="P144" s="19" t="str">
        <f t="shared" si="39"/>
        <v/>
      </c>
    </row>
    <row r="145" spans="1:16" x14ac:dyDescent="0.3">
      <c r="A145" s="18"/>
      <c r="B145" s="18"/>
      <c r="C145" s="19" t="str">
        <f t="shared" si="32"/>
        <v/>
      </c>
      <c r="D145" s="19" t="str">
        <f t="shared" si="33"/>
        <v/>
      </c>
      <c r="E145" s="19" t="str">
        <f t="shared" si="34"/>
        <v/>
      </c>
      <c r="F145" s="21" t="str">
        <f t="shared" si="35"/>
        <v/>
      </c>
      <c r="G145" s="21" t="str">
        <f t="shared" si="36"/>
        <v/>
      </c>
      <c r="H145" s="19" t="str">
        <f t="shared" si="37"/>
        <v/>
      </c>
      <c r="I145" s="20"/>
      <c r="J145" s="17"/>
      <c r="K145" s="18"/>
      <c r="L145" s="18"/>
      <c r="M145" s="18"/>
      <c r="N145" s="18"/>
      <c r="O145" s="19" t="str">
        <f t="shared" si="38"/>
        <v/>
      </c>
      <c r="P145" s="19" t="str">
        <f t="shared" si="39"/>
        <v/>
      </c>
    </row>
    <row r="146" spans="1:16" x14ac:dyDescent="0.3">
      <c r="A146" s="18"/>
      <c r="B146" s="18"/>
      <c r="C146" s="19" t="str">
        <f t="shared" si="32"/>
        <v/>
      </c>
      <c r="D146" s="19" t="str">
        <f t="shared" si="33"/>
        <v/>
      </c>
      <c r="E146" s="19" t="str">
        <f t="shared" si="34"/>
        <v/>
      </c>
      <c r="F146" s="21" t="str">
        <f t="shared" si="35"/>
        <v/>
      </c>
      <c r="G146" s="21" t="str">
        <f t="shared" si="36"/>
        <v/>
      </c>
      <c r="H146" s="19" t="str">
        <f t="shared" si="37"/>
        <v/>
      </c>
      <c r="I146" s="20"/>
      <c r="J146" s="17"/>
      <c r="K146" s="18"/>
      <c r="L146" s="18"/>
      <c r="M146" s="18"/>
      <c r="N146" s="18"/>
      <c r="O146" s="19" t="str">
        <f t="shared" si="38"/>
        <v/>
      </c>
      <c r="P146" s="19" t="str">
        <f t="shared" si="39"/>
        <v/>
      </c>
    </row>
    <row r="147" spans="1:16" x14ac:dyDescent="0.3">
      <c r="A147" s="18"/>
      <c r="B147" s="18"/>
      <c r="C147" s="19" t="str">
        <f t="shared" si="32"/>
        <v/>
      </c>
      <c r="D147" s="19" t="str">
        <f t="shared" si="33"/>
        <v/>
      </c>
      <c r="E147" s="19" t="str">
        <f t="shared" si="34"/>
        <v/>
      </c>
      <c r="F147" s="21" t="str">
        <f t="shared" si="35"/>
        <v/>
      </c>
      <c r="G147" s="21" t="str">
        <f t="shared" si="36"/>
        <v/>
      </c>
      <c r="H147" s="19" t="str">
        <f t="shared" si="37"/>
        <v/>
      </c>
      <c r="I147" s="20"/>
      <c r="J147" s="17"/>
      <c r="K147" s="18"/>
      <c r="L147" s="18"/>
      <c r="M147" s="18"/>
      <c r="N147" s="18"/>
      <c r="O147" s="19" t="str">
        <f t="shared" si="38"/>
        <v/>
      </c>
      <c r="P147" s="19" t="str">
        <f t="shared" si="39"/>
        <v/>
      </c>
    </row>
    <row r="148" spans="1:16" x14ac:dyDescent="0.3">
      <c r="A148" s="18"/>
      <c r="B148" s="18"/>
      <c r="C148" s="19" t="str">
        <f t="shared" si="32"/>
        <v/>
      </c>
      <c r="D148" s="19" t="str">
        <f t="shared" si="33"/>
        <v/>
      </c>
      <c r="E148" s="19" t="str">
        <f t="shared" si="34"/>
        <v/>
      </c>
      <c r="F148" s="21" t="str">
        <f t="shared" si="35"/>
        <v/>
      </c>
      <c r="G148" s="21" t="str">
        <f t="shared" si="36"/>
        <v/>
      </c>
      <c r="H148" s="19" t="str">
        <f t="shared" si="37"/>
        <v/>
      </c>
      <c r="I148" s="20"/>
      <c r="J148" s="17"/>
      <c r="K148" s="18"/>
      <c r="L148" s="18"/>
      <c r="M148" s="18"/>
      <c r="N148" s="18"/>
      <c r="O148" s="19" t="str">
        <f t="shared" si="38"/>
        <v/>
      </c>
      <c r="P148" s="19" t="str">
        <f t="shared" si="39"/>
        <v/>
      </c>
    </row>
    <row r="149" spans="1:16" x14ac:dyDescent="0.3">
      <c r="A149" s="18"/>
      <c r="B149" s="18"/>
      <c r="C149" s="19" t="str">
        <f t="shared" si="32"/>
        <v/>
      </c>
      <c r="D149" s="19" t="str">
        <f t="shared" si="33"/>
        <v/>
      </c>
      <c r="E149" s="19" t="str">
        <f t="shared" si="34"/>
        <v/>
      </c>
      <c r="F149" s="21" t="str">
        <f t="shared" si="35"/>
        <v/>
      </c>
      <c r="G149" s="21" t="str">
        <f t="shared" si="36"/>
        <v/>
      </c>
      <c r="H149" s="19" t="str">
        <f t="shared" si="37"/>
        <v/>
      </c>
      <c r="I149" s="20"/>
      <c r="J149" s="17"/>
      <c r="K149" s="18"/>
      <c r="L149" s="18"/>
      <c r="M149" s="18"/>
      <c r="N149" s="18"/>
      <c r="O149" s="19" t="str">
        <f t="shared" si="38"/>
        <v/>
      </c>
      <c r="P149" s="19" t="str">
        <f t="shared" si="39"/>
        <v/>
      </c>
    </row>
    <row r="150" spans="1:16" x14ac:dyDescent="0.3">
      <c r="A150" s="18"/>
      <c r="B150" s="18"/>
      <c r="C150" s="19" t="str">
        <f t="shared" si="32"/>
        <v/>
      </c>
      <c r="D150" s="19" t="str">
        <f t="shared" si="33"/>
        <v/>
      </c>
      <c r="E150" s="19" t="str">
        <f t="shared" si="34"/>
        <v/>
      </c>
      <c r="F150" s="21" t="str">
        <f t="shared" si="35"/>
        <v/>
      </c>
      <c r="G150" s="21" t="str">
        <f t="shared" si="36"/>
        <v/>
      </c>
      <c r="H150" s="19" t="str">
        <f t="shared" si="37"/>
        <v/>
      </c>
      <c r="I150" s="20"/>
      <c r="J150" s="17"/>
      <c r="K150" s="18"/>
      <c r="L150" s="18"/>
      <c r="M150" s="18"/>
      <c r="N150" s="18"/>
      <c r="O150" s="19" t="str">
        <f t="shared" si="38"/>
        <v/>
      </c>
      <c r="P150" s="19" t="str">
        <f t="shared" si="39"/>
        <v/>
      </c>
    </row>
    <row r="151" spans="1:16" x14ac:dyDescent="0.3">
      <c r="A151" s="18"/>
      <c r="B151" s="18"/>
      <c r="C151" s="19" t="str">
        <f t="shared" si="32"/>
        <v/>
      </c>
      <c r="D151" s="19" t="str">
        <f t="shared" si="33"/>
        <v/>
      </c>
      <c r="E151" s="19" t="str">
        <f t="shared" si="34"/>
        <v/>
      </c>
      <c r="F151" s="21" t="str">
        <f t="shared" si="35"/>
        <v/>
      </c>
      <c r="G151" s="21" t="str">
        <f t="shared" si="36"/>
        <v/>
      </c>
      <c r="H151" s="19" t="str">
        <f t="shared" si="37"/>
        <v/>
      </c>
      <c r="I151" s="20"/>
      <c r="J151" s="17"/>
      <c r="K151" s="18"/>
      <c r="L151" s="18"/>
      <c r="M151" s="18"/>
      <c r="N151" s="18"/>
      <c r="O151" s="19" t="str">
        <f t="shared" si="38"/>
        <v/>
      </c>
      <c r="P151" s="19" t="str">
        <f t="shared" si="39"/>
        <v/>
      </c>
    </row>
    <row r="152" spans="1:16" x14ac:dyDescent="0.3">
      <c r="A152" s="18"/>
      <c r="B152" s="18"/>
      <c r="C152" s="19" t="str">
        <f t="shared" si="32"/>
        <v/>
      </c>
      <c r="D152" s="19" t="str">
        <f t="shared" si="33"/>
        <v/>
      </c>
      <c r="E152" s="19" t="str">
        <f t="shared" si="34"/>
        <v/>
      </c>
      <c r="F152" s="21" t="str">
        <f t="shared" si="35"/>
        <v/>
      </c>
      <c r="G152" s="21" t="str">
        <f t="shared" si="36"/>
        <v/>
      </c>
      <c r="H152" s="19" t="str">
        <f t="shared" si="37"/>
        <v/>
      </c>
      <c r="I152" s="20"/>
      <c r="J152" s="17"/>
      <c r="K152" s="18"/>
      <c r="L152" s="18"/>
      <c r="M152" s="18"/>
      <c r="N152" s="18"/>
      <c r="O152" s="19" t="str">
        <f t="shared" si="38"/>
        <v/>
      </c>
      <c r="P152" s="19" t="str">
        <f t="shared" si="39"/>
        <v/>
      </c>
    </row>
    <row r="153" spans="1:16" x14ac:dyDescent="0.3">
      <c r="A153" s="18"/>
      <c r="B153" s="18"/>
      <c r="C153" s="19" t="str">
        <f t="shared" si="32"/>
        <v/>
      </c>
      <c r="D153" s="19" t="str">
        <f t="shared" si="33"/>
        <v/>
      </c>
      <c r="E153" s="19" t="str">
        <f t="shared" si="34"/>
        <v/>
      </c>
      <c r="F153" s="21" t="str">
        <f t="shared" si="35"/>
        <v/>
      </c>
      <c r="G153" s="21" t="str">
        <f t="shared" si="36"/>
        <v/>
      </c>
      <c r="H153" s="19" t="str">
        <f t="shared" si="37"/>
        <v/>
      </c>
      <c r="I153" s="20"/>
      <c r="J153" s="17"/>
      <c r="K153" s="18"/>
      <c r="L153" s="18"/>
      <c r="M153" s="18"/>
      <c r="N153" s="18"/>
      <c r="O153" s="19" t="str">
        <f t="shared" si="38"/>
        <v/>
      </c>
      <c r="P153" s="19" t="str">
        <f t="shared" si="39"/>
        <v/>
      </c>
    </row>
    <row r="154" spans="1:16" x14ac:dyDescent="0.3">
      <c r="A154" s="18"/>
      <c r="B154" s="18"/>
      <c r="C154" s="19" t="str">
        <f t="shared" si="32"/>
        <v/>
      </c>
      <c r="D154" s="19" t="str">
        <f t="shared" si="33"/>
        <v/>
      </c>
      <c r="E154" s="19" t="str">
        <f t="shared" si="34"/>
        <v/>
      </c>
      <c r="F154" s="21" t="str">
        <f t="shared" si="35"/>
        <v/>
      </c>
      <c r="G154" s="21" t="str">
        <f t="shared" si="36"/>
        <v/>
      </c>
      <c r="H154" s="19" t="str">
        <f t="shared" si="37"/>
        <v/>
      </c>
      <c r="I154" s="20"/>
      <c r="J154" s="17"/>
      <c r="K154" s="18"/>
      <c r="L154" s="18"/>
      <c r="M154" s="18"/>
      <c r="N154" s="18"/>
      <c r="O154" s="19" t="str">
        <f t="shared" si="38"/>
        <v/>
      </c>
      <c r="P154" s="19" t="str">
        <f t="shared" si="39"/>
        <v/>
      </c>
    </row>
  </sheetData>
  <conditionalFormatting sqref="P5:P154">
    <cfRule type="expression" dxfId="4" priority="2">
      <formula>AND($P5&lt;&gt;"",$P5&lt;&gt;"OK")</formula>
    </cfRule>
  </conditionalFormatting>
  <dataValidations count="4">
    <dataValidation type="list" allowBlank="1" showErrorMessage="1" errorTitle="Valor inválido" error="Selecione um valor da lista (aba 09_Cadastros)." sqref="B5:B154" xr:uid="{00000000-0002-0000-0600-000000000000}">
      <formula1>Cad_Rotulo</formula1>
      <formula2>0</formula2>
    </dataValidation>
    <dataValidation type="list" allowBlank="1" showErrorMessage="1" errorTitle="Valor inválido" error="Selecione um valor da lista (aba 09_Cadastros)." sqref="K5:K154" xr:uid="{00000000-0002-0000-0600-000001000000}">
      <formula1>Lista_Unidades</formula1>
      <formula2>0</formula2>
    </dataValidation>
    <dataValidation type="list" allowBlank="1" showErrorMessage="1" errorTitle="Valor inválido" error="Selecione um valor da lista (aba 09_Cadastros)." sqref="L5:L154" xr:uid="{00000000-0002-0000-0600-000002000000}">
      <formula1>Lista_Custodia</formula1>
      <formula2>0</formula2>
    </dataValidation>
    <dataValidation type="list" allowBlank="1" showErrorMessage="1" errorTitle="Valor inválido" error="Selecione um valor da lista (aba 09_Cadastros)." sqref="M5:M154" xr:uid="{00000000-0002-0000-0600-000003000000}">
      <formula1>Lista_SitFisica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tabColor rgb="FF7030A0"/>
  </sheetPr>
  <dimension ref="A1:O154"/>
  <sheetViews>
    <sheetView showGridLines="0" zoomScaleNormal="100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E12" sqref="E12"/>
    </sheetView>
  </sheetViews>
  <sheetFormatPr defaultColWidth="8.6640625" defaultRowHeight="14.4" x14ac:dyDescent="0.3"/>
  <cols>
    <col min="1" max="1" width="14" customWidth="1"/>
    <col min="2" max="2" width="28" customWidth="1"/>
    <col min="3" max="3" width="18" customWidth="1"/>
    <col min="4" max="5" width="13" customWidth="1"/>
    <col min="6" max="6" width="9" customWidth="1"/>
    <col min="7" max="7" width="11" customWidth="1"/>
    <col min="8" max="8" width="12" customWidth="1"/>
    <col min="9" max="9" width="11" customWidth="1"/>
    <col min="10" max="10" width="14" customWidth="1"/>
    <col min="11" max="11" width="11" customWidth="1"/>
    <col min="12" max="12" width="34" customWidth="1"/>
  </cols>
  <sheetData>
    <row r="1" spans="1:15" ht="18" x14ac:dyDescent="0.35">
      <c r="A1" s="12" t="s">
        <v>259</v>
      </c>
      <c r="N1" s="13">
        <f>SUMPRODUCT((His_Cham&lt;&gt;"")*(N('08_Historico_Etapas'!$E$5:$E$600)&gt;0)*(N('08_Historico_Etapas'!$E$5:$E$600)&lt;N('08_Historico_Etapas'!$D$5:$D$600)))</f>
        <v>0</v>
      </c>
      <c r="O1" s="14" t="s">
        <v>208</v>
      </c>
    </row>
    <row r="2" spans="1:15" x14ac:dyDescent="0.3">
      <c r="A2" s="15" t="s">
        <v>260</v>
      </c>
    </row>
    <row r="4" spans="1:15" ht="31.5" customHeight="1" x14ac:dyDescent="0.3">
      <c r="A4" s="16" t="s">
        <v>34</v>
      </c>
      <c r="B4" s="16" t="s">
        <v>261</v>
      </c>
      <c r="C4" s="16" t="s">
        <v>24</v>
      </c>
      <c r="D4" s="16" t="s">
        <v>262</v>
      </c>
      <c r="E4" s="16" t="s">
        <v>263</v>
      </c>
      <c r="F4" s="16" t="s">
        <v>26</v>
      </c>
      <c r="G4" s="16" t="s">
        <v>264</v>
      </c>
      <c r="H4" s="16" t="s">
        <v>265</v>
      </c>
      <c r="I4" s="16" t="s">
        <v>50</v>
      </c>
      <c r="J4" s="16" t="s">
        <v>29</v>
      </c>
      <c r="K4" s="16" t="s">
        <v>22</v>
      </c>
      <c r="L4" s="16" t="s">
        <v>21</v>
      </c>
    </row>
    <row r="5" spans="1:15" x14ac:dyDescent="0.3">
      <c r="A5" s="17">
        <v>440641</v>
      </c>
      <c r="B5" s="18" t="s">
        <v>66</v>
      </c>
      <c r="C5" s="19" t="str">
        <f t="shared" ref="C5:C36" si="0">IF($B5="","",IFERROR(INDEX(Etapa_Resp,MATCH($B5,Lista_Etapas,0)),"ETAPA NÃO CADASTRADA"))</f>
        <v>FORNECEDOR</v>
      </c>
      <c r="D5" s="20">
        <v>46142</v>
      </c>
      <c r="E5" s="20">
        <v>46233</v>
      </c>
      <c r="F5" s="21">
        <f t="shared" ref="F5:F36" si="1">IF($B5="","",IFERROR(INDEX(Etapa_SLA,MATCH($B5,Lista_Etapas,0)),""))</f>
        <v>35</v>
      </c>
      <c r="G5" s="21">
        <f t="shared" ref="G5:G36" si="2">IF($D5="","",MAX(0,IF($E5="",DataRef-$D5,$E5-$D5)))</f>
        <v>91</v>
      </c>
      <c r="H5" s="19" t="str">
        <f t="shared" ref="H5:H36" si="3">IF($G5="","",IF(OR($F5="",$F5=0),"NÃO APLICÁVEL",IF($G5&lt;=$F5,"SIM","NÃO")))</f>
        <v>NÃO</v>
      </c>
      <c r="I5" s="21">
        <f t="shared" ref="I5:I36" si="4">IF($G5="","",IF(OR($F5="",$F5=0),0,MAX($G5-$F5,0)))</f>
        <v>56</v>
      </c>
      <c r="J5" s="19" t="str">
        <f t="shared" ref="J5:J36" si="5">IF($A5="","",IF($E5="","EM ANDAMENTO","CONCLUÍDA"))</f>
        <v>CONCLUÍDA</v>
      </c>
      <c r="K5" s="19" t="str">
        <f t="shared" ref="K5:K36" si="6">IF($A5="","",IFERROR(INDEX(Proj_Unid,MATCH($A5,Proj_Cham,0)),"CHAMADO NÃO CADASTRADO"))</f>
        <v>SNP</v>
      </c>
      <c r="L5" s="19" t="str">
        <f t="shared" ref="L5:L36" si="7">IF($A5="","",IFERROR(INDEX(Proj_Nome,MATCH($A5,Proj_Cham,0)),"CHAMADO NÃO CADASTRADO"))</f>
        <v>CASA DE FORÇA - 03</v>
      </c>
    </row>
    <row r="6" spans="1:15" x14ac:dyDescent="0.3">
      <c r="A6" s="17">
        <v>440641</v>
      </c>
      <c r="B6" s="18" t="s">
        <v>66</v>
      </c>
      <c r="C6" s="19" t="str">
        <f t="shared" si="0"/>
        <v>FORNECEDOR</v>
      </c>
      <c r="D6" s="20">
        <v>46233</v>
      </c>
      <c r="E6" s="20"/>
      <c r="F6" s="21">
        <f t="shared" si="1"/>
        <v>35</v>
      </c>
      <c r="G6" s="21">
        <f t="shared" ca="1" si="2"/>
        <v>27</v>
      </c>
      <c r="H6" s="19" t="str">
        <f t="shared" ca="1" si="3"/>
        <v>SIM</v>
      </c>
      <c r="I6" s="21">
        <f t="shared" ca="1" si="4"/>
        <v>0</v>
      </c>
      <c r="J6" s="19" t="str">
        <f t="shared" si="5"/>
        <v>EM ANDAMENTO</v>
      </c>
      <c r="K6" s="19" t="str">
        <f t="shared" si="6"/>
        <v>SNP</v>
      </c>
      <c r="L6" s="19" t="str">
        <f t="shared" si="7"/>
        <v>CASA DE FORÇA - 03</v>
      </c>
    </row>
    <row r="7" spans="1:15" x14ac:dyDescent="0.3">
      <c r="A7" s="17">
        <v>123</v>
      </c>
      <c r="B7" s="18" t="s">
        <v>72</v>
      </c>
      <c r="C7" s="19" t="str">
        <f t="shared" si="0"/>
        <v>MONITORAMENTO</v>
      </c>
      <c r="D7" s="20">
        <v>46106</v>
      </c>
      <c r="E7" s="20"/>
      <c r="F7" s="21">
        <f t="shared" si="1"/>
        <v>5</v>
      </c>
      <c r="G7" s="21">
        <f t="shared" ca="1" si="2"/>
        <v>154</v>
      </c>
      <c r="H7" s="19" t="str">
        <f t="shared" ca="1" si="3"/>
        <v>NÃO</v>
      </c>
      <c r="I7" s="21">
        <f t="shared" ca="1" si="4"/>
        <v>149</v>
      </c>
      <c r="J7" s="19" t="str">
        <f t="shared" si="5"/>
        <v>EM ANDAMENTO</v>
      </c>
      <c r="K7" s="19" t="str">
        <f t="shared" si="6"/>
        <v>SNP</v>
      </c>
      <c r="L7" s="19" t="str">
        <f t="shared" si="7"/>
        <v>CONTROLE DE ACESSO - VICE PRESIDÊNCIA</v>
      </c>
    </row>
    <row r="8" spans="1:15" x14ac:dyDescent="0.3">
      <c r="A8" s="17" t="s">
        <v>74</v>
      </c>
      <c r="B8" s="18" t="s">
        <v>78</v>
      </c>
      <c r="C8" s="19" t="str">
        <f t="shared" si="0"/>
        <v>MONITORAMENTO</v>
      </c>
      <c r="D8" s="20">
        <v>46259</v>
      </c>
      <c r="E8" s="20"/>
      <c r="F8" s="21">
        <f t="shared" si="1"/>
        <v>3</v>
      </c>
      <c r="G8" s="21">
        <f t="shared" ca="1" si="2"/>
        <v>1</v>
      </c>
      <c r="H8" s="19" t="str">
        <f t="shared" ca="1" si="3"/>
        <v>SIM</v>
      </c>
      <c r="I8" s="21">
        <f t="shared" ca="1" si="4"/>
        <v>0</v>
      </c>
      <c r="J8" s="19" t="str">
        <f t="shared" si="5"/>
        <v>EM ANDAMENTO</v>
      </c>
      <c r="K8" s="19" t="str">
        <f t="shared" si="6"/>
        <v>BLS</v>
      </c>
      <c r="L8" s="19" t="str">
        <f t="shared" si="7"/>
        <v>ETANOL</v>
      </c>
    </row>
    <row r="9" spans="1:15" x14ac:dyDescent="0.3">
      <c r="A9" s="17" t="s">
        <v>79</v>
      </c>
      <c r="B9" s="18" t="s">
        <v>83</v>
      </c>
      <c r="C9" s="19" t="str">
        <f t="shared" si="0"/>
        <v>TI</v>
      </c>
      <c r="D9" s="20">
        <v>46239</v>
      </c>
      <c r="E9" s="20"/>
      <c r="F9" s="21">
        <f t="shared" si="1"/>
        <v>10</v>
      </c>
      <c r="G9" s="21">
        <f t="shared" ca="1" si="2"/>
        <v>21</v>
      </c>
      <c r="H9" s="19" t="str">
        <f t="shared" ca="1" si="3"/>
        <v>NÃO</v>
      </c>
      <c r="I9" s="21">
        <f t="shared" ca="1" si="4"/>
        <v>11</v>
      </c>
      <c r="J9" s="19" t="str">
        <f t="shared" si="5"/>
        <v>EM ANDAMENTO</v>
      </c>
      <c r="K9" s="19" t="str">
        <f t="shared" si="6"/>
        <v>SNP</v>
      </c>
      <c r="L9" s="19" t="str">
        <f t="shared" si="7"/>
        <v>STACKER RECLAIMER</v>
      </c>
    </row>
    <row r="10" spans="1:15" x14ac:dyDescent="0.3">
      <c r="A10" s="17" t="s">
        <v>85</v>
      </c>
      <c r="B10" s="18" t="s">
        <v>329</v>
      </c>
      <c r="C10" s="19" t="str">
        <f t="shared" si="0"/>
        <v>TI</v>
      </c>
      <c r="D10" s="20">
        <v>46259</v>
      </c>
      <c r="E10" s="20"/>
      <c r="F10" s="21">
        <f t="shared" si="1"/>
        <v>5</v>
      </c>
      <c r="G10" s="21">
        <f t="shared" ca="1" si="2"/>
        <v>1</v>
      </c>
      <c r="H10" s="19" t="str">
        <f t="shared" ca="1" si="3"/>
        <v>SIM</v>
      </c>
      <c r="I10" s="21">
        <f t="shared" ca="1" si="4"/>
        <v>0</v>
      </c>
      <c r="J10" s="19" t="str">
        <f t="shared" si="5"/>
        <v>EM ANDAMENTO</v>
      </c>
      <c r="K10" s="19" t="str">
        <f t="shared" si="6"/>
        <v>SNP</v>
      </c>
      <c r="L10" s="19" t="str">
        <f t="shared" si="7"/>
        <v>CENTRAL DE RESIDUOS</v>
      </c>
    </row>
    <row r="11" spans="1:15" x14ac:dyDescent="0.3">
      <c r="A11" s="17" t="s">
        <v>90</v>
      </c>
      <c r="B11" s="18" t="s">
        <v>72</v>
      </c>
      <c r="C11" s="19" t="str">
        <f t="shared" si="0"/>
        <v>MONITORAMENTO</v>
      </c>
      <c r="D11" s="20">
        <v>46023</v>
      </c>
      <c r="E11" s="20"/>
      <c r="F11" s="21">
        <f t="shared" si="1"/>
        <v>5</v>
      </c>
      <c r="G11" s="21">
        <f t="shared" ca="1" si="2"/>
        <v>237</v>
      </c>
      <c r="H11" s="19" t="str">
        <f t="shared" ca="1" si="3"/>
        <v>NÃO</v>
      </c>
      <c r="I11" s="21">
        <f t="shared" ca="1" si="4"/>
        <v>232</v>
      </c>
      <c r="J11" s="19" t="str">
        <f t="shared" si="5"/>
        <v>EM ANDAMENTO</v>
      </c>
      <c r="K11" s="19" t="str">
        <f t="shared" si="6"/>
        <v>SNP</v>
      </c>
      <c r="L11" s="19" t="str">
        <f t="shared" si="7"/>
        <v>ARMAZÉM DE MILHO</v>
      </c>
    </row>
    <row r="12" spans="1:15" x14ac:dyDescent="0.3">
      <c r="A12" s="17" t="s">
        <v>95</v>
      </c>
      <c r="B12" s="18" t="s">
        <v>72</v>
      </c>
      <c r="C12" s="19" t="str">
        <f t="shared" si="0"/>
        <v>MONITORAMENTO</v>
      </c>
      <c r="D12" s="20">
        <v>46023</v>
      </c>
      <c r="E12" s="20"/>
      <c r="F12" s="21">
        <f t="shared" si="1"/>
        <v>5</v>
      </c>
      <c r="G12" s="21">
        <f t="shared" ca="1" si="2"/>
        <v>237</v>
      </c>
      <c r="H12" s="19" t="str">
        <f t="shared" ca="1" si="3"/>
        <v>NÃO</v>
      </c>
      <c r="I12" s="21">
        <f t="shared" ca="1" si="4"/>
        <v>232</v>
      </c>
      <c r="J12" s="19" t="str">
        <f t="shared" si="5"/>
        <v>EM ANDAMENTO</v>
      </c>
      <c r="K12" s="19" t="str">
        <f t="shared" si="6"/>
        <v>SNP</v>
      </c>
      <c r="L12" s="19" t="str">
        <f t="shared" si="7"/>
        <v>CLASSIFICAÇÃO + CONTROLE DE ACESSO</v>
      </c>
    </row>
    <row r="13" spans="1:15" x14ac:dyDescent="0.3">
      <c r="A13" s="17" t="s">
        <v>104</v>
      </c>
      <c r="B13" s="18" t="s">
        <v>83</v>
      </c>
      <c r="C13" s="19" t="str">
        <f t="shared" si="0"/>
        <v>TI</v>
      </c>
      <c r="D13" s="20">
        <v>46290</v>
      </c>
      <c r="E13" s="20"/>
      <c r="F13" s="21">
        <f t="shared" si="1"/>
        <v>10</v>
      </c>
      <c r="G13" s="21">
        <f t="shared" ca="1" si="2"/>
        <v>0</v>
      </c>
      <c r="H13" s="19" t="str">
        <f t="shared" ca="1" si="3"/>
        <v>SIM</v>
      </c>
      <c r="I13" s="21">
        <f t="shared" ca="1" si="4"/>
        <v>0</v>
      </c>
      <c r="J13" s="19" t="str">
        <f t="shared" si="5"/>
        <v>EM ANDAMENTO</v>
      </c>
      <c r="K13" s="19" t="str">
        <f t="shared" si="6"/>
        <v>SNP</v>
      </c>
      <c r="L13" s="19" t="str">
        <f t="shared" si="7"/>
        <v>REFORMA CALDEIRA I E II</v>
      </c>
    </row>
    <row r="14" spans="1:15" x14ac:dyDescent="0.3">
      <c r="A14" s="17" t="s">
        <v>117</v>
      </c>
      <c r="B14" s="18" t="s">
        <v>120</v>
      </c>
      <c r="C14" s="19" t="str">
        <f t="shared" si="0"/>
        <v>SUPRIMENTOS</v>
      </c>
      <c r="D14" s="20">
        <v>46235</v>
      </c>
      <c r="E14" s="20"/>
      <c r="F14" s="21">
        <f t="shared" si="1"/>
        <v>10</v>
      </c>
      <c r="G14" s="21">
        <f t="shared" ca="1" si="2"/>
        <v>25</v>
      </c>
      <c r="H14" s="19" t="str">
        <f t="shared" ca="1" si="3"/>
        <v>NÃO</v>
      </c>
      <c r="I14" s="21">
        <f t="shared" ca="1" si="4"/>
        <v>15</v>
      </c>
      <c r="J14" s="19" t="str">
        <f t="shared" si="5"/>
        <v>EM ANDAMENTO</v>
      </c>
      <c r="K14" s="19" t="str">
        <f t="shared" si="6"/>
        <v>MTU</v>
      </c>
      <c r="L14" s="19" t="str">
        <f t="shared" si="7"/>
        <v>BULKMETER</v>
      </c>
    </row>
    <row r="15" spans="1:15" x14ac:dyDescent="0.3">
      <c r="A15" s="17" t="s">
        <v>121</v>
      </c>
      <c r="B15" s="18" t="s">
        <v>72</v>
      </c>
      <c r="C15" s="19" t="str">
        <f t="shared" si="0"/>
        <v>MONITORAMENTO</v>
      </c>
      <c r="D15" s="20">
        <v>46235</v>
      </c>
      <c r="E15" s="20"/>
      <c r="F15" s="21">
        <f t="shared" si="1"/>
        <v>5</v>
      </c>
      <c r="G15" s="21">
        <f t="shared" ca="1" si="2"/>
        <v>25</v>
      </c>
      <c r="H15" s="19" t="str">
        <f t="shared" ca="1" si="3"/>
        <v>NÃO</v>
      </c>
      <c r="I15" s="21">
        <f t="shared" ca="1" si="4"/>
        <v>20</v>
      </c>
      <c r="J15" s="19" t="str">
        <f t="shared" si="5"/>
        <v>EM ANDAMENTO</v>
      </c>
      <c r="K15" s="19" t="str">
        <f t="shared" si="6"/>
        <v>MTU</v>
      </c>
      <c r="L15" s="19" t="str">
        <f t="shared" si="7"/>
        <v>CLASSIFICAÇÃO + CONTROLE DE ACESSO</v>
      </c>
    </row>
    <row r="16" spans="1:15" x14ac:dyDescent="0.3">
      <c r="A16" s="17" t="s">
        <v>123</v>
      </c>
      <c r="B16" s="18" t="s">
        <v>320</v>
      </c>
      <c r="C16" s="19" t="str">
        <f t="shared" si="0"/>
        <v>ELÉTRICA</v>
      </c>
      <c r="D16" s="20">
        <v>46233</v>
      </c>
      <c r="E16" s="20"/>
      <c r="F16" s="21">
        <f t="shared" si="1"/>
        <v>10</v>
      </c>
      <c r="G16" s="21">
        <f t="shared" ca="1" si="2"/>
        <v>27</v>
      </c>
      <c r="H16" s="19" t="str">
        <f t="shared" ca="1" si="3"/>
        <v>NÃO</v>
      </c>
      <c r="I16" s="21">
        <f t="shared" ca="1" si="4"/>
        <v>17</v>
      </c>
      <c r="J16" s="19" t="str">
        <f t="shared" si="5"/>
        <v>EM ANDAMENTO</v>
      </c>
      <c r="K16" s="19" t="str">
        <f t="shared" si="6"/>
        <v>MTU</v>
      </c>
      <c r="L16" s="19" t="str">
        <f t="shared" si="7"/>
        <v>CASA DE FORÇA - 02</v>
      </c>
    </row>
    <row r="17" spans="1:12" x14ac:dyDescent="0.3">
      <c r="A17" s="17" t="s">
        <v>125</v>
      </c>
      <c r="B17" s="18" t="s">
        <v>129</v>
      </c>
      <c r="C17" s="19" t="str">
        <f t="shared" si="0"/>
        <v>MONITORAMENTO</v>
      </c>
      <c r="D17" s="20">
        <v>46259</v>
      </c>
      <c r="E17" s="20"/>
      <c r="F17" s="21">
        <f t="shared" si="1"/>
        <v>3</v>
      </c>
      <c r="G17" s="21">
        <f t="shared" ca="1" si="2"/>
        <v>1</v>
      </c>
      <c r="H17" s="19" t="str">
        <f t="shared" ca="1" si="3"/>
        <v>SIM</v>
      </c>
      <c r="I17" s="21">
        <f t="shared" ca="1" si="4"/>
        <v>0</v>
      </c>
      <c r="J17" s="19" t="str">
        <f t="shared" si="5"/>
        <v>EM ANDAMENTO</v>
      </c>
      <c r="K17" s="19" t="str">
        <f t="shared" si="6"/>
        <v>DRD</v>
      </c>
      <c r="L17" s="19" t="str">
        <f t="shared" si="7"/>
        <v>ARMAZÉM DDGS</v>
      </c>
    </row>
    <row r="18" spans="1:12" x14ac:dyDescent="0.3">
      <c r="A18" s="17" t="s">
        <v>130</v>
      </c>
      <c r="B18" s="18" t="s">
        <v>66</v>
      </c>
      <c r="C18" s="19" t="str">
        <f t="shared" si="0"/>
        <v>FORNECEDOR</v>
      </c>
      <c r="D18" s="20">
        <v>46023</v>
      </c>
      <c r="E18" s="20"/>
      <c r="F18" s="21">
        <f t="shared" si="1"/>
        <v>35</v>
      </c>
      <c r="G18" s="21">
        <f t="shared" ca="1" si="2"/>
        <v>237</v>
      </c>
      <c r="H18" s="19" t="str">
        <f t="shared" ca="1" si="3"/>
        <v>NÃO</v>
      </c>
      <c r="I18" s="21">
        <f t="shared" ca="1" si="4"/>
        <v>202</v>
      </c>
      <c r="J18" s="19" t="str">
        <f t="shared" si="5"/>
        <v>EM ANDAMENTO</v>
      </c>
      <c r="K18" s="19" t="str">
        <f t="shared" si="6"/>
        <v>DRD</v>
      </c>
      <c r="L18" s="19" t="str">
        <f t="shared" si="7"/>
        <v>CALDEIRA III</v>
      </c>
    </row>
    <row r="19" spans="1:12" x14ac:dyDescent="0.3">
      <c r="A19" s="17" t="s">
        <v>132</v>
      </c>
      <c r="B19" s="18" t="s">
        <v>72</v>
      </c>
      <c r="C19" s="19" t="str">
        <f t="shared" si="0"/>
        <v>MONITORAMENTO</v>
      </c>
      <c r="D19" s="20">
        <v>46023</v>
      </c>
      <c r="E19" s="20"/>
      <c r="F19" s="21">
        <f t="shared" si="1"/>
        <v>5</v>
      </c>
      <c r="G19" s="21">
        <f t="shared" ca="1" si="2"/>
        <v>237</v>
      </c>
      <c r="H19" s="19" t="str">
        <f t="shared" ca="1" si="3"/>
        <v>NÃO</v>
      </c>
      <c r="I19" s="21">
        <f t="shared" ca="1" si="4"/>
        <v>232</v>
      </c>
      <c r="J19" s="19" t="str">
        <f t="shared" si="5"/>
        <v>EM ANDAMENTO</v>
      </c>
      <c r="K19" s="19" t="str">
        <f t="shared" si="6"/>
        <v>DRD</v>
      </c>
      <c r="L19" s="19" t="str">
        <f t="shared" si="7"/>
        <v>CLASSIFICAÇÃO + CONTROLE DE ACESSO</v>
      </c>
    </row>
    <row r="20" spans="1:12" x14ac:dyDescent="0.3">
      <c r="A20" s="17" t="s">
        <v>138</v>
      </c>
      <c r="B20" s="18" t="s">
        <v>140</v>
      </c>
      <c r="C20" s="19" t="str">
        <f t="shared" si="0"/>
        <v>MONITORAMENTO</v>
      </c>
      <c r="D20" s="20">
        <v>46023</v>
      </c>
      <c r="E20" s="20"/>
      <c r="F20" s="21">
        <f t="shared" si="1"/>
        <v>10</v>
      </c>
      <c r="G20" s="21">
        <f t="shared" ca="1" si="2"/>
        <v>237</v>
      </c>
      <c r="H20" s="19" t="str">
        <f t="shared" ca="1" si="3"/>
        <v>NÃO</v>
      </c>
      <c r="I20" s="21">
        <f t="shared" ca="1" si="4"/>
        <v>227</v>
      </c>
      <c r="J20" s="19" t="str">
        <f t="shared" si="5"/>
        <v>EM ANDAMENTO</v>
      </c>
      <c r="K20" s="19" t="str">
        <f t="shared" si="6"/>
        <v>SDL</v>
      </c>
      <c r="L20" s="19" t="str">
        <f t="shared" si="7"/>
        <v>ARMAZÉM DE MILHO</v>
      </c>
    </row>
    <row r="21" spans="1:12" x14ac:dyDescent="0.3">
      <c r="A21" s="17" t="s">
        <v>141</v>
      </c>
      <c r="B21" s="18" t="s">
        <v>129</v>
      </c>
      <c r="C21" s="19" t="str">
        <f t="shared" si="0"/>
        <v>MONITORAMENTO</v>
      </c>
      <c r="D21" s="20">
        <v>46259</v>
      </c>
      <c r="E21" s="20"/>
      <c r="F21" s="21">
        <f t="shared" si="1"/>
        <v>3</v>
      </c>
      <c r="G21" s="21">
        <f t="shared" ca="1" si="2"/>
        <v>1</v>
      </c>
      <c r="H21" s="19" t="str">
        <f t="shared" ca="1" si="3"/>
        <v>SIM</v>
      </c>
      <c r="I21" s="21">
        <f t="shared" ca="1" si="4"/>
        <v>0</v>
      </c>
      <c r="J21" s="19" t="str">
        <f t="shared" si="5"/>
        <v>EM ANDAMENTO</v>
      </c>
      <c r="K21" s="19" t="str">
        <f t="shared" si="6"/>
        <v>SDL</v>
      </c>
      <c r="L21" s="19" t="str">
        <f t="shared" si="7"/>
        <v>ARMAZÉM DDGS</v>
      </c>
    </row>
    <row r="22" spans="1:12" x14ac:dyDescent="0.3">
      <c r="A22" s="17" t="s">
        <v>148</v>
      </c>
      <c r="B22" s="18" t="s">
        <v>72</v>
      </c>
      <c r="C22" s="19" t="str">
        <f t="shared" si="0"/>
        <v>MONITORAMENTO</v>
      </c>
      <c r="D22" s="20">
        <v>46023</v>
      </c>
      <c r="E22" s="20"/>
      <c r="F22" s="21">
        <f t="shared" si="1"/>
        <v>5</v>
      </c>
      <c r="G22" s="21">
        <f t="shared" ca="1" si="2"/>
        <v>237</v>
      </c>
      <c r="H22" s="19" t="str">
        <f t="shared" ca="1" si="3"/>
        <v>NÃO</v>
      </c>
      <c r="I22" s="21">
        <f t="shared" ca="1" si="4"/>
        <v>232</v>
      </c>
      <c r="J22" s="19" t="str">
        <f t="shared" si="5"/>
        <v>EM ANDAMENTO</v>
      </c>
      <c r="K22" s="19" t="str">
        <f t="shared" si="6"/>
        <v>SDL</v>
      </c>
      <c r="L22" s="19" t="str">
        <f t="shared" si="7"/>
        <v>CLASSIFICAÇÃO + CONTROLE DE ACESSO</v>
      </c>
    </row>
    <row r="23" spans="1:12" x14ac:dyDescent="0.3">
      <c r="A23" s="17" t="s">
        <v>170</v>
      </c>
      <c r="B23" s="18" t="s">
        <v>129</v>
      </c>
      <c r="C23" s="19" t="str">
        <f t="shared" si="0"/>
        <v>MONITORAMENTO</v>
      </c>
      <c r="D23" s="20">
        <v>46258</v>
      </c>
      <c r="E23" s="20"/>
      <c r="F23" s="21">
        <f t="shared" si="1"/>
        <v>3</v>
      </c>
      <c r="G23" s="21">
        <f t="shared" ca="1" si="2"/>
        <v>2</v>
      </c>
      <c r="H23" s="19" t="str">
        <f t="shared" ca="1" si="3"/>
        <v>SIM</v>
      </c>
      <c r="I23" s="21">
        <f t="shared" ca="1" si="4"/>
        <v>0</v>
      </c>
      <c r="J23" s="19" t="str">
        <f t="shared" si="5"/>
        <v>EM ANDAMENTO</v>
      </c>
      <c r="K23" s="19" t="str">
        <f t="shared" si="6"/>
        <v>LEM</v>
      </c>
      <c r="L23" s="19" t="str">
        <f t="shared" si="7"/>
        <v>ARMAZÉM DDGS</v>
      </c>
    </row>
    <row r="24" spans="1:12" x14ac:dyDescent="0.3">
      <c r="A24" s="17" t="s">
        <v>571</v>
      </c>
      <c r="B24" s="18" t="s">
        <v>120</v>
      </c>
      <c r="C24" s="19" t="str">
        <f t="shared" si="0"/>
        <v>SUPRIMENTOS</v>
      </c>
      <c r="D24" s="20">
        <v>46260</v>
      </c>
      <c r="E24" s="20"/>
      <c r="F24" s="21">
        <f t="shared" si="1"/>
        <v>10</v>
      </c>
      <c r="G24" s="21">
        <f t="shared" ca="1" si="2"/>
        <v>0</v>
      </c>
      <c r="H24" s="19" t="str">
        <f t="shared" ca="1" si="3"/>
        <v>SIM</v>
      </c>
      <c r="I24" s="21">
        <f t="shared" ca="1" si="4"/>
        <v>0</v>
      </c>
      <c r="J24" s="19" t="str">
        <f t="shared" si="5"/>
        <v>EM ANDAMENTO</v>
      </c>
      <c r="K24" s="19" t="str">
        <f t="shared" si="6"/>
        <v>RVD</v>
      </c>
      <c r="L24" s="19" t="str">
        <f t="shared" si="7"/>
        <v>BIOMASSA</v>
      </c>
    </row>
    <row r="25" spans="1:12" x14ac:dyDescent="0.3">
      <c r="A25" s="17" t="s">
        <v>572</v>
      </c>
      <c r="B25" s="18" t="s">
        <v>120</v>
      </c>
      <c r="C25" s="19" t="str">
        <f t="shared" si="0"/>
        <v>SUPRIMENTOS</v>
      </c>
      <c r="D25" s="20">
        <v>46023</v>
      </c>
      <c r="E25" s="20"/>
      <c r="F25" s="21">
        <f t="shared" si="1"/>
        <v>10</v>
      </c>
      <c r="G25" s="21">
        <f t="shared" ca="1" si="2"/>
        <v>237</v>
      </c>
      <c r="H25" s="19" t="str">
        <f t="shared" ca="1" si="3"/>
        <v>NÃO</v>
      </c>
      <c r="I25" s="21">
        <f t="shared" ca="1" si="4"/>
        <v>227</v>
      </c>
      <c r="J25" s="19" t="str">
        <f t="shared" si="5"/>
        <v>EM ANDAMENTO</v>
      </c>
      <c r="K25" s="19" t="str">
        <f t="shared" si="6"/>
        <v>RVD</v>
      </c>
      <c r="L25" s="19" t="str">
        <f t="shared" si="7"/>
        <v>MANUTENÇÃO INDUSTRIAL - ADMINISTRAÇÃO</v>
      </c>
    </row>
    <row r="26" spans="1:12" x14ac:dyDescent="0.3">
      <c r="A26" s="17" t="s">
        <v>573</v>
      </c>
      <c r="B26" s="18" t="s">
        <v>120</v>
      </c>
      <c r="C26" s="19" t="str">
        <f t="shared" si="0"/>
        <v>SUPRIMENTOS</v>
      </c>
      <c r="D26" s="20">
        <v>46023</v>
      </c>
      <c r="E26" s="20"/>
      <c r="F26" s="21">
        <f t="shared" si="1"/>
        <v>10</v>
      </c>
      <c r="G26" s="21">
        <f t="shared" ca="1" si="2"/>
        <v>237</v>
      </c>
      <c r="H26" s="19" t="str">
        <f t="shared" ca="1" si="3"/>
        <v>NÃO</v>
      </c>
      <c r="I26" s="21">
        <f t="shared" ca="1" si="4"/>
        <v>227</v>
      </c>
      <c r="J26" s="19" t="str">
        <f t="shared" si="5"/>
        <v>EM ANDAMENTO</v>
      </c>
      <c r="K26" s="19" t="str">
        <f t="shared" si="6"/>
        <v>RVD</v>
      </c>
      <c r="L26" s="19" t="str">
        <f t="shared" si="7"/>
        <v>REFEITÓRIO</v>
      </c>
    </row>
    <row r="27" spans="1:12" x14ac:dyDescent="0.3">
      <c r="A27" s="17" t="s">
        <v>574</v>
      </c>
      <c r="B27" s="18" t="s">
        <v>120</v>
      </c>
      <c r="C27" s="19" t="str">
        <f t="shared" si="0"/>
        <v>SUPRIMENTOS</v>
      </c>
      <c r="D27" s="20">
        <v>46260</v>
      </c>
      <c r="E27" s="20"/>
      <c r="F27" s="21">
        <f t="shared" si="1"/>
        <v>10</v>
      </c>
      <c r="G27" s="21">
        <f t="shared" ca="1" si="2"/>
        <v>0</v>
      </c>
      <c r="H27" s="19" t="str">
        <f t="shared" ca="1" si="3"/>
        <v>SIM</v>
      </c>
      <c r="I27" s="21">
        <f t="shared" ca="1" si="4"/>
        <v>0</v>
      </c>
      <c r="J27" s="19" t="str">
        <f t="shared" si="5"/>
        <v>EM ANDAMENTO</v>
      </c>
      <c r="K27" s="19" t="str">
        <f t="shared" si="6"/>
        <v>RVD</v>
      </c>
      <c r="L27" s="19" t="str">
        <f t="shared" si="7"/>
        <v>PIPE RACK</v>
      </c>
    </row>
    <row r="28" spans="1:12" x14ac:dyDescent="0.3">
      <c r="A28" s="17" t="s">
        <v>575</v>
      </c>
      <c r="B28" s="18" t="s">
        <v>120</v>
      </c>
      <c r="C28" s="19" t="str">
        <f t="shared" si="0"/>
        <v>SUPRIMENTOS</v>
      </c>
      <c r="D28" s="20">
        <v>46260</v>
      </c>
      <c r="E28" s="20"/>
      <c r="F28" s="21">
        <f t="shared" si="1"/>
        <v>10</v>
      </c>
      <c r="G28" s="21">
        <f t="shared" ca="1" si="2"/>
        <v>0</v>
      </c>
      <c r="H28" s="19" t="str">
        <f t="shared" ca="1" si="3"/>
        <v>SIM</v>
      </c>
      <c r="I28" s="21">
        <f t="shared" ca="1" si="4"/>
        <v>0</v>
      </c>
      <c r="J28" s="19" t="str">
        <f t="shared" si="5"/>
        <v>EM ANDAMENTO</v>
      </c>
      <c r="K28" s="19" t="str">
        <f t="shared" si="6"/>
        <v>RVD</v>
      </c>
      <c r="L28" s="19" t="str">
        <f t="shared" si="7"/>
        <v>ARMAZÉM DDGS</v>
      </c>
    </row>
    <row r="29" spans="1:12" x14ac:dyDescent="0.3">
      <c r="A29" s="17" t="s">
        <v>576</v>
      </c>
      <c r="B29" s="18" t="s">
        <v>120</v>
      </c>
      <c r="C29" s="19" t="str">
        <f t="shared" si="0"/>
        <v>SUPRIMENTOS</v>
      </c>
      <c r="D29" s="20">
        <v>46260</v>
      </c>
      <c r="E29" s="20"/>
      <c r="F29" s="21">
        <f t="shared" si="1"/>
        <v>10</v>
      </c>
      <c r="G29" s="21">
        <f t="shared" ca="1" si="2"/>
        <v>0</v>
      </c>
      <c r="H29" s="19" t="str">
        <f t="shared" ca="1" si="3"/>
        <v>SIM</v>
      </c>
      <c r="I29" s="21">
        <f t="shared" ca="1" si="4"/>
        <v>0</v>
      </c>
      <c r="J29" s="19" t="str">
        <f t="shared" si="5"/>
        <v>EM ANDAMENTO</v>
      </c>
      <c r="K29" s="19" t="str">
        <f t="shared" si="6"/>
        <v>RVD</v>
      </c>
      <c r="L29" s="19" t="str">
        <f t="shared" si="7"/>
        <v>OSMOSE</v>
      </c>
    </row>
    <row r="30" spans="1:12" x14ac:dyDescent="0.3">
      <c r="A30" s="17" t="s">
        <v>577</v>
      </c>
      <c r="B30" s="18" t="s">
        <v>120</v>
      </c>
      <c r="C30" s="19" t="str">
        <f t="shared" si="0"/>
        <v>SUPRIMENTOS</v>
      </c>
      <c r="D30" s="20">
        <v>46260</v>
      </c>
      <c r="E30" s="20"/>
      <c r="F30" s="21">
        <f t="shared" si="1"/>
        <v>10</v>
      </c>
      <c r="G30" s="21">
        <f t="shared" ca="1" si="2"/>
        <v>0</v>
      </c>
      <c r="H30" s="19" t="str">
        <f t="shared" ca="1" si="3"/>
        <v>SIM</v>
      </c>
      <c r="I30" s="21">
        <f t="shared" ca="1" si="4"/>
        <v>0</v>
      </c>
      <c r="J30" s="19" t="str">
        <f t="shared" si="5"/>
        <v>EM ANDAMENTO</v>
      </c>
      <c r="K30" s="19" t="str">
        <f t="shared" si="6"/>
        <v>RVD</v>
      </c>
      <c r="L30" s="19" t="str">
        <f t="shared" si="7"/>
        <v>CASA DE FORÇA</v>
      </c>
    </row>
    <row r="31" spans="1:12" x14ac:dyDescent="0.3">
      <c r="A31" s="17" t="s">
        <v>578</v>
      </c>
      <c r="B31" s="18" t="s">
        <v>120</v>
      </c>
      <c r="C31" s="19" t="str">
        <f t="shared" si="0"/>
        <v>SUPRIMENTOS</v>
      </c>
      <c r="D31" s="20">
        <v>46260</v>
      </c>
      <c r="E31" s="20"/>
      <c r="F31" s="21">
        <f t="shared" si="1"/>
        <v>10</v>
      </c>
      <c r="G31" s="21">
        <f t="shared" ca="1" si="2"/>
        <v>0</v>
      </c>
      <c r="H31" s="19" t="str">
        <f t="shared" ca="1" si="3"/>
        <v>SIM</v>
      </c>
      <c r="I31" s="21">
        <f t="shared" ca="1" si="4"/>
        <v>0</v>
      </c>
      <c r="J31" s="19" t="str">
        <f t="shared" si="5"/>
        <v>EM ANDAMENTO</v>
      </c>
      <c r="K31" s="19" t="str">
        <f t="shared" si="6"/>
        <v>RVD</v>
      </c>
      <c r="L31" s="19" t="str">
        <f t="shared" si="7"/>
        <v>TANQUES DE ETANOL</v>
      </c>
    </row>
    <row r="32" spans="1:12" x14ac:dyDescent="0.3">
      <c r="A32" s="17" t="s">
        <v>579</v>
      </c>
      <c r="B32" s="18" t="s">
        <v>120</v>
      </c>
      <c r="C32" s="19" t="str">
        <f t="shared" si="0"/>
        <v>SUPRIMENTOS</v>
      </c>
      <c r="D32" s="20">
        <v>46260</v>
      </c>
      <c r="E32" s="20"/>
      <c r="F32" s="21">
        <f t="shared" si="1"/>
        <v>10</v>
      </c>
      <c r="G32" s="21">
        <f t="shared" ca="1" si="2"/>
        <v>0</v>
      </c>
      <c r="H32" s="19" t="str">
        <f t="shared" ca="1" si="3"/>
        <v>SIM</v>
      </c>
      <c r="I32" s="21">
        <f t="shared" ca="1" si="4"/>
        <v>0</v>
      </c>
      <c r="J32" s="19" t="str">
        <f t="shared" si="5"/>
        <v>EM ANDAMENTO</v>
      </c>
      <c r="K32" s="19" t="str">
        <f t="shared" si="6"/>
        <v>RVD</v>
      </c>
      <c r="L32" s="19" t="str">
        <f t="shared" si="7"/>
        <v>EXPEDIÇÃO DE ETANOL</v>
      </c>
    </row>
    <row r="33" spans="1:12" x14ac:dyDescent="0.3">
      <c r="A33" s="17" t="s">
        <v>580</v>
      </c>
      <c r="B33" s="18" t="s">
        <v>120</v>
      </c>
      <c r="C33" s="19" t="str">
        <f t="shared" si="0"/>
        <v>SUPRIMENTOS</v>
      </c>
      <c r="D33" s="20">
        <v>46260</v>
      </c>
      <c r="E33" s="20"/>
      <c r="F33" s="21">
        <f t="shared" si="1"/>
        <v>10</v>
      </c>
      <c r="G33" s="21">
        <f t="shared" ca="1" si="2"/>
        <v>0</v>
      </c>
      <c r="H33" s="19" t="str">
        <f t="shared" ca="1" si="3"/>
        <v>SIM</v>
      </c>
      <c r="I33" s="21">
        <f t="shared" ca="1" si="4"/>
        <v>0</v>
      </c>
      <c r="J33" s="19" t="str">
        <f t="shared" si="5"/>
        <v>EM ANDAMENTO</v>
      </c>
      <c r="K33" s="19" t="str">
        <f t="shared" si="6"/>
        <v>RVD</v>
      </c>
      <c r="L33" s="19" t="str">
        <f t="shared" si="7"/>
        <v>COZINHA INDUSTRIAL</v>
      </c>
    </row>
    <row r="34" spans="1:12" x14ac:dyDescent="0.3">
      <c r="A34" s="17" t="s">
        <v>582</v>
      </c>
      <c r="B34" s="18" t="s">
        <v>120</v>
      </c>
      <c r="C34" s="19" t="str">
        <f t="shared" si="0"/>
        <v>SUPRIMENTOS</v>
      </c>
      <c r="D34" s="20">
        <v>46260</v>
      </c>
      <c r="E34" s="20"/>
      <c r="F34" s="21">
        <f t="shared" si="1"/>
        <v>10</v>
      </c>
      <c r="G34" s="21">
        <f t="shared" ca="1" si="2"/>
        <v>0</v>
      </c>
      <c r="H34" s="19" t="str">
        <f t="shared" ca="1" si="3"/>
        <v>SIM</v>
      </c>
      <c r="I34" s="21">
        <f t="shared" ca="1" si="4"/>
        <v>0</v>
      </c>
      <c r="J34" s="19" t="str">
        <f t="shared" si="5"/>
        <v>EM ANDAMENTO</v>
      </c>
      <c r="K34" s="19" t="str">
        <f t="shared" si="6"/>
        <v>RVD</v>
      </c>
      <c r="L34" s="19" t="str">
        <f t="shared" si="7"/>
        <v>TANQUES DE ÓLEO</v>
      </c>
    </row>
    <row r="35" spans="1:12" x14ac:dyDescent="0.3">
      <c r="A35" s="17" t="s">
        <v>584</v>
      </c>
      <c r="B35" s="18" t="s">
        <v>120</v>
      </c>
      <c r="C35" s="19" t="str">
        <f t="shared" si="0"/>
        <v>SUPRIMENTOS</v>
      </c>
      <c r="D35" s="20">
        <v>46260</v>
      </c>
      <c r="E35" s="20"/>
      <c r="F35" s="21">
        <f t="shared" si="1"/>
        <v>10</v>
      </c>
      <c r="G35" s="21">
        <f t="shared" ca="1" si="2"/>
        <v>0</v>
      </c>
      <c r="H35" s="19" t="str">
        <f t="shared" ca="1" si="3"/>
        <v>SIM</v>
      </c>
      <c r="I35" s="21">
        <f t="shared" ca="1" si="4"/>
        <v>0</v>
      </c>
      <c r="J35" s="19" t="str">
        <f t="shared" si="5"/>
        <v>EM ANDAMENTO</v>
      </c>
      <c r="K35" s="19" t="str">
        <f t="shared" si="6"/>
        <v>RVD</v>
      </c>
      <c r="L35" s="19" t="str">
        <f t="shared" si="7"/>
        <v>TOMBADOR</v>
      </c>
    </row>
    <row r="36" spans="1:12" x14ac:dyDescent="0.3">
      <c r="A36" s="17" t="s">
        <v>585</v>
      </c>
      <c r="B36" s="18" t="s">
        <v>120</v>
      </c>
      <c r="C36" s="19" t="str">
        <f t="shared" si="0"/>
        <v>SUPRIMENTOS</v>
      </c>
      <c r="D36" s="20">
        <v>46023</v>
      </c>
      <c r="E36" s="20"/>
      <c r="F36" s="21">
        <f t="shared" si="1"/>
        <v>10</v>
      </c>
      <c r="G36" s="21">
        <f t="shared" ca="1" si="2"/>
        <v>237</v>
      </c>
      <c r="H36" s="19" t="str">
        <f t="shared" ca="1" si="3"/>
        <v>NÃO</v>
      </c>
      <c r="I36" s="21">
        <f t="shared" ca="1" si="4"/>
        <v>227</v>
      </c>
      <c r="J36" s="19" t="str">
        <f t="shared" si="5"/>
        <v>EM ANDAMENTO</v>
      </c>
      <c r="K36" s="19" t="str">
        <f t="shared" si="6"/>
        <v>RVD</v>
      </c>
      <c r="L36" s="19" t="str">
        <f t="shared" si="7"/>
        <v>ALMOX OPEX</v>
      </c>
    </row>
    <row r="37" spans="1:12" x14ac:dyDescent="0.3">
      <c r="A37" s="17" t="s">
        <v>587</v>
      </c>
      <c r="B37" s="18" t="s">
        <v>120</v>
      </c>
      <c r="C37" s="19" t="str">
        <f t="shared" ref="C37:C68" si="8">IF($B37="","",IFERROR(INDEX(Etapa_Resp,MATCH($B37,Lista_Etapas,0)),"ETAPA NÃO CADASTRADA"))</f>
        <v>SUPRIMENTOS</v>
      </c>
      <c r="D37" s="20">
        <v>46023</v>
      </c>
      <c r="E37" s="20"/>
      <c r="F37" s="21">
        <f t="shared" ref="F37:F68" si="9">IF($B37="","",IFERROR(INDEX(Etapa_SLA,MATCH($B37,Lista_Etapas,0)),""))</f>
        <v>10</v>
      </c>
      <c r="G37" s="21">
        <f t="shared" ref="G37:G68" ca="1" si="10">IF($D37="","",MAX(0,IF($E37="",DataRef-$D37,$E37-$D37)))</f>
        <v>237</v>
      </c>
      <c r="H37" s="19" t="str">
        <f t="shared" ref="H37:H68" ca="1" si="11">IF($G37="","",IF(OR($F37="",$F37=0),"NÃO APLICÁVEL",IF($G37&lt;=$F37,"SIM","NÃO")))</f>
        <v>NÃO</v>
      </c>
      <c r="I37" s="21">
        <f t="shared" ref="I37:I68" ca="1" si="12">IF($G37="","",IF(OR($F37="",$F37=0),0,MAX($G37-$F37,0)))</f>
        <v>227</v>
      </c>
      <c r="J37" s="19" t="str">
        <f t="shared" ref="J37:J68" si="13">IF($A37="","",IF($E37="","EM ANDAMENTO","CONCLUÍDA"))</f>
        <v>EM ANDAMENTO</v>
      </c>
      <c r="K37" s="19" t="str">
        <f t="shared" ref="K37:K68" si="14">IF($A37="","",IFERROR(INDEX(Proj_Unid,MATCH($A37,Proj_Cham,0)),"CHAMADO NÃO CADASTRADO"))</f>
        <v>RVD</v>
      </c>
      <c r="L37" s="19" t="str">
        <f t="shared" ref="L37:L68" si="15">IF($A37="","",IFERROR(INDEX(Proj_Nome,MATCH($A37,Proj_Cham,0)),"CHAMADO NÃO CADASTRADO"))</f>
        <v>CALDEIRA</v>
      </c>
    </row>
    <row r="38" spans="1:12" x14ac:dyDescent="0.3">
      <c r="A38" s="17" t="s">
        <v>588</v>
      </c>
      <c r="B38" s="18" t="s">
        <v>120</v>
      </c>
      <c r="C38" s="19" t="str">
        <f t="shared" si="8"/>
        <v>SUPRIMENTOS</v>
      </c>
      <c r="D38" s="20">
        <v>46023</v>
      </c>
      <c r="E38" s="20"/>
      <c r="F38" s="21">
        <f t="shared" si="9"/>
        <v>10</v>
      </c>
      <c r="G38" s="21">
        <f t="shared" ca="1" si="10"/>
        <v>237</v>
      </c>
      <c r="H38" s="19" t="str">
        <f t="shared" ca="1" si="11"/>
        <v>NÃO</v>
      </c>
      <c r="I38" s="21">
        <f t="shared" ca="1" si="12"/>
        <v>227</v>
      </c>
      <c r="J38" s="19" t="str">
        <f t="shared" si="13"/>
        <v>EM ANDAMENTO</v>
      </c>
      <c r="K38" s="19" t="str">
        <f t="shared" si="14"/>
        <v>RVD</v>
      </c>
      <c r="L38" s="19" t="str">
        <f t="shared" si="15"/>
        <v>PRÉDIO ADM</v>
      </c>
    </row>
    <row r="39" spans="1:12" x14ac:dyDescent="0.3">
      <c r="A39" s="17" t="s">
        <v>590</v>
      </c>
      <c r="B39" s="18" t="s">
        <v>120</v>
      </c>
      <c r="C39" s="19" t="str">
        <f t="shared" si="8"/>
        <v>SUPRIMENTOS</v>
      </c>
      <c r="D39" s="20">
        <v>46023</v>
      </c>
      <c r="E39" s="20"/>
      <c r="F39" s="21">
        <f t="shared" si="9"/>
        <v>10</v>
      </c>
      <c r="G39" s="21">
        <f t="shared" ca="1" si="10"/>
        <v>237</v>
      </c>
      <c r="H39" s="19" t="str">
        <f t="shared" ca="1" si="11"/>
        <v>NÃO</v>
      </c>
      <c r="I39" s="21">
        <f t="shared" ca="1" si="12"/>
        <v>227</v>
      </c>
      <c r="J39" s="19" t="str">
        <f t="shared" si="13"/>
        <v>EM ANDAMENTO</v>
      </c>
      <c r="K39" s="19" t="str">
        <f t="shared" si="14"/>
        <v>RVD</v>
      </c>
      <c r="L39" s="19" t="str">
        <f t="shared" si="15"/>
        <v>COI</v>
      </c>
    </row>
    <row r="40" spans="1:12" x14ac:dyDescent="0.3">
      <c r="A40" s="17" t="s">
        <v>591</v>
      </c>
      <c r="B40" s="18" t="s">
        <v>120</v>
      </c>
      <c r="C40" s="19" t="str">
        <f t="shared" si="8"/>
        <v>SUPRIMENTOS</v>
      </c>
      <c r="D40" s="20">
        <v>46023</v>
      </c>
      <c r="E40" s="20"/>
      <c r="F40" s="21">
        <f t="shared" si="9"/>
        <v>10</v>
      </c>
      <c r="G40" s="21">
        <f t="shared" ca="1" si="10"/>
        <v>237</v>
      </c>
      <c r="H40" s="19" t="str">
        <f t="shared" ca="1" si="11"/>
        <v>NÃO</v>
      </c>
      <c r="I40" s="21">
        <f t="shared" ca="1" si="12"/>
        <v>227</v>
      </c>
      <c r="J40" s="19" t="str">
        <f t="shared" si="13"/>
        <v>EM ANDAMENTO</v>
      </c>
      <c r="K40" s="19" t="str">
        <f t="shared" si="14"/>
        <v>RVD</v>
      </c>
      <c r="L40" s="19" t="str">
        <f t="shared" si="15"/>
        <v>FATURAMENTO</v>
      </c>
    </row>
    <row r="41" spans="1:12" x14ac:dyDescent="0.3">
      <c r="A41" s="17" t="s">
        <v>592</v>
      </c>
      <c r="B41" s="18" t="s">
        <v>120</v>
      </c>
      <c r="C41" s="19" t="str">
        <f t="shared" si="8"/>
        <v>SUPRIMENTOS</v>
      </c>
      <c r="D41" s="20">
        <v>46023</v>
      </c>
      <c r="E41" s="20"/>
      <c r="F41" s="21">
        <f t="shared" si="9"/>
        <v>10</v>
      </c>
      <c r="G41" s="21">
        <f t="shared" ca="1" si="10"/>
        <v>237</v>
      </c>
      <c r="H41" s="19" t="str">
        <f t="shared" ca="1" si="11"/>
        <v>NÃO</v>
      </c>
      <c r="I41" s="21">
        <f t="shared" ca="1" si="12"/>
        <v>227</v>
      </c>
      <c r="J41" s="19" t="str">
        <f t="shared" si="13"/>
        <v>EM ANDAMENTO</v>
      </c>
      <c r="K41" s="19" t="str">
        <f t="shared" si="14"/>
        <v>RVD</v>
      </c>
      <c r="L41" s="19" t="str">
        <f t="shared" si="15"/>
        <v>CLASSIFICAÇÃO</v>
      </c>
    </row>
    <row r="42" spans="1:12" x14ac:dyDescent="0.3">
      <c r="A42" s="17" t="s">
        <v>594</v>
      </c>
      <c r="B42" s="18" t="s">
        <v>120</v>
      </c>
      <c r="C42" s="19" t="str">
        <f t="shared" si="8"/>
        <v>SUPRIMENTOS</v>
      </c>
      <c r="D42" s="20">
        <v>46023</v>
      </c>
      <c r="E42" s="20"/>
      <c r="F42" s="21">
        <f t="shared" si="9"/>
        <v>10</v>
      </c>
      <c r="G42" s="21">
        <f t="shared" ca="1" si="10"/>
        <v>237</v>
      </c>
      <c r="H42" s="19" t="str">
        <f t="shared" ca="1" si="11"/>
        <v>NÃO</v>
      </c>
      <c r="I42" s="21">
        <f t="shared" ca="1" si="12"/>
        <v>227</v>
      </c>
      <c r="J42" s="19" t="str">
        <f t="shared" si="13"/>
        <v>EM ANDAMENTO</v>
      </c>
      <c r="K42" s="19" t="str">
        <f t="shared" si="14"/>
        <v>RVD</v>
      </c>
      <c r="L42" s="19" t="str">
        <f t="shared" si="15"/>
        <v>PORTARIA - ÁREA COMUM</v>
      </c>
    </row>
    <row r="43" spans="1:12" x14ac:dyDescent="0.3">
      <c r="A43" s="17" t="s">
        <v>596</v>
      </c>
      <c r="B43" s="18" t="s">
        <v>120</v>
      </c>
      <c r="C43" s="19" t="str">
        <f t="shared" si="8"/>
        <v>SUPRIMENTOS</v>
      </c>
      <c r="D43" s="20">
        <v>46023</v>
      </c>
      <c r="E43" s="20"/>
      <c r="F43" s="21">
        <f t="shared" si="9"/>
        <v>10</v>
      </c>
      <c r="G43" s="21">
        <f t="shared" ca="1" si="10"/>
        <v>237</v>
      </c>
      <c r="H43" s="19" t="str">
        <f t="shared" ca="1" si="11"/>
        <v>NÃO</v>
      </c>
      <c r="I43" s="21">
        <f t="shared" ca="1" si="12"/>
        <v>227</v>
      </c>
      <c r="J43" s="19" t="str">
        <f t="shared" si="13"/>
        <v>EM ANDAMENTO</v>
      </c>
      <c r="K43" s="19" t="str">
        <f t="shared" si="14"/>
        <v>RVD</v>
      </c>
      <c r="L43" s="19" t="str">
        <f t="shared" si="15"/>
        <v>ALMOX CAPEX</v>
      </c>
    </row>
    <row r="44" spans="1:12" x14ac:dyDescent="0.3">
      <c r="A44" s="17" t="s">
        <v>598</v>
      </c>
      <c r="B44" s="18" t="s">
        <v>120</v>
      </c>
      <c r="C44" s="19" t="str">
        <f t="shared" si="8"/>
        <v>SUPRIMENTOS</v>
      </c>
      <c r="D44" s="20">
        <v>46260</v>
      </c>
      <c r="E44" s="20"/>
      <c r="F44" s="21">
        <f t="shared" si="9"/>
        <v>10</v>
      </c>
      <c r="G44" s="21">
        <f t="shared" ca="1" si="10"/>
        <v>0</v>
      </c>
      <c r="H44" s="19" t="str">
        <f t="shared" ca="1" si="11"/>
        <v>SIM</v>
      </c>
      <c r="I44" s="21">
        <f t="shared" ca="1" si="12"/>
        <v>0</v>
      </c>
      <c r="J44" s="19" t="str">
        <f t="shared" si="13"/>
        <v>EM ANDAMENTO</v>
      </c>
      <c r="K44" s="19" t="str">
        <f t="shared" si="14"/>
        <v>RND</v>
      </c>
      <c r="L44" s="19" t="str">
        <f t="shared" si="15"/>
        <v>PRÉDIO ADM</v>
      </c>
    </row>
    <row r="45" spans="1:12" x14ac:dyDescent="0.3">
      <c r="A45" s="17" t="s">
        <v>599</v>
      </c>
      <c r="B45" s="18" t="s">
        <v>120</v>
      </c>
      <c r="C45" s="19" t="str">
        <f t="shared" si="8"/>
        <v>SUPRIMENTOS</v>
      </c>
      <c r="D45" s="20">
        <v>46260</v>
      </c>
      <c r="E45" s="20"/>
      <c r="F45" s="21">
        <f t="shared" si="9"/>
        <v>10</v>
      </c>
      <c r="G45" s="21">
        <f t="shared" ca="1" si="10"/>
        <v>0</v>
      </c>
      <c r="H45" s="19" t="str">
        <f t="shared" ca="1" si="11"/>
        <v>SIM</v>
      </c>
      <c r="I45" s="21">
        <f t="shared" ca="1" si="12"/>
        <v>0</v>
      </c>
      <c r="J45" s="19" t="str">
        <f t="shared" si="13"/>
        <v>EM ANDAMENTO</v>
      </c>
      <c r="K45" s="19" t="str">
        <f t="shared" si="14"/>
        <v>RND</v>
      </c>
      <c r="L45" s="19" t="str">
        <f t="shared" si="15"/>
        <v>EXPEDIÇÃO DE ETANOL</v>
      </c>
    </row>
    <row r="46" spans="1:12" x14ac:dyDescent="0.3">
      <c r="A46" s="17" t="s">
        <v>600</v>
      </c>
      <c r="B46" s="18" t="s">
        <v>120</v>
      </c>
      <c r="C46" s="19" t="str">
        <f t="shared" si="8"/>
        <v>SUPRIMENTOS</v>
      </c>
      <c r="D46" s="20">
        <v>46260</v>
      </c>
      <c r="E46" s="20"/>
      <c r="F46" s="21">
        <f t="shared" si="9"/>
        <v>10</v>
      </c>
      <c r="G46" s="21">
        <f t="shared" ca="1" si="10"/>
        <v>0</v>
      </c>
      <c r="H46" s="19" t="str">
        <f t="shared" ca="1" si="11"/>
        <v>SIM</v>
      </c>
      <c r="I46" s="21">
        <f t="shared" ca="1" si="12"/>
        <v>0</v>
      </c>
      <c r="J46" s="19" t="str">
        <f t="shared" si="13"/>
        <v>EM ANDAMENTO</v>
      </c>
      <c r="K46" s="19" t="str">
        <f t="shared" si="14"/>
        <v>RND</v>
      </c>
      <c r="L46" s="19" t="str">
        <f t="shared" si="15"/>
        <v>PORTARIA - ÁREA COMUM</v>
      </c>
    </row>
    <row r="47" spans="1:12" x14ac:dyDescent="0.3">
      <c r="A47" s="17" t="s">
        <v>601</v>
      </c>
      <c r="B47" s="18" t="s">
        <v>120</v>
      </c>
      <c r="C47" s="19" t="str">
        <f t="shared" si="8"/>
        <v>SUPRIMENTOS</v>
      </c>
      <c r="D47" s="20">
        <v>46260</v>
      </c>
      <c r="E47" s="20"/>
      <c r="F47" s="21">
        <f t="shared" si="9"/>
        <v>10</v>
      </c>
      <c r="G47" s="21">
        <f t="shared" ca="1" si="10"/>
        <v>0</v>
      </c>
      <c r="H47" s="19" t="str">
        <f t="shared" ca="1" si="11"/>
        <v>SIM</v>
      </c>
      <c r="I47" s="21">
        <f t="shared" ca="1" si="12"/>
        <v>0</v>
      </c>
      <c r="J47" s="19" t="str">
        <f t="shared" si="13"/>
        <v>EM ANDAMENTO</v>
      </c>
      <c r="K47" s="19" t="str">
        <f t="shared" si="14"/>
        <v>RND</v>
      </c>
      <c r="L47" s="19" t="str">
        <f t="shared" si="15"/>
        <v>ARMAZÉM DDGS</v>
      </c>
    </row>
    <row r="48" spans="1:12" x14ac:dyDescent="0.3">
      <c r="A48" s="17" t="s">
        <v>602</v>
      </c>
      <c r="B48" s="18" t="s">
        <v>120</v>
      </c>
      <c r="C48" s="19" t="str">
        <f t="shared" si="8"/>
        <v>SUPRIMENTOS</v>
      </c>
      <c r="D48" s="20">
        <v>46260</v>
      </c>
      <c r="E48" s="20"/>
      <c r="F48" s="21">
        <f t="shared" si="9"/>
        <v>10</v>
      </c>
      <c r="G48" s="21">
        <f t="shared" ca="1" si="10"/>
        <v>0</v>
      </c>
      <c r="H48" s="19" t="str">
        <f t="shared" ca="1" si="11"/>
        <v>SIM</v>
      </c>
      <c r="I48" s="21">
        <f t="shared" ca="1" si="12"/>
        <v>0</v>
      </c>
      <c r="J48" s="19" t="str">
        <f t="shared" si="13"/>
        <v>EM ANDAMENTO</v>
      </c>
      <c r="K48" s="19" t="str">
        <f t="shared" si="14"/>
        <v>RND</v>
      </c>
      <c r="L48" s="19" t="str">
        <f t="shared" si="15"/>
        <v>COI</v>
      </c>
    </row>
    <row r="49" spans="1:12" x14ac:dyDescent="0.3">
      <c r="A49" s="17" t="s">
        <v>603</v>
      </c>
      <c r="B49" s="18" t="s">
        <v>120</v>
      </c>
      <c r="C49" s="19" t="str">
        <f t="shared" si="8"/>
        <v>SUPRIMENTOS</v>
      </c>
      <c r="D49" s="20">
        <v>46260</v>
      </c>
      <c r="E49" s="20"/>
      <c r="F49" s="21">
        <f t="shared" si="9"/>
        <v>10</v>
      </c>
      <c r="G49" s="21">
        <f t="shared" ca="1" si="10"/>
        <v>0</v>
      </c>
      <c r="H49" s="19" t="str">
        <f t="shared" ca="1" si="11"/>
        <v>SIM</v>
      </c>
      <c r="I49" s="21">
        <f t="shared" ca="1" si="12"/>
        <v>0</v>
      </c>
      <c r="J49" s="19" t="str">
        <f t="shared" si="13"/>
        <v>EM ANDAMENTO</v>
      </c>
      <c r="K49" s="19" t="str">
        <f t="shared" si="14"/>
        <v>RND</v>
      </c>
      <c r="L49" s="19" t="str">
        <f t="shared" si="15"/>
        <v>FATURAMENTO</v>
      </c>
    </row>
    <row r="50" spans="1:12" x14ac:dyDescent="0.3">
      <c r="A50" s="17" t="s">
        <v>604</v>
      </c>
      <c r="B50" s="18" t="s">
        <v>120</v>
      </c>
      <c r="C50" s="19" t="str">
        <f t="shared" si="8"/>
        <v>SUPRIMENTOS</v>
      </c>
      <c r="D50" s="20">
        <v>46260</v>
      </c>
      <c r="E50" s="20"/>
      <c r="F50" s="21">
        <f t="shared" si="9"/>
        <v>10</v>
      </c>
      <c r="G50" s="21">
        <f t="shared" ca="1" si="10"/>
        <v>0</v>
      </c>
      <c r="H50" s="19" t="str">
        <f t="shared" ca="1" si="11"/>
        <v>SIM</v>
      </c>
      <c r="I50" s="21">
        <f t="shared" ca="1" si="12"/>
        <v>0</v>
      </c>
      <c r="J50" s="19" t="str">
        <f t="shared" si="13"/>
        <v>EM ANDAMENTO</v>
      </c>
      <c r="K50" s="19" t="str">
        <f t="shared" si="14"/>
        <v>RND</v>
      </c>
      <c r="L50" s="19" t="str">
        <f t="shared" si="15"/>
        <v>ALMOX OPEX</v>
      </c>
    </row>
    <row r="51" spans="1:12" x14ac:dyDescent="0.3">
      <c r="A51" s="17" t="s">
        <v>605</v>
      </c>
      <c r="B51" s="18" t="s">
        <v>120</v>
      </c>
      <c r="C51" s="19" t="str">
        <f t="shared" si="8"/>
        <v>SUPRIMENTOS</v>
      </c>
      <c r="D51" s="20">
        <v>46260</v>
      </c>
      <c r="E51" s="20"/>
      <c r="F51" s="21">
        <f t="shared" si="9"/>
        <v>10</v>
      </c>
      <c r="G51" s="21">
        <f t="shared" ca="1" si="10"/>
        <v>0</v>
      </c>
      <c r="H51" s="19" t="str">
        <f t="shared" ca="1" si="11"/>
        <v>SIM</v>
      </c>
      <c r="I51" s="21">
        <f t="shared" ca="1" si="12"/>
        <v>0</v>
      </c>
      <c r="J51" s="19" t="str">
        <f t="shared" si="13"/>
        <v>EM ANDAMENTO</v>
      </c>
      <c r="K51" s="19" t="str">
        <f t="shared" si="14"/>
        <v>RND</v>
      </c>
      <c r="L51" s="19" t="str">
        <f t="shared" si="15"/>
        <v>REFEITÓRIO</v>
      </c>
    </row>
    <row r="52" spans="1:12" x14ac:dyDescent="0.3">
      <c r="A52" s="17" t="s">
        <v>606</v>
      </c>
      <c r="B52" s="18" t="s">
        <v>120</v>
      </c>
      <c r="C52" s="19" t="str">
        <f t="shared" si="8"/>
        <v>SUPRIMENTOS</v>
      </c>
      <c r="D52" s="20">
        <v>46260</v>
      </c>
      <c r="E52" s="20"/>
      <c r="F52" s="21">
        <f t="shared" si="9"/>
        <v>10</v>
      </c>
      <c r="G52" s="21">
        <f t="shared" ca="1" si="10"/>
        <v>0</v>
      </c>
      <c r="H52" s="19" t="str">
        <f t="shared" ca="1" si="11"/>
        <v>SIM</v>
      </c>
      <c r="I52" s="21">
        <f t="shared" ca="1" si="12"/>
        <v>0</v>
      </c>
      <c r="J52" s="19" t="str">
        <f t="shared" si="13"/>
        <v>EM ANDAMENTO</v>
      </c>
      <c r="K52" s="19" t="str">
        <f t="shared" si="14"/>
        <v>RND</v>
      </c>
      <c r="L52" s="19" t="str">
        <f t="shared" si="15"/>
        <v>MANUTENÇÃO INDUSTRIAL - ADMINISTRAÇÃO</v>
      </c>
    </row>
    <row r="53" spans="1:12" x14ac:dyDescent="0.3">
      <c r="A53" s="17" t="s">
        <v>607</v>
      </c>
      <c r="B53" s="18" t="s">
        <v>120</v>
      </c>
      <c r="C53" s="19" t="str">
        <f t="shared" si="8"/>
        <v>SUPRIMENTOS</v>
      </c>
      <c r="D53" s="20">
        <v>46260</v>
      </c>
      <c r="E53" s="20"/>
      <c r="F53" s="21">
        <f t="shared" si="9"/>
        <v>10</v>
      </c>
      <c r="G53" s="21">
        <f t="shared" ca="1" si="10"/>
        <v>0</v>
      </c>
      <c r="H53" s="19" t="str">
        <f t="shared" ca="1" si="11"/>
        <v>SIM</v>
      </c>
      <c r="I53" s="21">
        <f t="shared" ca="1" si="12"/>
        <v>0</v>
      </c>
      <c r="J53" s="19" t="str">
        <f t="shared" si="13"/>
        <v>EM ANDAMENTO</v>
      </c>
      <c r="K53" s="19" t="str">
        <f t="shared" si="14"/>
        <v>RND</v>
      </c>
      <c r="L53" s="19" t="str">
        <f t="shared" si="15"/>
        <v>CLASSIFICAÇÃO DE GRÃOS</v>
      </c>
    </row>
    <row r="54" spans="1:12" x14ac:dyDescent="0.3">
      <c r="A54" s="17" t="s">
        <v>609</v>
      </c>
      <c r="B54" s="18" t="s">
        <v>310</v>
      </c>
      <c r="C54" s="19" t="str">
        <f t="shared" si="8"/>
        <v>MONITORAMENTO</v>
      </c>
      <c r="D54" s="20">
        <v>46023</v>
      </c>
      <c r="E54" s="20"/>
      <c r="F54" s="21">
        <f t="shared" si="9"/>
        <v>3</v>
      </c>
      <c r="G54" s="21">
        <f t="shared" ca="1" si="10"/>
        <v>237</v>
      </c>
      <c r="H54" s="19" t="str">
        <f t="shared" ca="1" si="11"/>
        <v>NÃO</v>
      </c>
      <c r="I54" s="21">
        <f t="shared" ca="1" si="12"/>
        <v>234</v>
      </c>
      <c r="J54" s="19" t="str">
        <f t="shared" si="13"/>
        <v>EM ANDAMENTO</v>
      </c>
      <c r="K54" s="19" t="str">
        <f t="shared" si="14"/>
        <v>RND</v>
      </c>
      <c r="L54" s="19" t="str">
        <f t="shared" si="15"/>
        <v>BALANÇAS</v>
      </c>
    </row>
    <row r="55" spans="1:12" x14ac:dyDescent="0.3">
      <c r="A55" s="17" t="s">
        <v>610</v>
      </c>
      <c r="B55" s="18" t="s">
        <v>310</v>
      </c>
      <c r="C55" s="19" t="str">
        <f t="shared" si="8"/>
        <v>MONITORAMENTO</v>
      </c>
      <c r="D55" s="20">
        <v>46023</v>
      </c>
      <c r="E55" s="20"/>
      <c r="F55" s="21">
        <f t="shared" si="9"/>
        <v>3</v>
      </c>
      <c r="G55" s="21">
        <f t="shared" ca="1" si="10"/>
        <v>237</v>
      </c>
      <c r="H55" s="19" t="str">
        <f t="shared" ca="1" si="11"/>
        <v>NÃO</v>
      </c>
      <c r="I55" s="21">
        <f t="shared" ca="1" si="12"/>
        <v>234</v>
      </c>
      <c r="J55" s="19" t="str">
        <f t="shared" si="13"/>
        <v>EM ANDAMENTO</v>
      </c>
      <c r="K55" s="19" t="str">
        <f t="shared" si="14"/>
        <v>RND</v>
      </c>
      <c r="L55" s="19" t="str">
        <f t="shared" si="15"/>
        <v>PERÍMETRO</v>
      </c>
    </row>
    <row r="56" spans="1:12" x14ac:dyDescent="0.3">
      <c r="A56" s="17">
        <v>466726</v>
      </c>
      <c r="B56" s="18" t="s">
        <v>88</v>
      </c>
      <c r="C56" s="19" t="str">
        <f t="shared" si="8"/>
        <v>MONITORAMENTO</v>
      </c>
      <c r="D56" s="20">
        <v>46260</v>
      </c>
      <c r="E56" s="20"/>
      <c r="F56" s="21">
        <f t="shared" si="9"/>
        <v>7</v>
      </c>
      <c r="G56" s="21">
        <f t="shared" ca="1" si="10"/>
        <v>0</v>
      </c>
      <c r="H56" s="19" t="str">
        <f t="shared" ca="1" si="11"/>
        <v>SIM</v>
      </c>
      <c r="I56" s="21">
        <f t="shared" ca="1" si="12"/>
        <v>0</v>
      </c>
      <c r="J56" s="19" t="str">
        <f t="shared" si="13"/>
        <v>EM ANDAMENTO</v>
      </c>
      <c r="K56" s="19" t="str">
        <f t="shared" si="14"/>
        <v>BLS</v>
      </c>
      <c r="L56" s="19" t="str">
        <f t="shared" si="15"/>
        <v>ALMOX OPEX</v>
      </c>
    </row>
    <row r="57" spans="1:12" x14ac:dyDescent="0.3">
      <c r="A57" s="17">
        <v>456060</v>
      </c>
      <c r="B57" s="18" t="s">
        <v>88</v>
      </c>
      <c r="C57" s="19" t="str">
        <f t="shared" si="8"/>
        <v>MONITORAMENTO</v>
      </c>
      <c r="D57" s="20">
        <v>46260</v>
      </c>
      <c r="E57" s="20"/>
      <c r="F57" s="21">
        <f t="shared" si="9"/>
        <v>7</v>
      </c>
      <c r="G57" s="21">
        <f t="shared" ca="1" si="10"/>
        <v>0</v>
      </c>
      <c r="H57" s="19" t="str">
        <f t="shared" ca="1" si="11"/>
        <v>SIM</v>
      </c>
      <c r="I57" s="21">
        <f t="shared" ca="1" si="12"/>
        <v>0</v>
      </c>
      <c r="J57" s="19" t="str">
        <f t="shared" si="13"/>
        <v>EM ANDAMENTO</v>
      </c>
      <c r="K57" s="19" t="str">
        <f t="shared" si="14"/>
        <v>MTU</v>
      </c>
      <c r="L57" s="19" t="str">
        <f t="shared" si="15"/>
        <v>SSO SALA DE OPERAÇÕES</v>
      </c>
    </row>
    <row r="58" spans="1:12" x14ac:dyDescent="0.3">
      <c r="A58" s="17">
        <v>457511</v>
      </c>
      <c r="B58" s="18" t="s">
        <v>88</v>
      </c>
      <c r="C58" s="19" t="str">
        <f t="shared" si="8"/>
        <v>MONITORAMENTO</v>
      </c>
      <c r="D58" s="20">
        <v>46260</v>
      </c>
      <c r="E58" s="20"/>
      <c r="F58" s="21">
        <f t="shared" si="9"/>
        <v>7</v>
      </c>
      <c r="G58" s="21">
        <f t="shared" ca="1" si="10"/>
        <v>0</v>
      </c>
      <c r="H58" s="19" t="str">
        <f t="shared" ca="1" si="11"/>
        <v>SIM</v>
      </c>
      <c r="I58" s="21">
        <f t="shared" ca="1" si="12"/>
        <v>0</v>
      </c>
      <c r="J58" s="19" t="str">
        <f t="shared" si="13"/>
        <v>EM ANDAMENTO</v>
      </c>
      <c r="K58" s="19" t="str">
        <f t="shared" si="14"/>
        <v>MTU</v>
      </c>
      <c r="L58" s="19" t="str">
        <f t="shared" si="15"/>
        <v>REFEITÓRIO</v>
      </c>
    </row>
    <row r="59" spans="1:12" x14ac:dyDescent="0.3">
      <c r="A59" s="17">
        <v>459049</v>
      </c>
      <c r="B59" s="18" t="s">
        <v>88</v>
      </c>
      <c r="C59" s="19" t="str">
        <f t="shared" si="8"/>
        <v>MONITORAMENTO</v>
      </c>
      <c r="D59" s="20">
        <v>46260</v>
      </c>
      <c r="E59" s="20"/>
      <c r="F59" s="21">
        <f t="shared" si="9"/>
        <v>7</v>
      </c>
      <c r="G59" s="21">
        <f t="shared" ca="1" si="10"/>
        <v>0</v>
      </c>
      <c r="H59" s="19" t="str">
        <f t="shared" ca="1" si="11"/>
        <v>SIM</v>
      </c>
      <c r="I59" s="21">
        <f t="shared" ca="1" si="12"/>
        <v>0</v>
      </c>
      <c r="J59" s="19" t="str">
        <f t="shared" si="13"/>
        <v>EM ANDAMENTO</v>
      </c>
      <c r="K59" s="19" t="str">
        <f t="shared" si="14"/>
        <v>SDL</v>
      </c>
      <c r="L59" s="19" t="str">
        <f t="shared" si="15"/>
        <v>ARMAZÉM DE MILHO</v>
      </c>
    </row>
    <row r="60" spans="1:12" x14ac:dyDescent="0.3">
      <c r="A60" s="17">
        <v>461634</v>
      </c>
      <c r="B60" s="18" t="s">
        <v>88</v>
      </c>
      <c r="C60" s="19" t="str">
        <f t="shared" si="8"/>
        <v>MONITORAMENTO</v>
      </c>
      <c r="D60" s="20">
        <v>46260</v>
      </c>
      <c r="E60" s="20"/>
      <c r="F60" s="21">
        <f t="shared" si="9"/>
        <v>7</v>
      </c>
      <c r="G60" s="21">
        <f t="shared" ca="1" si="10"/>
        <v>0</v>
      </c>
      <c r="H60" s="19" t="str">
        <f t="shared" ca="1" si="11"/>
        <v>SIM</v>
      </c>
      <c r="I60" s="21">
        <f t="shared" ca="1" si="12"/>
        <v>0</v>
      </c>
      <c r="J60" s="19" t="str">
        <f t="shared" si="13"/>
        <v>EM ANDAMENTO</v>
      </c>
      <c r="K60" s="19" t="str">
        <f t="shared" si="14"/>
        <v>SNP</v>
      </c>
      <c r="L60" s="19" t="str">
        <f t="shared" si="15"/>
        <v>PÁTIO DE CADASTRO - FATURAMENTO</v>
      </c>
    </row>
    <row r="61" spans="1:12" x14ac:dyDescent="0.3">
      <c r="A61" s="17"/>
      <c r="B61" s="18"/>
      <c r="C61" s="19" t="str">
        <f t="shared" si="8"/>
        <v/>
      </c>
      <c r="D61" s="20"/>
      <c r="E61" s="20"/>
      <c r="F61" s="21" t="str">
        <f t="shared" si="9"/>
        <v/>
      </c>
      <c r="G61" s="21" t="str">
        <f t="shared" si="10"/>
        <v/>
      </c>
      <c r="H61" s="19" t="str">
        <f t="shared" si="11"/>
        <v/>
      </c>
      <c r="I61" s="21" t="str">
        <f t="shared" si="12"/>
        <v/>
      </c>
      <c r="J61" s="19" t="str">
        <f t="shared" si="13"/>
        <v/>
      </c>
      <c r="K61" s="19" t="str">
        <f t="shared" si="14"/>
        <v/>
      </c>
      <c r="L61" s="19" t="str">
        <f t="shared" si="15"/>
        <v/>
      </c>
    </row>
    <row r="62" spans="1:12" x14ac:dyDescent="0.3">
      <c r="A62" s="17"/>
      <c r="B62" s="18"/>
      <c r="C62" s="19" t="str">
        <f t="shared" si="8"/>
        <v/>
      </c>
      <c r="D62" s="20"/>
      <c r="E62" s="20"/>
      <c r="F62" s="21" t="str">
        <f t="shared" si="9"/>
        <v/>
      </c>
      <c r="G62" s="21" t="str">
        <f t="shared" si="10"/>
        <v/>
      </c>
      <c r="H62" s="19" t="str">
        <f t="shared" si="11"/>
        <v/>
      </c>
      <c r="I62" s="21" t="str">
        <f t="shared" si="12"/>
        <v/>
      </c>
      <c r="J62" s="19" t="str">
        <f t="shared" si="13"/>
        <v/>
      </c>
      <c r="K62" s="19" t="str">
        <f t="shared" si="14"/>
        <v/>
      </c>
      <c r="L62" s="19" t="str">
        <f t="shared" si="15"/>
        <v/>
      </c>
    </row>
    <row r="63" spans="1:12" x14ac:dyDescent="0.3">
      <c r="A63" s="17"/>
      <c r="B63" s="18"/>
      <c r="C63" s="19" t="str">
        <f t="shared" si="8"/>
        <v/>
      </c>
      <c r="D63" s="20"/>
      <c r="E63" s="20"/>
      <c r="F63" s="21" t="str">
        <f t="shared" si="9"/>
        <v/>
      </c>
      <c r="G63" s="21" t="str">
        <f t="shared" si="10"/>
        <v/>
      </c>
      <c r="H63" s="19" t="str">
        <f t="shared" si="11"/>
        <v/>
      </c>
      <c r="I63" s="21" t="str">
        <f t="shared" si="12"/>
        <v/>
      </c>
      <c r="J63" s="19" t="str">
        <f t="shared" si="13"/>
        <v/>
      </c>
      <c r="K63" s="19" t="str">
        <f t="shared" si="14"/>
        <v/>
      </c>
      <c r="L63" s="19" t="str">
        <f t="shared" si="15"/>
        <v/>
      </c>
    </row>
    <row r="64" spans="1:12" x14ac:dyDescent="0.3">
      <c r="A64" s="17"/>
      <c r="B64" s="18"/>
      <c r="C64" s="19" t="str">
        <f t="shared" si="8"/>
        <v/>
      </c>
      <c r="D64" s="20"/>
      <c r="E64" s="20"/>
      <c r="F64" s="21" t="str">
        <f t="shared" si="9"/>
        <v/>
      </c>
      <c r="G64" s="21" t="str">
        <f t="shared" si="10"/>
        <v/>
      </c>
      <c r="H64" s="19" t="str">
        <f t="shared" si="11"/>
        <v/>
      </c>
      <c r="I64" s="21" t="str">
        <f t="shared" si="12"/>
        <v/>
      </c>
      <c r="J64" s="19" t="str">
        <f t="shared" si="13"/>
        <v/>
      </c>
      <c r="K64" s="19" t="str">
        <f t="shared" si="14"/>
        <v/>
      </c>
      <c r="L64" s="19" t="str">
        <f t="shared" si="15"/>
        <v/>
      </c>
    </row>
    <row r="65" spans="1:12" x14ac:dyDescent="0.3">
      <c r="A65" s="17"/>
      <c r="B65" s="18"/>
      <c r="C65" s="19" t="str">
        <f t="shared" si="8"/>
        <v/>
      </c>
      <c r="D65" s="20"/>
      <c r="E65" s="20"/>
      <c r="F65" s="21" t="str">
        <f t="shared" si="9"/>
        <v/>
      </c>
      <c r="G65" s="21" t="str">
        <f t="shared" si="10"/>
        <v/>
      </c>
      <c r="H65" s="19" t="str">
        <f t="shared" si="11"/>
        <v/>
      </c>
      <c r="I65" s="21" t="str">
        <f t="shared" si="12"/>
        <v/>
      </c>
      <c r="J65" s="19" t="str">
        <f t="shared" si="13"/>
        <v/>
      </c>
      <c r="K65" s="19" t="str">
        <f t="shared" si="14"/>
        <v/>
      </c>
      <c r="L65" s="19" t="str">
        <f t="shared" si="15"/>
        <v/>
      </c>
    </row>
    <row r="66" spans="1:12" x14ac:dyDescent="0.3">
      <c r="A66" s="17"/>
      <c r="B66" s="18"/>
      <c r="C66" s="19" t="str">
        <f t="shared" si="8"/>
        <v/>
      </c>
      <c r="D66" s="20"/>
      <c r="E66" s="20"/>
      <c r="F66" s="21" t="str">
        <f t="shared" si="9"/>
        <v/>
      </c>
      <c r="G66" s="21" t="str">
        <f t="shared" si="10"/>
        <v/>
      </c>
      <c r="H66" s="19" t="str">
        <f t="shared" si="11"/>
        <v/>
      </c>
      <c r="I66" s="21" t="str">
        <f t="shared" si="12"/>
        <v/>
      </c>
      <c r="J66" s="19" t="str">
        <f t="shared" si="13"/>
        <v/>
      </c>
      <c r="K66" s="19" t="str">
        <f t="shared" si="14"/>
        <v/>
      </c>
      <c r="L66" s="19" t="str">
        <f t="shared" si="15"/>
        <v/>
      </c>
    </row>
    <row r="67" spans="1:12" x14ac:dyDescent="0.3">
      <c r="A67" s="17"/>
      <c r="B67" s="18"/>
      <c r="C67" s="19" t="str">
        <f t="shared" si="8"/>
        <v/>
      </c>
      <c r="D67" s="20"/>
      <c r="E67" s="20"/>
      <c r="F67" s="21" t="str">
        <f t="shared" si="9"/>
        <v/>
      </c>
      <c r="G67" s="21" t="str">
        <f t="shared" si="10"/>
        <v/>
      </c>
      <c r="H67" s="19" t="str">
        <f t="shared" si="11"/>
        <v/>
      </c>
      <c r="I67" s="21" t="str">
        <f t="shared" si="12"/>
        <v/>
      </c>
      <c r="J67" s="19" t="str">
        <f t="shared" si="13"/>
        <v/>
      </c>
      <c r="K67" s="19" t="str">
        <f t="shared" si="14"/>
        <v/>
      </c>
      <c r="L67" s="19" t="str">
        <f t="shared" si="15"/>
        <v/>
      </c>
    </row>
    <row r="68" spans="1:12" x14ac:dyDescent="0.3">
      <c r="A68" s="17"/>
      <c r="B68" s="18"/>
      <c r="C68" s="19" t="str">
        <f t="shared" si="8"/>
        <v/>
      </c>
      <c r="D68" s="20"/>
      <c r="E68" s="20"/>
      <c r="F68" s="21" t="str">
        <f t="shared" si="9"/>
        <v/>
      </c>
      <c r="G68" s="21" t="str">
        <f t="shared" si="10"/>
        <v/>
      </c>
      <c r="H68" s="19" t="str">
        <f t="shared" si="11"/>
        <v/>
      </c>
      <c r="I68" s="21" t="str">
        <f t="shared" si="12"/>
        <v/>
      </c>
      <c r="J68" s="19" t="str">
        <f t="shared" si="13"/>
        <v/>
      </c>
      <c r="K68" s="19" t="str">
        <f t="shared" si="14"/>
        <v/>
      </c>
      <c r="L68" s="19" t="str">
        <f t="shared" si="15"/>
        <v/>
      </c>
    </row>
    <row r="69" spans="1:12" x14ac:dyDescent="0.3">
      <c r="A69" s="17"/>
      <c r="B69" s="18"/>
      <c r="C69" s="19" t="str">
        <f t="shared" ref="C69:C100" si="16">IF($B69="","",IFERROR(INDEX(Etapa_Resp,MATCH($B69,Lista_Etapas,0)),"ETAPA NÃO CADASTRADA"))</f>
        <v/>
      </c>
      <c r="D69" s="20"/>
      <c r="E69" s="20"/>
      <c r="F69" s="21" t="str">
        <f t="shared" ref="F69:F100" si="17">IF($B69="","",IFERROR(INDEX(Etapa_SLA,MATCH($B69,Lista_Etapas,0)),""))</f>
        <v/>
      </c>
      <c r="G69" s="21" t="str">
        <f t="shared" ref="G69:G100" si="18">IF($D69="","",MAX(0,IF($E69="",DataRef-$D69,$E69-$D69)))</f>
        <v/>
      </c>
      <c r="H69" s="19" t="str">
        <f t="shared" ref="H69:H100" si="19">IF($G69="","",IF(OR($F69="",$F69=0),"NÃO APLICÁVEL",IF($G69&lt;=$F69,"SIM","NÃO")))</f>
        <v/>
      </c>
      <c r="I69" s="21" t="str">
        <f t="shared" ref="I69:I100" si="20">IF($G69="","",IF(OR($F69="",$F69=0),0,MAX($G69-$F69,0)))</f>
        <v/>
      </c>
      <c r="J69" s="19" t="str">
        <f t="shared" ref="J69:J100" si="21">IF($A69="","",IF($E69="","EM ANDAMENTO","CONCLUÍDA"))</f>
        <v/>
      </c>
      <c r="K69" s="19" t="str">
        <f t="shared" ref="K69:K100" si="22">IF($A69="","",IFERROR(INDEX(Proj_Unid,MATCH($A69,Proj_Cham,0)),"CHAMADO NÃO CADASTRADO"))</f>
        <v/>
      </c>
      <c r="L69" s="19" t="str">
        <f t="shared" ref="L69:L100" si="23">IF($A69="","",IFERROR(INDEX(Proj_Nome,MATCH($A69,Proj_Cham,0)),"CHAMADO NÃO CADASTRADO"))</f>
        <v/>
      </c>
    </row>
    <row r="70" spans="1:12" x14ac:dyDescent="0.3">
      <c r="A70" s="17"/>
      <c r="B70" s="18"/>
      <c r="C70" s="19" t="str">
        <f t="shared" si="16"/>
        <v/>
      </c>
      <c r="D70" s="20"/>
      <c r="E70" s="20"/>
      <c r="F70" s="21" t="str">
        <f t="shared" si="17"/>
        <v/>
      </c>
      <c r="G70" s="21" t="str">
        <f t="shared" si="18"/>
        <v/>
      </c>
      <c r="H70" s="19" t="str">
        <f t="shared" si="19"/>
        <v/>
      </c>
      <c r="I70" s="21" t="str">
        <f t="shared" si="20"/>
        <v/>
      </c>
      <c r="J70" s="19" t="str">
        <f t="shared" si="21"/>
        <v/>
      </c>
      <c r="K70" s="19" t="str">
        <f t="shared" si="22"/>
        <v/>
      </c>
      <c r="L70" s="19" t="str">
        <f t="shared" si="23"/>
        <v/>
      </c>
    </row>
    <row r="71" spans="1:12" x14ac:dyDescent="0.3">
      <c r="A71" s="17"/>
      <c r="B71" s="18"/>
      <c r="C71" s="19" t="str">
        <f t="shared" si="16"/>
        <v/>
      </c>
      <c r="D71" s="20"/>
      <c r="E71" s="20"/>
      <c r="F71" s="21" t="str">
        <f t="shared" si="17"/>
        <v/>
      </c>
      <c r="G71" s="21" t="str">
        <f t="shared" si="18"/>
        <v/>
      </c>
      <c r="H71" s="19" t="str">
        <f t="shared" si="19"/>
        <v/>
      </c>
      <c r="I71" s="21" t="str">
        <f t="shared" si="20"/>
        <v/>
      </c>
      <c r="J71" s="19" t="str">
        <f t="shared" si="21"/>
        <v/>
      </c>
      <c r="K71" s="19" t="str">
        <f t="shared" si="22"/>
        <v/>
      </c>
      <c r="L71" s="19" t="str">
        <f t="shared" si="23"/>
        <v/>
      </c>
    </row>
    <row r="72" spans="1:12" x14ac:dyDescent="0.3">
      <c r="A72" s="17"/>
      <c r="B72" s="18"/>
      <c r="C72" s="19" t="str">
        <f t="shared" si="16"/>
        <v/>
      </c>
      <c r="D72" s="20"/>
      <c r="E72" s="20"/>
      <c r="F72" s="21" t="str">
        <f t="shared" si="17"/>
        <v/>
      </c>
      <c r="G72" s="21" t="str">
        <f t="shared" si="18"/>
        <v/>
      </c>
      <c r="H72" s="19" t="str">
        <f t="shared" si="19"/>
        <v/>
      </c>
      <c r="I72" s="21" t="str">
        <f t="shared" si="20"/>
        <v/>
      </c>
      <c r="J72" s="19" t="str">
        <f t="shared" si="21"/>
        <v/>
      </c>
      <c r="K72" s="19" t="str">
        <f t="shared" si="22"/>
        <v/>
      </c>
      <c r="L72" s="19" t="str">
        <f t="shared" si="23"/>
        <v/>
      </c>
    </row>
    <row r="73" spans="1:12" x14ac:dyDescent="0.3">
      <c r="A73" s="17"/>
      <c r="B73" s="18"/>
      <c r="C73" s="19" t="str">
        <f t="shared" si="16"/>
        <v/>
      </c>
      <c r="D73" s="20"/>
      <c r="E73" s="20"/>
      <c r="F73" s="21" t="str">
        <f t="shared" si="17"/>
        <v/>
      </c>
      <c r="G73" s="21" t="str">
        <f t="shared" si="18"/>
        <v/>
      </c>
      <c r="H73" s="19" t="str">
        <f t="shared" si="19"/>
        <v/>
      </c>
      <c r="I73" s="21" t="str">
        <f t="shared" si="20"/>
        <v/>
      </c>
      <c r="J73" s="19" t="str">
        <f t="shared" si="21"/>
        <v/>
      </c>
      <c r="K73" s="19" t="str">
        <f t="shared" si="22"/>
        <v/>
      </c>
      <c r="L73" s="19" t="str">
        <f t="shared" si="23"/>
        <v/>
      </c>
    </row>
    <row r="74" spans="1:12" x14ac:dyDescent="0.3">
      <c r="A74" s="17"/>
      <c r="B74" s="18"/>
      <c r="C74" s="19" t="str">
        <f t="shared" si="16"/>
        <v/>
      </c>
      <c r="D74" s="20"/>
      <c r="E74" s="20"/>
      <c r="F74" s="21" t="str">
        <f t="shared" si="17"/>
        <v/>
      </c>
      <c r="G74" s="21" t="str">
        <f t="shared" si="18"/>
        <v/>
      </c>
      <c r="H74" s="19" t="str">
        <f t="shared" si="19"/>
        <v/>
      </c>
      <c r="I74" s="21" t="str">
        <f t="shared" si="20"/>
        <v/>
      </c>
      <c r="J74" s="19" t="str">
        <f t="shared" si="21"/>
        <v/>
      </c>
      <c r="K74" s="19" t="str">
        <f t="shared" si="22"/>
        <v/>
      </c>
      <c r="L74" s="19" t="str">
        <f t="shared" si="23"/>
        <v/>
      </c>
    </row>
    <row r="75" spans="1:12" x14ac:dyDescent="0.3">
      <c r="A75" s="17"/>
      <c r="B75" s="18"/>
      <c r="C75" s="19" t="str">
        <f t="shared" si="16"/>
        <v/>
      </c>
      <c r="D75" s="20"/>
      <c r="E75" s="20"/>
      <c r="F75" s="21" t="str">
        <f t="shared" si="17"/>
        <v/>
      </c>
      <c r="G75" s="21" t="str">
        <f t="shared" si="18"/>
        <v/>
      </c>
      <c r="H75" s="19" t="str">
        <f t="shared" si="19"/>
        <v/>
      </c>
      <c r="I75" s="21" t="str">
        <f t="shared" si="20"/>
        <v/>
      </c>
      <c r="J75" s="19" t="str">
        <f t="shared" si="21"/>
        <v/>
      </c>
      <c r="K75" s="19" t="str">
        <f t="shared" si="22"/>
        <v/>
      </c>
      <c r="L75" s="19" t="str">
        <f t="shared" si="23"/>
        <v/>
      </c>
    </row>
    <row r="76" spans="1:12" x14ac:dyDescent="0.3">
      <c r="A76" s="17"/>
      <c r="B76" s="18"/>
      <c r="C76" s="19" t="str">
        <f t="shared" si="16"/>
        <v/>
      </c>
      <c r="D76" s="20"/>
      <c r="E76" s="20"/>
      <c r="F76" s="21" t="str">
        <f t="shared" si="17"/>
        <v/>
      </c>
      <c r="G76" s="21" t="str">
        <f t="shared" si="18"/>
        <v/>
      </c>
      <c r="H76" s="19" t="str">
        <f t="shared" si="19"/>
        <v/>
      </c>
      <c r="I76" s="21" t="str">
        <f t="shared" si="20"/>
        <v/>
      </c>
      <c r="J76" s="19" t="str">
        <f t="shared" si="21"/>
        <v/>
      </c>
      <c r="K76" s="19" t="str">
        <f t="shared" si="22"/>
        <v/>
      </c>
      <c r="L76" s="19" t="str">
        <f t="shared" si="23"/>
        <v/>
      </c>
    </row>
    <row r="77" spans="1:12" x14ac:dyDescent="0.3">
      <c r="A77" s="17"/>
      <c r="B77" s="18"/>
      <c r="C77" s="19" t="str">
        <f t="shared" si="16"/>
        <v/>
      </c>
      <c r="D77" s="20"/>
      <c r="E77" s="20"/>
      <c r="F77" s="21" t="str">
        <f t="shared" si="17"/>
        <v/>
      </c>
      <c r="G77" s="21" t="str">
        <f t="shared" si="18"/>
        <v/>
      </c>
      <c r="H77" s="19" t="str">
        <f t="shared" si="19"/>
        <v/>
      </c>
      <c r="I77" s="21" t="str">
        <f t="shared" si="20"/>
        <v/>
      </c>
      <c r="J77" s="19" t="str">
        <f t="shared" si="21"/>
        <v/>
      </c>
      <c r="K77" s="19" t="str">
        <f t="shared" si="22"/>
        <v/>
      </c>
      <c r="L77" s="19" t="str">
        <f t="shared" si="23"/>
        <v/>
      </c>
    </row>
    <row r="78" spans="1:12" x14ac:dyDescent="0.3">
      <c r="A78" s="17"/>
      <c r="B78" s="18"/>
      <c r="C78" s="19" t="str">
        <f t="shared" si="16"/>
        <v/>
      </c>
      <c r="D78" s="20"/>
      <c r="E78" s="20"/>
      <c r="F78" s="21" t="str">
        <f t="shared" si="17"/>
        <v/>
      </c>
      <c r="G78" s="21" t="str">
        <f t="shared" si="18"/>
        <v/>
      </c>
      <c r="H78" s="19" t="str">
        <f t="shared" si="19"/>
        <v/>
      </c>
      <c r="I78" s="21" t="str">
        <f t="shared" si="20"/>
        <v/>
      </c>
      <c r="J78" s="19" t="str">
        <f t="shared" si="21"/>
        <v/>
      </c>
      <c r="K78" s="19" t="str">
        <f t="shared" si="22"/>
        <v/>
      </c>
      <c r="L78" s="19" t="str">
        <f t="shared" si="23"/>
        <v/>
      </c>
    </row>
    <row r="79" spans="1:12" x14ac:dyDescent="0.3">
      <c r="A79" s="17"/>
      <c r="B79" s="18"/>
      <c r="C79" s="19" t="str">
        <f t="shared" si="16"/>
        <v/>
      </c>
      <c r="D79" s="20"/>
      <c r="E79" s="20"/>
      <c r="F79" s="21" t="str">
        <f t="shared" si="17"/>
        <v/>
      </c>
      <c r="G79" s="21" t="str">
        <f t="shared" si="18"/>
        <v/>
      </c>
      <c r="H79" s="19" t="str">
        <f t="shared" si="19"/>
        <v/>
      </c>
      <c r="I79" s="21" t="str">
        <f t="shared" si="20"/>
        <v/>
      </c>
      <c r="J79" s="19" t="str">
        <f t="shared" si="21"/>
        <v/>
      </c>
      <c r="K79" s="19" t="str">
        <f t="shared" si="22"/>
        <v/>
      </c>
      <c r="L79" s="19" t="str">
        <f t="shared" si="23"/>
        <v/>
      </c>
    </row>
    <row r="80" spans="1:12" x14ac:dyDescent="0.3">
      <c r="A80" s="17"/>
      <c r="B80" s="18"/>
      <c r="C80" s="19" t="str">
        <f t="shared" si="16"/>
        <v/>
      </c>
      <c r="D80" s="20"/>
      <c r="E80" s="20"/>
      <c r="F80" s="21" t="str">
        <f t="shared" si="17"/>
        <v/>
      </c>
      <c r="G80" s="21" t="str">
        <f t="shared" si="18"/>
        <v/>
      </c>
      <c r="H80" s="19" t="str">
        <f t="shared" si="19"/>
        <v/>
      </c>
      <c r="I80" s="21" t="str">
        <f t="shared" si="20"/>
        <v/>
      </c>
      <c r="J80" s="19" t="str">
        <f t="shared" si="21"/>
        <v/>
      </c>
      <c r="K80" s="19" t="str">
        <f t="shared" si="22"/>
        <v/>
      </c>
      <c r="L80" s="19" t="str">
        <f t="shared" si="23"/>
        <v/>
      </c>
    </row>
    <row r="81" spans="1:12" x14ac:dyDescent="0.3">
      <c r="A81" s="17"/>
      <c r="B81" s="18"/>
      <c r="C81" s="19" t="str">
        <f t="shared" si="16"/>
        <v/>
      </c>
      <c r="D81" s="20"/>
      <c r="E81" s="20"/>
      <c r="F81" s="21" t="str">
        <f t="shared" si="17"/>
        <v/>
      </c>
      <c r="G81" s="21" t="str">
        <f t="shared" si="18"/>
        <v/>
      </c>
      <c r="H81" s="19" t="str">
        <f t="shared" si="19"/>
        <v/>
      </c>
      <c r="I81" s="21" t="str">
        <f t="shared" si="20"/>
        <v/>
      </c>
      <c r="J81" s="19" t="str">
        <f t="shared" si="21"/>
        <v/>
      </c>
      <c r="K81" s="19" t="str">
        <f t="shared" si="22"/>
        <v/>
      </c>
      <c r="L81" s="19" t="str">
        <f t="shared" si="23"/>
        <v/>
      </c>
    </row>
    <row r="82" spans="1:12" x14ac:dyDescent="0.3">
      <c r="A82" s="17"/>
      <c r="B82" s="18"/>
      <c r="C82" s="19" t="str">
        <f t="shared" si="16"/>
        <v/>
      </c>
      <c r="D82" s="20"/>
      <c r="E82" s="20"/>
      <c r="F82" s="21" t="str">
        <f t="shared" si="17"/>
        <v/>
      </c>
      <c r="G82" s="21" t="str">
        <f t="shared" si="18"/>
        <v/>
      </c>
      <c r="H82" s="19" t="str">
        <f t="shared" si="19"/>
        <v/>
      </c>
      <c r="I82" s="21" t="str">
        <f t="shared" si="20"/>
        <v/>
      </c>
      <c r="J82" s="19" t="str">
        <f t="shared" si="21"/>
        <v/>
      </c>
      <c r="K82" s="19" t="str">
        <f t="shared" si="22"/>
        <v/>
      </c>
      <c r="L82" s="19" t="str">
        <f t="shared" si="23"/>
        <v/>
      </c>
    </row>
    <row r="83" spans="1:12" x14ac:dyDescent="0.3">
      <c r="A83" s="17"/>
      <c r="B83" s="18"/>
      <c r="C83" s="19" t="str">
        <f t="shared" si="16"/>
        <v/>
      </c>
      <c r="D83" s="20"/>
      <c r="E83" s="20"/>
      <c r="F83" s="21" t="str">
        <f t="shared" si="17"/>
        <v/>
      </c>
      <c r="G83" s="21" t="str">
        <f t="shared" si="18"/>
        <v/>
      </c>
      <c r="H83" s="19" t="str">
        <f t="shared" si="19"/>
        <v/>
      </c>
      <c r="I83" s="21" t="str">
        <f t="shared" si="20"/>
        <v/>
      </c>
      <c r="J83" s="19" t="str">
        <f t="shared" si="21"/>
        <v/>
      </c>
      <c r="K83" s="19" t="str">
        <f t="shared" si="22"/>
        <v/>
      </c>
      <c r="L83" s="19" t="str">
        <f t="shared" si="23"/>
        <v/>
      </c>
    </row>
    <row r="84" spans="1:12" x14ac:dyDescent="0.3">
      <c r="A84" s="17"/>
      <c r="B84" s="18"/>
      <c r="C84" s="19" t="str">
        <f t="shared" si="16"/>
        <v/>
      </c>
      <c r="D84" s="20"/>
      <c r="E84" s="20"/>
      <c r="F84" s="21" t="str">
        <f t="shared" si="17"/>
        <v/>
      </c>
      <c r="G84" s="21" t="str">
        <f t="shared" si="18"/>
        <v/>
      </c>
      <c r="H84" s="19" t="str">
        <f t="shared" si="19"/>
        <v/>
      </c>
      <c r="I84" s="21" t="str">
        <f t="shared" si="20"/>
        <v/>
      </c>
      <c r="J84" s="19" t="str">
        <f t="shared" si="21"/>
        <v/>
      </c>
      <c r="K84" s="19" t="str">
        <f t="shared" si="22"/>
        <v/>
      </c>
      <c r="L84" s="19" t="str">
        <f t="shared" si="23"/>
        <v/>
      </c>
    </row>
    <row r="85" spans="1:12" x14ac:dyDescent="0.3">
      <c r="A85" s="17"/>
      <c r="B85" s="18"/>
      <c r="C85" s="19" t="str">
        <f t="shared" si="16"/>
        <v/>
      </c>
      <c r="D85" s="20"/>
      <c r="E85" s="20"/>
      <c r="F85" s="21" t="str">
        <f t="shared" si="17"/>
        <v/>
      </c>
      <c r="G85" s="21" t="str">
        <f t="shared" si="18"/>
        <v/>
      </c>
      <c r="H85" s="19" t="str">
        <f t="shared" si="19"/>
        <v/>
      </c>
      <c r="I85" s="21" t="str">
        <f t="shared" si="20"/>
        <v/>
      </c>
      <c r="J85" s="19" t="str">
        <f t="shared" si="21"/>
        <v/>
      </c>
      <c r="K85" s="19" t="str">
        <f t="shared" si="22"/>
        <v/>
      </c>
      <c r="L85" s="19" t="str">
        <f t="shared" si="23"/>
        <v/>
      </c>
    </row>
    <row r="86" spans="1:12" x14ac:dyDescent="0.3">
      <c r="A86" s="17"/>
      <c r="B86" s="18"/>
      <c r="C86" s="19" t="str">
        <f t="shared" si="16"/>
        <v/>
      </c>
      <c r="D86" s="20"/>
      <c r="E86" s="20"/>
      <c r="F86" s="21" t="str">
        <f t="shared" si="17"/>
        <v/>
      </c>
      <c r="G86" s="21" t="str">
        <f t="shared" si="18"/>
        <v/>
      </c>
      <c r="H86" s="19" t="str">
        <f t="shared" si="19"/>
        <v/>
      </c>
      <c r="I86" s="21" t="str">
        <f t="shared" si="20"/>
        <v/>
      </c>
      <c r="J86" s="19" t="str">
        <f t="shared" si="21"/>
        <v/>
      </c>
      <c r="K86" s="19" t="str">
        <f t="shared" si="22"/>
        <v/>
      </c>
      <c r="L86" s="19" t="str">
        <f t="shared" si="23"/>
        <v/>
      </c>
    </row>
    <row r="87" spans="1:12" x14ac:dyDescent="0.3">
      <c r="A87" s="17"/>
      <c r="B87" s="18"/>
      <c r="C87" s="19" t="str">
        <f t="shared" si="16"/>
        <v/>
      </c>
      <c r="D87" s="20"/>
      <c r="E87" s="20"/>
      <c r="F87" s="21" t="str">
        <f t="shared" si="17"/>
        <v/>
      </c>
      <c r="G87" s="21" t="str">
        <f t="shared" si="18"/>
        <v/>
      </c>
      <c r="H87" s="19" t="str">
        <f t="shared" si="19"/>
        <v/>
      </c>
      <c r="I87" s="21" t="str">
        <f t="shared" si="20"/>
        <v/>
      </c>
      <c r="J87" s="19" t="str">
        <f t="shared" si="21"/>
        <v/>
      </c>
      <c r="K87" s="19" t="str">
        <f t="shared" si="22"/>
        <v/>
      </c>
      <c r="L87" s="19" t="str">
        <f t="shared" si="23"/>
        <v/>
      </c>
    </row>
    <row r="88" spans="1:12" x14ac:dyDescent="0.3">
      <c r="A88" s="17"/>
      <c r="B88" s="18"/>
      <c r="C88" s="19" t="str">
        <f t="shared" si="16"/>
        <v/>
      </c>
      <c r="D88" s="20"/>
      <c r="E88" s="20"/>
      <c r="F88" s="21" t="str">
        <f t="shared" si="17"/>
        <v/>
      </c>
      <c r="G88" s="21" t="str">
        <f t="shared" si="18"/>
        <v/>
      </c>
      <c r="H88" s="19" t="str">
        <f t="shared" si="19"/>
        <v/>
      </c>
      <c r="I88" s="21" t="str">
        <f t="shared" si="20"/>
        <v/>
      </c>
      <c r="J88" s="19" t="str">
        <f t="shared" si="21"/>
        <v/>
      </c>
      <c r="K88" s="19" t="str">
        <f t="shared" si="22"/>
        <v/>
      </c>
      <c r="L88" s="19" t="str">
        <f t="shared" si="23"/>
        <v/>
      </c>
    </row>
    <row r="89" spans="1:12" x14ac:dyDescent="0.3">
      <c r="A89" s="17"/>
      <c r="B89" s="18"/>
      <c r="C89" s="19" t="str">
        <f t="shared" si="16"/>
        <v/>
      </c>
      <c r="D89" s="20"/>
      <c r="E89" s="20"/>
      <c r="F89" s="21" t="str">
        <f t="shared" si="17"/>
        <v/>
      </c>
      <c r="G89" s="21" t="str">
        <f t="shared" si="18"/>
        <v/>
      </c>
      <c r="H89" s="19" t="str">
        <f t="shared" si="19"/>
        <v/>
      </c>
      <c r="I89" s="21" t="str">
        <f t="shared" si="20"/>
        <v/>
      </c>
      <c r="J89" s="19" t="str">
        <f t="shared" si="21"/>
        <v/>
      </c>
      <c r="K89" s="19" t="str">
        <f t="shared" si="22"/>
        <v/>
      </c>
      <c r="L89" s="19" t="str">
        <f t="shared" si="23"/>
        <v/>
      </c>
    </row>
    <row r="90" spans="1:12" x14ac:dyDescent="0.3">
      <c r="A90" s="17"/>
      <c r="B90" s="18"/>
      <c r="C90" s="19" t="str">
        <f t="shared" si="16"/>
        <v/>
      </c>
      <c r="D90" s="20"/>
      <c r="E90" s="20"/>
      <c r="F90" s="21" t="str">
        <f t="shared" si="17"/>
        <v/>
      </c>
      <c r="G90" s="21" t="str">
        <f t="shared" si="18"/>
        <v/>
      </c>
      <c r="H90" s="19" t="str">
        <f t="shared" si="19"/>
        <v/>
      </c>
      <c r="I90" s="21" t="str">
        <f t="shared" si="20"/>
        <v/>
      </c>
      <c r="J90" s="19" t="str">
        <f t="shared" si="21"/>
        <v/>
      </c>
      <c r="K90" s="19" t="str">
        <f t="shared" si="22"/>
        <v/>
      </c>
      <c r="L90" s="19" t="str">
        <f t="shared" si="23"/>
        <v/>
      </c>
    </row>
    <row r="91" spans="1:12" x14ac:dyDescent="0.3">
      <c r="A91" s="17"/>
      <c r="B91" s="18"/>
      <c r="C91" s="19" t="str">
        <f t="shared" si="16"/>
        <v/>
      </c>
      <c r="D91" s="20"/>
      <c r="E91" s="20"/>
      <c r="F91" s="21" t="str">
        <f t="shared" si="17"/>
        <v/>
      </c>
      <c r="G91" s="21" t="str">
        <f t="shared" si="18"/>
        <v/>
      </c>
      <c r="H91" s="19" t="str">
        <f t="shared" si="19"/>
        <v/>
      </c>
      <c r="I91" s="21" t="str">
        <f t="shared" si="20"/>
        <v/>
      </c>
      <c r="J91" s="19" t="str">
        <f t="shared" si="21"/>
        <v/>
      </c>
      <c r="K91" s="19" t="str">
        <f t="shared" si="22"/>
        <v/>
      </c>
      <c r="L91" s="19" t="str">
        <f t="shared" si="23"/>
        <v/>
      </c>
    </row>
    <row r="92" spans="1:12" x14ac:dyDescent="0.3">
      <c r="A92" s="17"/>
      <c r="B92" s="18"/>
      <c r="C92" s="19" t="str">
        <f t="shared" si="16"/>
        <v/>
      </c>
      <c r="D92" s="20"/>
      <c r="E92" s="20"/>
      <c r="F92" s="21" t="str">
        <f t="shared" si="17"/>
        <v/>
      </c>
      <c r="G92" s="21" t="str">
        <f t="shared" si="18"/>
        <v/>
      </c>
      <c r="H92" s="19" t="str">
        <f t="shared" si="19"/>
        <v/>
      </c>
      <c r="I92" s="21" t="str">
        <f t="shared" si="20"/>
        <v/>
      </c>
      <c r="J92" s="19" t="str">
        <f t="shared" si="21"/>
        <v/>
      </c>
      <c r="K92" s="19" t="str">
        <f t="shared" si="22"/>
        <v/>
      </c>
      <c r="L92" s="19" t="str">
        <f t="shared" si="23"/>
        <v/>
      </c>
    </row>
    <row r="93" spans="1:12" x14ac:dyDescent="0.3">
      <c r="A93" s="17"/>
      <c r="B93" s="18"/>
      <c r="C93" s="19" t="str">
        <f t="shared" si="16"/>
        <v/>
      </c>
      <c r="D93" s="20"/>
      <c r="E93" s="20"/>
      <c r="F93" s="21" t="str">
        <f t="shared" si="17"/>
        <v/>
      </c>
      <c r="G93" s="21" t="str">
        <f t="shared" si="18"/>
        <v/>
      </c>
      <c r="H93" s="19" t="str">
        <f t="shared" si="19"/>
        <v/>
      </c>
      <c r="I93" s="21" t="str">
        <f t="shared" si="20"/>
        <v/>
      </c>
      <c r="J93" s="19" t="str">
        <f t="shared" si="21"/>
        <v/>
      </c>
      <c r="K93" s="19" t="str">
        <f t="shared" si="22"/>
        <v/>
      </c>
      <c r="L93" s="19" t="str">
        <f t="shared" si="23"/>
        <v/>
      </c>
    </row>
    <row r="94" spans="1:12" x14ac:dyDescent="0.3">
      <c r="A94" s="17"/>
      <c r="B94" s="18"/>
      <c r="C94" s="19" t="str">
        <f t="shared" si="16"/>
        <v/>
      </c>
      <c r="D94" s="20"/>
      <c r="E94" s="20"/>
      <c r="F94" s="21" t="str">
        <f t="shared" si="17"/>
        <v/>
      </c>
      <c r="G94" s="21" t="str">
        <f t="shared" si="18"/>
        <v/>
      </c>
      <c r="H94" s="19" t="str">
        <f t="shared" si="19"/>
        <v/>
      </c>
      <c r="I94" s="21" t="str">
        <f t="shared" si="20"/>
        <v/>
      </c>
      <c r="J94" s="19" t="str">
        <f t="shared" si="21"/>
        <v/>
      </c>
      <c r="K94" s="19" t="str">
        <f t="shared" si="22"/>
        <v/>
      </c>
      <c r="L94" s="19" t="str">
        <f t="shared" si="23"/>
        <v/>
      </c>
    </row>
    <row r="95" spans="1:12" x14ac:dyDescent="0.3">
      <c r="A95" s="17"/>
      <c r="B95" s="18"/>
      <c r="C95" s="19" t="str">
        <f t="shared" si="16"/>
        <v/>
      </c>
      <c r="D95" s="20"/>
      <c r="E95" s="20"/>
      <c r="F95" s="21" t="str">
        <f t="shared" si="17"/>
        <v/>
      </c>
      <c r="G95" s="21" t="str">
        <f t="shared" si="18"/>
        <v/>
      </c>
      <c r="H95" s="19" t="str">
        <f t="shared" si="19"/>
        <v/>
      </c>
      <c r="I95" s="21" t="str">
        <f t="shared" si="20"/>
        <v/>
      </c>
      <c r="J95" s="19" t="str">
        <f t="shared" si="21"/>
        <v/>
      </c>
      <c r="K95" s="19" t="str">
        <f t="shared" si="22"/>
        <v/>
      </c>
      <c r="L95" s="19" t="str">
        <f t="shared" si="23"/>
        <v/>
      </c>
    </row>
    <row r="96" spans="1:12" x14ac:dyDescent="0.3">
      <c r="A96" s="17"/>
      <c r="B96" s="18"/>
      <c r="C96" s="19" t="str">
        <f t="shared" si="16"/>
        <v/>
      </c>
      <c r="D96" s="20"/>
      <c r="E96" s="20"/>
      <c r="F96" s="21" t="str">
        <f t="shared" si="17"/>
        <v/>
      </c>
      <c r="G96" s="21" t="str">
        <f t="shared" si="18"/>
        <v/>
      </c>
      <c r="H96" s="19" t="str">
        <f t="shared" si="19"/>
        <v/>
      </c>
      <c r="I96" s="21" t="str">
        <f t="shared" si="20"/>
        <v/>
      </c>
      <c r="J96" s="19" t="str">
        <f t="shared" si="21"/>
        <v/>
      </c>
      <c r="K96" s="19" t="str">
        <f t="shared" si="22"/>
        <v/>
      </c>
      <c r="L96" s="19" t="str">
        <f t="shared" si="23"/>
        <v/>
      </c>
    </row>
    <row r="97" spans="1:12" x14ac:dyDescent="0.3">
      <c r="A97" s="17"/>
      <c r="B97" s="18"/>
      <c r="C97" s="19" t="str">
        <f t="shared" si="16"/>
        <v/>
      </c>
      <c r="D97" s="20"/>
      <c r="E97" s="20"/>
      <c r="F97" s="21" t="str">
        <f t="shared" si="17"/>
        <v/>
      </c>
      <c r="G97" s="21" t="str">
        <f t="shared" si="18"/>
        <v/>
      </c>
      <c r="H97" s="19" t="str">
        <f t="shared" si="19"/>
        <v/>
      </c>
      <c r="I97" s="21" t="str">
        <f t="shared" si="20"/>
        <v/>
      </c>
      <c r="J97" s="19" t="str">
        <f t="shared" si="21"/>
        <v/>
      </c>
      <c r="K97" s="19" t="str">
        <f t="shared" si="22"/>
        <v/>
      </c>
      <c r="L97" s="19" t="str">
        <f t="shared" si="23"/>
        <v/>
      </c>
    </row>
    <row r="98" spans="1:12" x14ac:dyDescent="0.3">
      <c r="A98" s="17"/>
      <c r="B98" s="18"/>
      <c r="C98" s="19" t="str">
        <f t="shared" si="16"/>
        <v/>
      </c>
      <c r="D98" s="20"/>
      <c r="E98" s="20"/>
      <c r="F98" s="21" t="str">
        <f t="shared" si="17"/>
        <v/>
      </c>
      <c r="G98" s="21" t="str">
        <f t="shared" si="18"/>
        <v/>
      </c>
      <c r="H98" s="19" t="str">
        <f t="shared" si="19"/>
        <v/>
      </c>
      <c r="I98" s="21" t="str">
        <f t="shared" si="20"/>
        <v/>
      </c>
      <c r="J98" s="19" t="str">
        <f t="shared" si="21"/>
        <v/>
      </c>
      <c r="K98" s="19" t="str">
        <f t="shared" si="22"/>
        <v/>
      </c>
      <c r="L98" s="19" t="str">
        <f t="shared" si="23"/>
        <v/>
      </c>
    </row>
    <row r="99" spans="1:12" x14ac:dyDescent="0.3">
      <c r="A99" s="17"/>
      <c r="B99" s="18"/>
      <c r="C99" s="19" t="str">
        <f t="shared" si="16"/>
        <v/>
      </c>
      <c r="D99" s="20"/>
      <c r="E99" s="20"/>
      <c r="F99" s="21" t="str">
        <f t="shared" si="17"/>
        <v/>
      </c>
      <c r="G99" s="21" t="str">
        <f t="shared" si="18"/>
        <v/>
      </c>
      <c r="H99" s="19" t="str">
        <f t="shared" si="19"/>
        <v/>
      </c>
      <c r="I99" s="21" t="str">
        <f t="shared" si="20"/>
        <v/>
      </c>
      <c r="J99" s="19" t="str">
        <f t="shared" si="21"/>
        <v/>
      </c>
      <c r="K99" s="19" t="str">
        <f t="shared" si="22"/>
        <v/>
      </c>
      <c r="L99" s="19" t="str">
        <f t="shared" si="23"/>
        <v/>
      </c>
    </row>
    <row r="100" spans="1:12" x14ac:dyDescent="0.3">
      <c r="A100" s="17"/>
      <c r="B100" s="18"/>
      <c r="C100" s="19" t="str">
        <f t="shared" si="16"/>
        <v/>
      </c>
      <c r="D100" s="20"/>
      <c r="E100" s="20"/>
      <c r="F100" s="21" t="str">
        <f t="shared" si="17"/>
        <v/>
      </c>
      <c r="G100" s="21" t="str">
        <f t="shared" si="18"/>
        <v/>
      </c>
      <c r="H100" s="19" t="str">
        <f t="shared" si="19"/>
        <v/>
      </c>
      <c r="I100" s="21" t="str">
        <f t="shared" si="20"/>
        <v/>
      </c>
      <c r="J100" s="19" t="str">
        <f t="shared" si="21"/>
        <v/>
      </c>
      <c r="K100" s="19" t="str">
        <f t="shared" si="22"/>
        <v/>
      </c>
      <c r="L100" s="19" t="str">
        <f t="shared" si="23"/>
        <v/>
      </c>
    </row>
    <row r="101" spans="1:12" x14ac:dyDescent="0.3">
      <c r="A101" s="17"/>
      <c r="B101" s="18"/>
      <c r="C101" s="19" t="str">
        <f t="shared" ref="C101:C132" si="24">IF($B101="","",IFERROR(INDEX(Etapa_Resp,MATCH($B101,Lista_Etapas,0)),"ETAPA NÃO CADASTRADA"))</f>
        <v/>
      </c>
      <c r="D101" s="20"/>
      <c r="E101" s="20"/>
      <c r="F101" s="21" t="str">
        <f t="shared" ref="F101:F132" si="25">IF($B101="","",IFERROR(INDEX(Etapa_SLA,MATCH($B101,Lista_Etapas,0)),""))</f>
        <v/>
      </c>
      <c r="G101" s="21" t="str">
        <f t="shared" ref="G101:G132" si="26">IF($D101="","",MAX(0,IF($E101="",DataRef-$D101,$E101-$D101)))</f>
        <v/>
      </c>
      <c r="H101" s="19" t="str">
        <f t="shared" ref="H101:H132" si="27">IF($G101="","",IF(OR($F101="",$F101=0),"NÃO APLICÁVEL",IF($G101&lt;=$F101,"SIM","NÃO")))</f>
        <v/>
      </c>
      <c r="I101" s="21" t="str">
        <f t="shared" ref="I101:I132" si="28">IF($G101="","",IF(OR($F101="",$F101=0),0,MAX($G101-$F101,0)))</f>
        <v/>
      </c>
      <c r="J101" s="19" t="str">
        <f t="shared" ref="J101:J132" si="29">IF($A101="","",IF($E101="","EM ANDAMENTO","CONCLUÍDA"))</f>
        <v/>
      </c>
      <c r="K101" s="19" t="str">
        <f t="shared" ref="K101:K132" si="30">IF($A101="","",IFERROR(INDEX(Proj_Unid,MATCH($A101,Proj_Cham,0)),"CHAMADO NÃO CADASTRADO"))</f>
        <v/>
      </c>
      <c r="L101" s="19" t="str">
        <f t="shared" ref="L101:L132" si="31">IF($A101="","",IFERROR(INDEX(Proj_Nome,MATCH($A101,Proj_Cham,0)),"CHAMADO NÃO CADASTRADO"))</f>
        <v/>
      </c>
    </row>
    <row r="102" spans="1:12" x14ac:dyDescent="0.3">
      <c r="A102" s="17"/>
      <c r="B102" s="18"/>
      <c r="C102" s="19" t="str">
        <f t="shared" si="24"/>
        <v/>
      </c>
      <c r="D102" s="20"/>
      <c r="E102" s="20"/>
      <c r="F102" s="21" t="str">
        <f t="shared" si="25"/>
        <v/>
      </c>
      <c r="G102" s="21" t="str">
        <f t="shared" si="26"/>
        <v/>
      </c>
      <c r="H102" s="19" t="str">
        <f t="shared" si="27"/>
        <v/>
      </c>
      <c r="I102" s="21" t="str">
        <f t="shared" si="28"/>
        <v/>
      </c>
      <c r="J102" s="19" t="str">
        <f t="shared" si="29"/>
        <v/>
      </c>
      <c r="K102" s="19" t="str">
        <f t="shared" si="30"/>
        <v/>
      </c>
      <c r="L102" s="19" t="str">
        <f t="shared" si="31"/>
        <v/>
      </c>
    </row>
    <row r="103" spans="1:12" x14ac:dyDescent="0.3">
      <c r="A103" s="17"/>
      <c r="B103" s="18"/>
      <c r="C103" s="19" t="str">
        <f t="shared" si="24"/>
        <v/>
      </c>
      <c r="D103" s="20"/>
      <c r="E103" s="20"/>
      <c r="F103" s="21" t="str">
        <f t="shared" si="25"/>
        <v/>
      </c>
      <c r="G103" s="21" t="str">
        <f t="shared" si="26"/>
        <v/>
      </c>
      <c r="H103" s="19" t="str">
        <f t="shared" si="27"/>
        <v/>
      </c>
      <c r="I103" s="21" t="str">
        <f t="shared" si="28"/>
        <v/>
      </c>
      <c r="J103" s="19" t="str">
        <f t="shared" si="29"/>
        <v/>
      </c>
      <c r="K103" s="19" t="str">
        <f t="shared" si="30"/>
        <v/>
      </c>
      <c r="L103" s="19" t="str">
        <f t="shared" si="31"/>
        <v/>
      </c>
    </row>
    <row r="104" spans="1:12" x14ac:dyDescent="0.3">
      <c r="A104" s="17"/>
      <c r="B104" s="18"/>
      <c r="C104" s="19" t="str">
        <f t="shared" si="24"/>
        <v/>
      </c>
      <c r="D104" s="20"/>
      <c r="E104" s="20"/>
      <c r="F104" s="21" t="str">
        <f t="shared" si="25"/>
        <v/>
      </c>
      <c r="G104" s="21" t="str">
        <f t="shared" si="26"/>
        <v/>
      </c>
      <c r="H104" s="19" t="str">
        <f t="shared" si="27"/>
        <v/>
      </c>
      <c r="I104" s="21" t="str">
        <f t="shared" si="28"/>
        <v/>
      </c>
      <c r="J104" s="19" t="str">
        <f t="shared" si="29"/>
        <v/>
      </c>
      <c r="K104" s="19" t="str">
        <f t="shared" si="30"/>
        <v/>
      </c>
      <c r="L104" s="19" t="str">
        <f t="shared" si="31"/>
        <v/>
      </c>
    </row>
    <row r="105" spans="1:12" x14ac:dyDescent="0.3">
      <c r="A105" s="17"/>
      <c r="B105" s="18"/>
      <c r="C105" s="19" t="str">
        <f t="shared" si="24"/>
        <v/>
      </c>
      <c r="D105" s="20"/>
      <c r="E105" s="20"/>
      <c r="F105" s="21" t="str">
        <f t="shared" si="25"/>
        <v/>
      </c>
      <c r="G105" s="21" t="str">
        <f t="shared" si="26"/>
        <v/>
      </c>
      <c r="H105" s="19" t="str">
        <f t="shared" si="27"/>
        <v/>
      </c>
      <c r="I105" s="21" t="str">
        <f t="shared" si="28"/>
        <v/>
      </c>
      <c r="J105" s="19" t="str">
        <f t="shared" si="29"/>
        <v/>
      </c>
      <c r="K105" s="19" t="str">
        <f t="shared" si="30"/>
        <v/>
      </c>
      <c r="L105" s="19" t="str">
        <f t="shared" si="31"/>
        <v/>
      </c>
    </row>
    <row r="106" spans="1:12" x14ac:dyDescent="0.3">
      <c r="A106" s="17"/>
      <c r="B106" s="18"/>
      <c r="C106" s="19" t="str">
        <f t="shared" si="24"/>
        <v/>
      </c>
      <c r="D106" s="20"/>
      <c r="E106" s="20"/>
      <c r="F106" s="21" t="str">
        <f t="shared" si="25"/>
        <v/>
      </c>
      <c r="G106" s="21" t="str">
        <f t="shared" si="26"/>
        <v/>
      </c>
      <c r="H106" s="19" t="str">
        <f t="shared" si="27"/>
        <v/>
      </c>
      <c r="I106" s="21" t="str">
        <f t="shared" si="28"/>
        <v/>
      </c>
      <c r="J106" s="19" t="str">
        <f t="shared" si="29"/>
        <v/>
      </c>
      <c r="K106" s="19" t="str">
        <f t="shared" si="30"/>
        <v/>
      </c>
      <c r="L106" s="19" t="str">
        <f t="shared" si="31"/>
        <v/>
      </c>
    </row>
    <row r="107" spans="1:12" x14ac:dyDescent="0.3">
      <c r="A107" s="17"/>
      <c r="B107" s="18"/>
      <c r="C107" s="19" t="str">
        <f t="shared" si="24"/>
        <v/>
      </c>
      <c r="D107" s="20"/>
      <c r="E107" s="20"/>
      <c r="F107" s="21" t="str">
        <f t="shared" si="25"/>
        <v/>
      </c>
      <c r="G107" s="21" t="str">
        <f t="shared" si="26"/>
        <v/>
      </c>
      <c r="H107" s="19" t="str">
        <f t="shared" si="27"/>
        <v/>
      </c>
      <c r="I107" s="21" t="str">
        <f t="shared" si="28"/>
        <v/>
      </c>
      <c r="J107" s="19" t="str">
        <f t="shared" si="29"/>
        <v/>
      </c>
      <c r="K107" s="19" t="str">
        <f t="shared" si="30"/>
        <v/>
      </c>
      <c r="L107" s="19" t="str">
        <f t="shared" si="31"/>
        <v/>
      </c>
    </row>
    <row r="108" spans="1:12" x14ac:dyDescent="0.3">
      <c r="A108" s="17"/>
      <c r="B108" s="18"/>
      <c r="C108" s="19" t="str">
        <f t="shared" si="24"/>
        <v/>
      </c>
      <c r="D108" s="20"/>
      <c r="E108" s="20"/>
      <c r="F108" s="21" t="str">
        <f t="shared" si="25"/>
        <v/>
      </c>
      <c r="G108" s="21" t="str">
        <f t="shared" si="26"/>
        <v/>
      </c>
      <c r="H108" s="19" t="str">
        <f t="shared" si="27"/>
        <v/>
      </c>
      <c r="I108" s="21" t="str">
        <f t="shared" si="28"/>
        <v/>
      </c>
      <c r="J108" s="19" t="str">
        <f t="shared" si="29"/>
        <v/>
      </c>
      <c r="K108" s="19" t="str">
        <f t="shared" si="30"/>
        <v/>
      </c>
      <c r="L108" s="19" t="str">
        <f t="shared" si="31"/>
        <v/>
      </c>
    </row>
    <row r="109" spans="1:12" x14ac:dyDescent="0.3">
      <c r="A109" s="17"/>
      <c r="B109" s="18"/>
      <c r="C109" s="19" t="str">
        <f t="shared" si="24"/>
        <v/>
      </c>
      <c r="D109" s="20"/>
      <c r="E109" s="20"/>
      <c r="F109" s="21" t="str">
        <f t="shared" si="25"/>
        <v/>
      </c>
      <c r="G109" s="21" t="str">
        <f t="shared" si="26"/>
        <v/>
      </c>
      <c r="H109" s="19" t="str">
        <f t="shared" si="27"/>
        <v/>
      </c>
      <c r="I109" s="21" t="str">
        <f t="shared" si="28"/>
        <v/>
      </c>
      <c r="J109" s="19" t="str">
        <f t="shared" si="29"/>
        <v/>
      </c>
      <c r="K109" s="19" t="str">
        <f t="shared" si="30"/>
        <v/>
      </c>
      <c r="L109" s="19" t="str">
        <f t="shared" si="31"/>
        <v/>
      </c>
    </row>
    <row r="110" spans="1:12" x14ac:dyDescent="0.3">
      <c r="A110" s="17"/>
      <c r="B110" s="18"/>
      <c r="C110" s="19" t="str">
        <f t="shared" si="24"/>
        <v/>
      </c>
      <c r="D110" s="20"/>
      <c r="E110" s="20"/>
      <c r="F110" s="21" t="str">
        <f t="shared" si="25"/>
        <v/>
      </c>
      <c r="G110" s="21" t="str">
        <f t="shared" si="26"/>
        <v/>
      </c>
      <c r="H110" s="19" t="str">
        <f t="shared" si="27"/>
        <v/>
      </c>
      <c r="I110" s="21" t="str">
        <f t="shared" si="28"/>
        <v/>
      </c>
      <c r="J110" s="19" t="str">
        <f t="shared" si="29"/>
        <v/>
      </c>
      <c r="K110" s="19" t="str">
        <f t="shared" si="30"/>
        <v/>
      </c>
      <c r="L110" s="19" t="str">
        <f t="shared" si="31"/>
        <v/>
      </c>
    </row>
    <row r="111" spans="1:12" x14ac:dyDescent="0.3">
      <c r="A111" s="17"/>
      <c r="B111" s="18"/>
      <c r="C111" s="19" t="str">
        <f t="shared" si="24"/>
        <v/>
      </c>
      <c r="D111" s="20"/>
      <c r="E111" s="20"/>
      <c r="F111" s="21" t="str">
        <f t="shared" si="25"/>
        <v/>
      </c>
      <c r="G111" s="21" t="str">
        <f t="shared" si="26"/>
        <v/>
      </c>
      <c r="H111" s="19" t="str">
        <f t="shared" si="27"/>
        <v/>
      </c>
      <c r="I111" s="21" t="str">
        <f t="shared" si="28"/>
        <v/>
      </c>
      <c r="J111" s="19" t="str">
        <f t="shared" si="29"/>
        <v/>
      </c>
      <c r="K111" s="19" t="str">
        <f t="shared" si="30"/>
        <v/>
      </c>
      <c r="L111" s="19" t="str">
        <f t="shared" si="31"/>
        <v/>
      </c>
    </row>
    <row r="112" spans="1:12" x14ac:dyDescent="0.3">
      <c r="A112" s="17"/>
      <c r="B112" s="18"/>
      <c r="C112" s="19" t="str">
        <f t="shared" si="24"/>
        <v/>
      </c>
      <c r="D112" s="20"/>
      <c r="E112" s="20"/>
      <c r="F112" s="21" t="str">
        <f t="shared" si="25"/>
        <v/>
      </c>
      <c r="G112" s="21" t="str">
        <f t="shared" si="26"/>
        <v/>
      </c>
      <c r="H112" s="19" t="str">
        <f t="shared" si="27"/>
        <v/>
      </c>
      <c r="I112" s="21" t="str">
        <f t="shared" si="28"/>
        <v/>
      </c>
      <c r="J112" s="19" t="str">
        <f t="shared" si="29"/>
        <v/>
      </c>
      <c r="K112" s="19" t="str">
        <f t="shared" si="30"/>
        <v/>
      </c>
      <c r="L112" s="19" t="str">
        <f t="shared" si="31"/>
        <v/>
      </c>
    </row>
    <row r="113" spans="1:12" x14ac:dyDescent="0.3">
      <c r="A113" s="17"/>
      <c r="B113" s="18"/>
      <c r="C113" s="19" t="str">
        <f t="shared" si="24"/>
        <v/>
      </c>
      <c r="D113" s="20"/>
      <c r="E113" s="20"/>
      <c r="F113" s="21" t="str">
        <f t="shared" si="25"/>
        <v/>
      </c>
      <c r="G113" s="21" t="str">
        <f t="shared" si="26"/>
        <v/>
      </c>
      <c r="H113" s="19" t="str">
        <f t="shared" si="27"/>
        <v/>
      </c>
      <c r="I113" s="21" t="str">
        <f t="shared" si="28"/>
        <v/>
      </c>
      <c r="J113" s="19" t="str">
        <f t="shared" si="29"/>
        <v/>
      </c>
      <c r="K113" s="19" t="str">
        <f t="shared" si="30"/>
        <v/>
      </c>
      <c r="L113" s="19" t="str">
        <f t="shared" si="31"/>
        <v/>
      </c>
    </row>
    <row r="114" spans="1:12" x14ac:dyDescent="0.3">
      <c r="A114" s="17"/>
      <c r="B114" s="18"/>
      <c r="C114" s="19" t="str">
        <f t="shared" si="24"/>
        <v/>
      </c>
      <c r="D114" s="20"/>
      <c r="E114" s="20"/>
      <c r="F114" s="21" t="str">
        <f t="shared" si="25"/>
        <v/>
      </c>
      <c r="G114" s="21" t="str">
        <f t="shared" si="26"/>
        <v/>
      </c>
      <c r="H114" s="19" t="str">
        <f t="shared" si="27"/>
        <v/>
      </c>
      <c r="I114" s="21" t="str">
        <f t="shared" si="28"/>
        <v/>
      </c>
      <c r="J114" s="19" t="str">
        <f t="shared" si="29"/>
        <v/>
      </c>
      <c r="K114" s="19" t="str">
        <f t="shared" si="30"/>
        <v/>
      </c>
      <c r="L114" s="19" t="str">
        <f t="shared" si="31"/>
        <v/>
      </c>
    </row>
    <row r="115" spans="1:12" x14ac:dyDescent="0.3">
      <c r="A115" s="17"/>
      <c r="B115" s="18"/>
      <c r="C115" s="19" t="str">
        <f t="shared" si="24"/>
        <v/>
      </c>
      <c r="D115" s="20"/>
      <c r="E115" s="20"/>
      <c r="F115" s="21" t="str">
        <f t="shared" si="25"/>
        <v/>
      </c>
      <c r="G115" s="21" t="str">
        <f t="shared" si="26"/>
        <v/>
      </c>
      <c r="H115" s="19" t="str">
        <f t="shared" si="27"/>
        <v/>
      </c>
      <c r="I115" s="21" t="str">
        <f t="shared" si="28"/>
        <v/>
      </c>
      <c r="J115" s="19" t="str">
        <f t="shared" si="29"/>
        <v/>
      </c>
      <c r="K115" s="19" t="str">
        <f t="shared" si="30"/>
        <v/>
      </c>
      <c r="L115" s="19" t="str">
        <f t="shared" si="31"/>
        <v/>
      </c>
    </row>
    <row r="116" spans="1:12" x14ac:dyDescent="0.3">
      <c r="A116" s="17"/>
      <c r="B116" s="18"/>
      <c r="C116" s="19" t="str">
        <f t="shared" si="24"/>
        <v/>
      </c>
      <c r="D116" s="20"/>
      <c r="E116" s="20"/>
      <c r="F116" s="21" t="str">
        <f t="shared" si="25"/>
        <v/>
      </c>
      <c r="G116" s="21" t="str">
        <f t="shared" si="26"/>
        <v/>
      </c>
      <c r="H116" s="19" t="str">
        <f t="shared" si="27"/>
        <v/>
      </c>
      <c r="I116" s="21" t="str">
        <f t="shared" si="28"/>
        <v/>
      </c>
      <c r="J116" s="19" t="str">
        <f t="shared" si="29"/>
        <v/>
      </c>
      <c r="K116" s="19" t="str">
        <f t="shared" si="30"/>
        <v/>
      </c>
      <c r="L116" s="19" t="str">
        <f t="shared" si="31"/>
        <v/>
      </c>
    </row>
    <row r="117" spans="1:12" x14ac:dyDescent="0.3">
      <c r="A117" s="17"/>
      <c r="B117" s="18"/>
      <c r="C117" s="19" t="str">
        <f t="shared" si="24"/>
        <v/>
      </c>
      <c r="D117" s="20"/>
      <c r="E117" s="20"/>
      <c r="F117" s="21" t="str">
        <f t="shared" si="25"/>
        <v/>
      </c>
      <c r="G117" s="21" t="str">
        <f t="shared" si="26"/>
        <v/>
      </c>
      <c r="H117" s="19" t="str">
        <f t="shared" si="27"/>
        <v/>
      </c>
      <c r="I117" s="21" t="str">
        <f t="shared" si="28"/>
        <v/>
      </c>
      <c r="J117" s="19" t="str">
        <f t="shared" si="29"/>
        <v/>
      </c>
      <c r="K117" s="19" t="str">
        <f t="shared" si="30"/>
        <v/>
      </c>
      <c r="L117" s="19" t="str">
        <f t="shared" si="31"/>
        <v/>
      </c>
    </row>
    <row r="118" spans="1:12" x14ac:dyDescent="0.3">
      <c r="A118" s="17"/>
      <c r="B118" s="18"/>
      <c r="C118" s="19" t="str">
        <f t="shared" si="24"/>
        <v/>
      </c>
      <c r="D118" s="20"/>
      <c r="E118" s="20"/>
      <c r="F118" s="21" t="str">
        <f t="shared" si="25"/>
        <v/>
      </c>
      <c r="G118" s="21" t="str">
        <f t="shared" si="26"/>
        <v/>
      </c>
      <c r="H118" s="19" t="str">
        <f t="shared" si="27"/>
        <v/>
      </c>
      <c r="I118" s="21" t="str">
        <f t="shared" si="28"/>
        <v/>
      </c>
      <c r="J118" s="19" t="str">
        <f t="shared" si="29"/>
        <v/>
      </c>
      <c r="K118" s="19" t="str">
        <f t="shared" si="30"/>
        <v/>
      </c>
      <c r="L118" s="19" t="str">
        <f t="shared" si="31"/>
        <v/>
      </c>
    </row>
    <row r="119" spans="1:12" x14ac:dyDescent="0.3">
      <c r="A119" s="17"/>
      <c r="B119" s="18"/>
      <c r="C119" s="19" t="str">
        <f t="shared" si="24"/>
        <v/>
      </c>
      <c r="D119" s="20"/>
      <c r="E119" s="20"/>
      <c r="F119" s="21" t="str">
        <f t="shared" si="25"/>
        <v/>
      </c>
      <c r="G119" s="21" t="str">
        <f t="shared" si="26"/>
        <v/>
      </c>
      <c r="H119" s="19" t="str">
        <f t="shared" si="27"/>
        <v/>
      </c>
      <c r="I119" s="21" t="str">
        <f t="shared" si="28"/>
        <v/>
      </c>
      <c r="J119" s="19" t="str">
        <f t="shared" si="29"/>
        <v/>
      </c>
      <c r="K119" s="19" t="str">
        <f t="shared" si="30"/>
        <v/>
      </c>
      <c r="L119" s="19" t="str">
        <f t="shared" si="31"/>
        <v/>
      </c>
    </row>
    <row r="120" spans="1:12" x14ac:dyDescent="0.3">
      <c r="A120" s="17"/>
      <c r="B120" s="18"/>
      <c r="C120" s="19" t="str">
        <f t="shared" si="24"/>
        <v/>
      </c>
      <c r="D120" s="20"/>
      <c r="E120" s="20"/>
      <c r="F120" s="21" t="str">
        <f t="shared" si="25"/>
        <v/>
      </c>
      <c r="G120" s="21" t="str">
        <f t="shared" si="26"/>
        <v/>
      </c>
      <c r="H120" s="19" t="str">
        <f t="shared" si="27"/>
        <v/>
      </c>
      <c r="I120" s="21" t="str">
        <f t="shared" si="28"/>
        <v/>
      </c>
      <c r="J120" s="19" t="str">
        <f t="shared" si="29"/>
        <v/>
      </c>
      <c r="K120" s="19" t="str">
        <f t="shared" si="30"/>
        <v/>
      </c>
      <c r="L120" s="19" t="str">
        <f t="shared" si="31"/>
        <v/>
      </c>
    </row>
    <row r="121" spans="1:12" x14ac:dyDescent="0.3">
      <c r="A121" s="17"/>
      <c r="B121" s="18"/>
      <c r="C121" s="19" t="str">
        <f t="shared" si="24"/>
        <v/>
      </c>
      <c r="D121" s="20"/>
      <c r="E121" s="20"/>
      <c r="F121" s="21" t="str">
        <f t="shared" si="25"/>
        <v/>
      </c>
      <c r="G121" s="21" t="str">
        <f t="shared" si="26"/>
        <v/>
      </c>
      <c r="H121" s="19" t="str">
        <f t="shared" si="27"/>
        <v/>
      </c>
      <c r="I121" s="21" t="str">
        <f t="shared" si="28"/>
        <v/>
      </c>
      <c r="J121" s="19" t="str">
        <f t="shared" si="29"/>
        <v/>
      </c>
      <c r="K121" s="19" t="str">
        <f t="shared" si="30"/>
        <v/>
      </c>
      <c r="L121" s="19" t="str">
        <f t="shared" si="31"/>
        <v/>
      </c>
    </row>
    <row r="122" spans="1:12" x14ac:dyDescent="0.3">
      <c r="A122" s="17"/>
      <c r="B122" s="18"/>
      <c r="C122" s="19" t="str">
        <f t="shared" si="24"/>
        <v/>
      </c>
      <c r="D122" s="20"/>
      <c r="E122" s="20"/>
      <c r="F122" s="21" t="str">
        <f t="shared" si="25"/>
        <v/>
      </c>
      <c r="G122" s="21" t="str">
        <f t="shared" si="26"/>
        <v/>
      </c>
      <c r="H122" s="19" t="str">
        <f t="shared" si="27"/>
        <v/>
      </c>
      <c r="I122" s="21" t="str">
        <f t="shared" si="28"/>
        <v/>
      </c>
      <c r="J122" s="19" t="str">
        <f t="shared" si="29"/>
        <v/>
      </c>
      <c r="K122" s="19" t="str">
        <f t="shared" si="30"/>
        <v/>
      </c>
      <c r="L122" s="19" t="str">
        <f t="shared" si="31"/>
        <v/>
      </c>
    </row>
    <row r="123" spans="1:12" x14ac:dyDescent="0.3">
      <c r="A123" s="17"/>
      <c r="B123" s="18"/>
      <c r="C123" s="19" t="str">
        <f t="shared" si="24"/>
        <v/>
      </c>
      <c r="D123" s="20"/>
      <c r="E123" s="20"/>
      <c r="F123" s="21" t="str">
        <f t="shared" si="25"/>
        <v/>
      </c>
      <c r="G123" s="21" t="str">
        <f t="shared" si="26"/>
        <v/>
      </c>
      <c r="H123" s="19" t="str">
        <f t="shared" si="27"/>
        <v/>
      </c>
      <c r="I123" s="21" t="str">
        <f t="shared" si="28"/>
        <v/>
      </c>
      <c r="J123" s="19" t="str">
        <f t="shared" si="29"/>
        <v/>
      </c>
      <c r="K123" s="19" t="str">
        <f t="shared" si="30"/>
        <v/>
      </c>
      <c r="L123" s="19" t="str">
        <f t="shared" si="31"/>
        <v/>
      </c>
    </row>
    <row r="124" spans="1:12" x14ac:dyDescent="0.3">
      <c r="A124" s="17"/>
      <c r="B124" s="18"/>
      <c r="C124" s="19" t="str">
        <f t="shared" si="24"/>
        <v/>
      </c>
      <c r="D124" s="20"/>
      <c r="E124" s="20"/>
      <c r="F124" s="21" t="str">
        <f t="shared" si="25"/>
        <v/>
      </c>
      <c r="G124" s="21" t="str">
        <f t="shared" si="26"/>
        <v/>
      </c>
      <c r="H124" s="19" t="str">
        <f t="shared" si="27"/>
        <v/>
      </c>
      <c r="I124" s="21" t="str">
        <f t="shared" si="28"/>
        <v/>
      </c>
      <c r="J124" s="19" t="str">
        <f t="shared" si="29"/>
        <v/>
      </c>
      <c r="K124" s="19" t="str">
        <f t="shared" si="30"/>
        <v/>
      </c>
      <c r="L124" s="19" t="str">
        <f t="shared" si="31"/>
        <v/>
      </c>
    </row>
    <row r="125" spans="1:12" x14ac:dyDescent="0.3">
      <c r="A125" s="17"/>
      <c r="B125" s="18"/>
      <c r="C125" s="19" t="str">
        <f t="shared" si="24"/>
        <v/>
      </c>
      <c r="D125" s="20"/>
      <c r="E125" s="20"/>
      <c r="F125" s="21" t="str">
        <f t="shared" si="25"/>
        <v/>
      </c>
      <c r="G125" s="21" t="str">
        <f t="shared" si="26"/>
        <v/>
      </c>
      <c r="H125" s="19" t="str">
        <f t="shared" si="27"/>
        <v/>
      </c>
      <c r="I125" s="21" t="str">
        <f t="shared" si="28"/>
        <v/>
      </c>
      <c r="J125" s="19" t="str">
        <f t="shared" si="29"/>
        <v/>
      </c>
      <c r="K125" s="19" t="str">
        <f t="shared" si="30"/>
        <v/>
      </c>
      <c r="L125" s="19" t="str">
        <f t="shared" si="31"/>
        <v/>
      </c>
    </row>
    <row r="126" spans="1:12" x14ac:dyDescent="0.3">
      <c r="A126" s="17"/>
      <c r="B126" s="18"/>
      <c r="C126" s="19" t="str">
        <f t="shared" si="24"/>
        <v/>
      </c>
      <c r="D126" s="20"/>
      <c r="E126" s="20"/>
      <c r="F126" s="21" t="str">
        <f t="shared" si="25"/>
        <v/>
      </c>
      <c r="G126" s="21" t="str">
        <f t="shared" si="26"/>
        <v/>
      </c>
      <c r="H126" s="19" t="str">
        <f t="shared" si="27"/>
        <v/>
      </c>
      <c r="I126" s="21" t="str">
        <f t="shared" si="28"/>
        <v/>
      </c>
      <c r="J126" s="19" t="str">
        <f t="shared" si="29"/>
        <v/>
      </c>
      <c r="K126" s="19" t="str">
        <f t="shared" si="30"/>
        <v/>
      </c>
      <c r="L126" s="19" t="str">
        <f t="shared" si="31"/>
        <v/>
      </c>
    </row>
    <row r="127" spans="1:12" x14ac:dyDescent="0.3">
      <c r="A127" s="17"/>
      <c r="B127" s="18"/>
      <c r="C127" s="19" t="str">
        <f t="shared" si="24"/>
        <v/>
      </c>
      <c r="D127" s="20"/>
      <c r="E127" s="20"/>
      <c r="F127" s="21" t="str">
        <f t="shared" si="25"/>
        <v/>
      </c>
      <c r="G127" s="21" t="str">
        <f t="shared" si="26"/>
        <v/>
      </c>
      <c r="H127" s="19" t="str">
        <f t="shared" si="27"/>
        <v/>
      </c>
      <c r="I127" s="21" t="str">
        <f t="shared" si="28"/>
        <v/>
      </c>
      <c r="J127" s="19" t="str">
        <f t="shared" si="29"/>
        <v/>
      </c>
      <c r="K127" s="19" t="str">
        <f t="shared" si="30"/>
        <v/>
      </c>
      <c r="L127" s="19" t="str">
        <f t="shared" si="31"/>
        <v/>
      </c>
    </row>
    <row r="128" spans="1:12" x14ac:dyDescent="0.3">
      <c r="A128" s="17"/>
      <c r="B128" s="18"/>
      <c r="C128" s="19" t="str">
        <f t="shared" si="24"/>
        <v/>
      </c>
      <c r="D128" s="20"/>
      <c r="E128" s="20"/>
      <c r="F128" s="21" t="str">
        <f t="shared" si="25"/>
        <v/>
      </c>
      <c r="G128" s="21" t="str">
        <f t="shared" si="26"/>
        <v/>
      </c>
      <c r="H128" s="19" t="str">
        <f t="shared" si="27"/>
        <v/>
      </c>
      <c r="I128" s="21" t="str">
        <f t="shared" si="28"/>
        <v/>
      </c>
      <c r="J128" s="19" t="str">
        <f t="shared" si="29"/>
        <v/>
      </c>
      <c r="K128" s="19" t="str">
        <f t="shared" si="30"/>
        <v/>
      </c>
      <c r="L128" s="19" t="str">
        <f t="shared" si="31"/>
        <v/>
      </c>
    </row>
    <row r="129" spans="1:12" x14ac:dyDescent="0.3">
      <c r="A129" s="17"/>
      <c r="B129" s="18"/>
      <c r="C129" s="19" t="str">
        <f t="shared" si="24"/>
        <v/>
      </c>
      <c r="D129" s="20"/>
      <c r="E129" s="20"/>
      <c r="F129" s="21" t="str">
        <f t="shared" si="25"/>
        <v/>
      </c>
      <c r="G129" s="21" t="str">
        <f t="shared" si="26"/>
        <v/>
      </c>
      <c r="H129" s="19" t="str">
        <f t="shared" si="27"/>
        <v/>
      </c>
      <c r="I129" s="21" t="str">
        <f t="shared" si="28"/>
        <v/>
      </c>
      <c r="J129" s="19" t="str">
        <f t="shared" si="29"/>
        <v/>
      </c>
      <c r="K129" s="19" t="str">
        <f t="shared" si="30"/>
        <v/>
      </c>
      <c r="L129" s="19" t="str">
        <f t="shared" si="31"/>
        <v/>
      </c>
    </row>
    <row r="130" spans="1:12" x14ac:dyDescent="0.3">
      <c r="A130" s="17"/>
      <c r="B130" s="18"/>
      <c r="C130" s="19" t="str">
        <f t="shared" si="24"/>
        <v/>
      </c>
      <c r="D130" s="20"/>
      <c r="E130" s="20"/>
      <c r="F130" s="21" t="str">
        <f t="shared" si="25"/>
        <v/>
      </c>
      <c r="G130" s="21" t="str">
        <f t="shared" si="26"/>
        <v/>
      </c>
      <c r="H130" s="19" t="str">
        <f t="shared" si="27"/>
        <v/>
      </c>
      <c r="I130" s="21" t="str">
        <f t="shared" si="28"/>
        <v/>
      </c>
      <c r="J130" s="19" t="str">
        <f t="shared" si="29"/>
        <v/>
      </c>
      <c r="K130" s="19" t="str">
        <f t="shared" si="30"/>
        <v/>
      </c>
      <c r="L130" s="19" t="str">
        <f t="shared" si="31"/>
        <v/>
      </c>
    </row>
    <row r="131" spans="1:12" x14ac:dyDescent="0.3">
      <c r="A131" s="17"/>
      <c r="B131" s="18"/>
      <c r="C131" s="19" t="str">
        <f t="shared" si="24"/>
        <v/>
      </c>
      <c r="D131" s="20"/>
      <c r="E131" s="20"/>
      <c r="F131" s="21" t="str">
        <f t="shared" si="25"/>
        <v/>
      </c>
      <c r="G131" s="21" t="str">
        <f t="shared" si="26"/>
        <v/>
      </c>
      <c r="H131" s="19" t="str">
        <f t="shared" si="27"/>
        <v/>
      </c>
      <c r="I131" s="21" t="str">
        <f t="shared" si="28"/>
        <v/>
      </c>
      <c r="J131" s="19" t="str">
        <f t="shared" si="29"/>
        <v/>
      </c>
      <c r="K131" s="19" t="str">
        <f t="shared" si="30"/>
        <v/>
      </c>
      <c r="L131" s="19" t="str">
        <f t="shared" si="31"/>
        <v/>
      </c>
    </row>
    <row r="132" spans="1:12" x14ac:dyDescent="0.3">
      <c r="A132" s="17"/>
      <c r="B132" s="18"/>
      <c r="C132" s="19" t="str">
        <f t="shared" si="24"/>
        <v/>
      </c>
      <c r="D132" s="20"/>
      <c r="E132" s="20"/>
      <c r="F132" s="21" t="str">
        <f t="shared" si="25"/>
        <v/>
      </c>
      <c r="G132" s="21" t="str">
        <f t="shared" si="26"/>
        <v/>
      </c>
      <c r="H132" s="19" t="str">
        <f t="shared" si="27"/>
        <v/>
      </c>
      <c r="I132" s="21" t="str">
        <f t="shared" si="28"/>
        <v/>
      </c>
      <c r="J132" s="19" t="str">
        <f t="shared" si="29"/>
        <v/>
      </c>
      <c r="K132" s="19" t="str">
        <f t="shared" si="30"/>
        <v/>
      </c>
      <c r="L132" s="19" t="str">
        <f t="shared" si="31"/>
        <v/>
      </c>
    </row>
    <row r="133" spans="1:12" x14ac:dyDescent="0.3">
      <c r="A133" s="17"/>
      <c r="B133" s="18"/>
      <c r="C133" s="19" t="str">
        <f t="shared" ref="C133:C154" si="32">IF($B133="","",IFERROR(INDEX(Etapa_Resp,MATCH($B133,Lista_Etapas,0)),"ETAPA NÃO CADASTRADA"))</f>
        <v/>
      </c>
      <c r="D133" s="20"/>
      <c r="E133" s="20"/>
      <c r="F133" s="21" t="str">
        <f t="shared" ref="F133:F154" si="33">IF($B133="","",IFERROR(INDEX(Etapa_SLA,MATCH($B133,Lista_Etapas,0)),""))</f>
        <v/>
      </c>
      <c r="G133" s="21" t="str">
        <f t="shared" ref="G133:G154" si="34">IF($D133="","",MAX(0,IF($E133="",DataRef-$D133,$E133-$D133)))</f>
        <v/>
      </c>
      <c r="H133" s="19" t="str">
        <f t="shared" ref="H133:H154" si="35">IF($G133="","",IF(OR($F133="",$F133=0),"NÃO APLICÁVEL",IF($G133&lt;=$F133,"SIM","NÃO")))</f>
        <v/>
      </c>
      <c r="I133" s="21" t="str">
        <f t="shared" ref="I133:I154" si="36">IF($G133="","",IF(OR($F133="",$F133=0),0,MAX($G133-$F133,0)))</f>
        <v/>
      </c>
      <c r="J133" s="19" t="str">
        <f t="shared" ref="J133:J154" si="37">IF($A133="","",IF($E133="","EM ANDAMENTO","CONCLUÍDA"))</f>
        <v/>
      </c>
      <c r="K133" s="19" t="str">
        <f t="shared" ref="K133:K154" si="38">IF($A133="","",IFERROR(INDEX(Proj_Unid,MATCH($A133,Proj_Cham,0)),"CHAMADO NÃO CADASTRADO"))</f>
        <v/>
      </c>
      <c r="L133" s="19" t="str">
        <f t="shared" ref="L133:L154" si="39">IF($A133="","",IFERROR(INDEX(Proj_Nome,MATCH($A133,Proj_Cham,0)),"CHAMADO NÃO CADASTRADO"))</f>
        <v/>
      </c>
    </row>
    <row r="134" spans="1:12" x14ac:dyDescent="0.3">
      <c r="A134" s="17"/>
      <c r="B134" s="18"/>
      <c r="C134" s="19" t="str">
        <f t="shared" si="32"/>
        <v/>
      </c>
      <c r="D134" s="20"/>
      <c r="E134" s="20"/>
      <c r="F134" s="21" t="str">
        <f t="shared" si="33"/>
        <v/>
      </c>
      <c r="G134" s="21" t="str">
        <f t="shared" si="34"/>
        <v/>
      </c>
      <c r="H134" s="19" t="str">
        <f t="shared" si="35"/>
        <v/>
      </c>
      <c r="I134" s="21" t="str">
        <f t="shared" si="36"/>
        <v/>
      </c>
      <c r="J134" s="19" t="str">
        <f t="shared" si="37"/>
        <v/>
      </c>
      <c r="K134" s="19" t="str">
        <f t="shared" si="38"/>
        <v/>
      </c>
      <c r="L134" s="19" t="str">
        <f t="shared" si="39"/>
        <v/>
      </c>
    </row>
    <row r="135" spans="1:12" x14ac:dyDescent="0.3">
      <c r="A135" s="17"/>
      <c r="B135" s="18"/>
      <c r="C135" s="19" t="str">
        <f t="shared" si="32"/>
        <v/>
      </c>
      <c r="D135" s="20"/>
      <c r="E135" s="20"/>
      <c r="F135" s="21" t="str">
        <f t="shared" si="33"/>
        <v/>
      </c>
      <c r="G135" s="21" t="str">
        <f t="shared" si="34"/>
        <v/>
      </c>
      <c r="H135" s="19" t="str">
        <f t="shared" si="35"/>
        <v/>
      </c>
      <c r="I135" s="21" t="str">
        <f t="shared" si="36"/>
        <v/>
      </c>
      <c r="J135" s="19" t="str">
        <f t="shared" si="37"/>
        <v/>
      </c>
      <c r="K135" s="19" t="str">
        <f t="shared" si="38"/>
        <v/>
      </c>
      <c r="L135" s="19" t="str">
        <f t="shared" si="39"/>
        <v/>
      </c>
    </row>
    <row r="136" spans="1:12" x14ac:dyDescent="0.3">
      <c r="A136" s="17"/>
      <c r="B136" s="18"/>
      <c r="C136" s="19" t="str">
        <f t="shared" si="32"/>
        <v/>
      </c>
      <c r="D136" s="20"/>
      <c r="E136" s="20"/>
      <c r="F136" s="21" t="str">
        <f t="shared" si="33"/>
        <v/>
      </c>
      <c r="G136" s="21" t="str">
        <f t="shared" si="34"/>
        <v/>
      </c>
      <c r="H136" s="19" t="str">
        <f t="shared" si="35"/>
        <v/>
      </c>
      <c r="I136" s="21" t="str">
        <f t="shared" si="36"/>
        <v/>
      </c>
      <c r="J136" s="19" t="str">
        <f t="shared" si="37"/>
        <v/>
      </c>
      <c r="K136" s="19" t="str">
        <f t="shared" si="38"/>
        <v/>
      </c>
      <c r="L136" s="19" t="str">
        <f t="shared" si="39"/>
        <v/>
      </c>
    </row>
    <row r="137" spans="1:12" x14ac:dyDescent="0.3">
      <c r="A137" s="17"/>
      <c r="B137" s="18"/>
      <c r="C137" s="19" t="str">
        <f t="shared" si="32"/>
        <v/>
      </c>
      <c r="D137" s="20"/>
      <c r="E137" s="20"/>
      <c r="F137" s="21" t="str">
        <f t="shared" si="33"/>
        <v/>
      </c>
      <c r="G137" s="21" t="str">
        <f t="shared" si="34"/>
        <v/>
      </c>
      <c r="H137" s="19" t="str">
        <f t="shared" si="35"/>
        <v/>
      </c>
      <c r="I137" s="21" t="str">
        <f t="shared" si="36"/>
        <v/>
      </c>
      <c r="J137" s="19" t="str">
        <f t="shared" si="37"/>
        <v/>
      </c>
      <c r="K137" s="19" t="str">
        <f t="shared" si="38"/>
        <v/>
      </c>
      <c r="L137" s="19" t="str">
        <f t="shared" si="39"/>
        <v/>
      </c>
    </row>
    <row r="138" spans="1:12" x14ac:dyDescent="0.3">
      <c r="A138" s="17"/>
      <c r="B138" s="18"/>
      <c r="C138" s="19" t="str">
        <f t="shared" si="32"/>
        <v/>
      </c>
      <c r="D138" s="20"/>
      <c r="E138" s="20"/>
      <c r="F138" s="21" t="str">
        <f t="shared" si="33"/>
        <v/>
      </c>
      <c r="G138" s="21" t="str">
        <f t="shared" si="34"/>
        <v/>
      </c>
      <c r="H138" s="19" t="str">
        <f t="shared" si="35"/>
        <v/>
      </c>
      <c r="I138" s="21" t="str">
        <f t="shared" si="36"/>
        <v/>
      </c>
      <c r="J138" s="19" t="str">
        <f t="shared" si="37"/>
        <v/>
      </c>
      <c r="K138" s="19" t="str">
        <f t="shared" si="38"/>
        <v/>
      </c>
      <c r="L138" s="19" t="str">
        <f t="shared" si="39"/>
        <v/>
      </c>
    </row>
    <row r="139" spans="1:12" x14ac:dyDescent="0.3">
      <c r="A139" s="17"/>
      <c r="B139" s="18"/>
      <c r="C139" s="19" t="str">
        <f t="shared" si="32"/>
        <v/>
      </c>
      <c r="D139" s="20"/>
      <c r="E139" s="20"/>
      <c r="F139" s="21" t="str">
        <f t="shared" si="33"/>
        <v/>
      </c>
      <c r="G139" s="21" t="str">
        <f t="shared" si="34"/>
        <v/>
      </c>
      <c r="H139" s="19" t="str">
        <f t="shared" si="35"/>
        <v/>
      </c>
      <c r="I139" s="21" t="str">
        <f t="shared" si="36"/>
        <v/>
      </c>
      <c r="J139" s="19" t="str">
        <f t="shared" si="37"/>
        <v/>
      </c>
      <c r="K139" s="19" t="str">
        <f t="shared" si="38"/>
        <v/>
      </c>
      <c r="L139" s="19" t="str">
        <f t="shared" si="39"/>
        <v/>
      </c>
    </row>
    <row r="140" spans="1:12" x14ac:dyDescent="0.3">
      <c r="A140" s="17"/>
      <c r="B140" s="18"/>
      <c r="C140" s="19" t="str">
        <f t="shared" si="32"/>
        <v/>
      </c>
      <c r="D140" s="20"/>
      <c r="E140" s="20"/>
      <c r="F140" s="21" t="str">
        <f t="shared" si="33"/>
        <v/>
      </c>
      <c r="G140" s="21" t="str">
        <f t="shared" si="34"/>
        <v/>
      </c>
      <c r="H140" s="19" t="str">
        <f t="shared" si="35"/>
        <v/>
      </c>
      <c r="I140" s="21" t="str">
        <f t="shared" si="36"/>
        <v/>
      </c>
      <c r="J140" s="19" t="str">
        <f t="shared" si="37"/>
        <v/>
      </c>
      <c r="K140" s="19" t="str">
        <f t="shared" si="38"/>
        <v/>
      </c>
      <c r="L140" s="19" t="str">
        <f t="shared" si="39"/>
        <v/>
      </c>
    </row>
    <row r="141" spans="1:12" x14ac:dyDescent="0.3">
      <c r="A141" s="17"/>
      <c r="B141" s="18"/>
      <c r="C141" s="19" t="str">
        <f t="shared" si="32"/>
        <v/>
      </c>
      <c r="D141" s="20"/>
      <c r="E141" s="20"/>
      <c r="F141" s="21" t="str">
        <f t="shared" si="33"/>
        <v/>
      </c>
      <c r="G141" s="21" t="str">
        <f t="shared" si="34"/>
        <v/>
      </c>
      <c r="H141" s="19" t="str">
        <f t="shared" si="35"/>
        <v/>
      </c>
      <c r="I141" s="21" t="str">
        <f t="shared" si="36"/>
        <v/>
      </c>
      <c r="J141" s="19" t="str">
        <f t="shared" si="37"/>
        <v/>
      </c>
      <c r="K141" s="19" t="str">
        <f t="shared" si="38"/>
        <v/>
      </c>
      <c r="L141" s="19" t="str">
        <f t="shared" si="39"/>
        <v/>
      </c>
    </row>
    <row r="142" spans="1:12" x14ac:dyDescent="0.3">
      <c r="A142" s="17"/>
      <c r="B142" s="18"/>
      <c r="C142" s="19" t="str">
        <f t="shared" si="32"/>
        <v/>
      </c>
      <c r="D142" s="20"/>
      <c r="E142" s="20"/>
      <c r="F142" s="21" t="str">
        <f t="shared" si="33"/>
        <v/>
      </c>
      <c r="G142" s="21" t="str">
        <f t="shared" si="34"/>
        <v/>
      </c>
      <c r="H142" s="19" t="str">
        <f t="shared" si="35"/>
        <v/>
      </c>
      <c r="I142" s="21" t="str">
        <f t="shared" si="36"/>
        <v/>
      </c>
      <c r="J142" s="19" t="str">
        <f t="shared" si="37"/>
        <v/>
      </c>
      <c r="K142" s="19" t="str">
        <f t="shared" si="38"/>
        <v/>
      </c>
      <c r="L142" s="19" t="str">
        <f t="shared" si="39"/>
        <v/>
      </c>
    </row>
    <row r="143" spans="1:12" x14ac:dyDescent="0.3">
      <c r="A143" s="17"/>
      <c r="B143" s="18"/>
      <c r="C143" s="19" t="str">
        <f t="shared" si="32"/>
        <v/>
      </c>
      <c r="D143" s="20"/>
      <c r="E143" s="20"/>
      <c r="F143" s="21" t="str">
        <f t="shared" si="33"/>
        <v/>
      </c>
      <c r="G143" s="21" t="str">
        <f t="shared" si="34"/>
        <v/>
      </c>
      <c r="H143" s="19" t="str">
        <f t="shared" si="35"/>
        <v/>
      </c>
      <c r="I143" s="21" t="str">
        <f t="shared" si="36"/>
        <v/>
      </c>
      <c r="J143" s="19" t="str">
        <f t="shared" si="37"/>
        <v/>
      </c>
      <c r="K143" s="19" t="str">
        <f t="shared" si="38"/>
        <v/>
      </c>
      <c r="L143" s="19" t="str">
        <f t="shared" si="39"/>
        <v/>
      </c>
    </row>
    <row r="144" spans="1:12" x14ac:dyDescent="0.3">
      <c r="A144" s="17"/>
      <c r="B144" s="18"/>
      <c r="C144" s="19" t="str">
        <f t="shared" si="32"/>
        <v/>
      </c>
      <c r="D144" s="20"/>
      <c r="E144" s="20"/>
      <c r="F144" s="21" t="str">
        <f t="shared" si="33"/>
        <v/>
      </c>
      <c r="G144" s="21" t="str">
        <f t="shared" si="34"/>
        <v/>
      </c>
      <c r="H144" s="19" t="str">
        <f t="shared" si="35"/>
        <v/>
      </c>
      <c r="I144" s="21" t="str">
        <f t="shared" si="36"/>
        <v/>
      </c>
      <c r="J144" s="19" t="str">
        <f t="shared" si="37"/>
        <v/>
      </c>
      <c r="K144" s="19" t="str">
        <f t="shared" si="38"/>
        <v/>
      </c>
      <c r="L144" s="19" t="str">
        <f t="shared" si="39"/>
        <v/>
      </c>
    </row>
    <row r="145" spans="1:12" x14ac:dyDescent="0.3">
      <c r="A145" s="17"/>
      <c r="B145" s="18"/>
      <c r="C145" s="19" t="str">
        <f t="shared" si="32"/>
        <v/>
      </c>
      <c r="D145" s="20"/>
      <c r="E145" s="20"/>
      <c r="F145" s="21" t="str">
        <f t="shared" si="33"/>
        <v/>
      </c>
      <c r="G145" s="21" t="str">
        <f t="shared" si="34"/>
        <v/>
      </c>
      <c r="H145" s="19" t="str">
        <f t="shared" si="35"/>
        <v/>
      </c>
      <c r="I145" s="21" t="str">
        <f t="shared" si="36"/>
        <v/>
      </c>
      <c r="J145" s="19" t="str">
        <f t="shared" si="37"/>
        <v/>
      </c>
      <c r="K145" s="19" t="str">
        <f t="shared" si="38"/>
        <v/>
      </c>
      <c r="L145" s="19" t="str">
        <f t="shared" si="39"/>
        <v/>
      </c>
    </row>
    <row r="146" spans="1:12" x14ac:dyDescent="0.3">
      <c r="A146" s="17"/>
      <c r="B146" s="18"/>
      <c r="C146" s="19" t="str">
        <f t="shared" si="32"/>
        <v/>
      </c>
      <c r="D146" s="20"/>
      <c r="E146" s="20"/>
      <c r="F146" s="21" t="str">
        <f t="shared" si="33"/>
        <v/>
      </c>
      <c r="G146" s="21" t="str">
        <f t="shared" si="34"/>
        <v/>
      </c>
      <c r="H146" s="19" t="str">
        <f t="shared" si="35"/>
        <v/>
      </c>
      <c r="I146" s="21" t="str">
        <f t="shared" si="36"/>
        <v/>
      </c>
      <c r="J146" s="19" t="str">
        <f t="shared" si="37"/>
        <v/>
      </c>
      <c r="K146" s="19" t="str">
        <f t="shared" si="38"/>
        <v/>
      </c>
      <c r="L146" s="19" t="str">
        <f t="shared" si="39"/>
        <v/>
      </c>
    </row>
    <row r="147" spans="1:12" x14ac:dyDescent="0.3">
      <c r="A147" s="17"/>
      <c r="B147" s="18"/>
      <c r="C147" s="19" t="str">
        <f t="shared" si="32"/>
        <v/>
      </c>
      <c r="D147" s="20"/>
      <c r="E147" s="20"/>
      <c r="F147" s="21" t="str">
        <f t="shared" si="33"/>
        <v/>
      </c>
      <c r="G147" s="21" t="str">
        <f t="shared" si="34"/>
        <v/>
      </c>
      <c r="H147" s="19" t="str">
        <f t="shared" si="35"/>
        <v/>
      </c>
      <c r="I147" s="21" t="str">
        <f t="shared" si="36"/>
        <v/>
      </c>
      <c r="J147" s="19" t="str">
        <f t="shared" si="37"/>
        <v/>
      </c>
      <c r="K147" s="19" t="str">
        <f t="shared" si="38"/>
        <v/>
      </c>
      <c r="L147" s="19" t="str">
        <f t="shared" si="39"/>
        <v/>
      </c>
    </row>
    <row r="148" spans="1:12" x14ac:dyDescent="0.3">
      <c r="A148" s="17"/>
      <c r="B148" s="18"/>
      <c r="C148" s="19" t="str">
        <f t="shared" si="32"/>
        <v/>
      </c>
      <c r="D148" s="20"/>
      <c r="E148" s="20"/>
      <c r="F148" s="21" t="str">
        <f t="shared" si="33"/>
        <v/>
      </c>
      <c r="G148" s="21" t="str">
        <f t="shared" si="34"/>
        <v/>
      </c>
      <c r="H148" s="19" t="str">
        <f t="shared" si="35"/>
        <v/>
      </c>
      <c r="I148" s="21" t="str">
        <f t="shared" si="36"/>
        <v/>
      </c>
      <c r="J148" s="19" t="str">
        <f t="shared" si="37"/>
        <v/>
      </c>
      <c r="K148" s="19" t="str">
        <f t="shared" si="38"/>
        <v/>
      </c>
      <c r="L148" s="19" t="str">
        <f t="shared" si="39"/>
        <v/>
      </c>
    </row>
    <row r="149" spans="1:12" x14ac:dyDescent="0.3">
      <c r="A149" s="17"/>
      <c r="B149" s="18"/>
      <c r="C149" s="19" t="str">
        <f t="shared" si="32"/>
        <v/>
      </c>
      <c r="D149" s="20"/>
      <c r="E149" s="20"/>
      <c r="F149" s="21" t="str">
        <f t="shared" si="33"/>
        <v/>
      </c>
      <c r="G149" s="21" t="str">
        <f t="shared" si="34"/>
        <v/>
      </c>
      <c r="H149" s="19" t="str">
        <f t="shared" si="35"/>
        <v/>
      </c>
      <c r="I149" s="21" t="str">
        <f t="shared" si="36"/>
        <v/>
      </c>
      <c r="J149" s="19" t="str">
        <f t="shared" si="37"/>
        <v/>
      </c>
      <c r="K149" s="19" t="str">
        <f t="shared" si="38"/>
        <v/>
      </c>
      <c r="L149" s="19" t="str">
        <f t="shared" si="39"/>
        <v/>
      </c>
    </row>
    <row r="150" spans="1:12" x14ac:dyDescent="0.3">
      <c r="A150" s="17"/>
      <c r="B150" s="18"/>
      <c r="C150" s="19" t="str">
        <f t="shared" si="32"/>
        <v/>
      </c>
      <c r="D150" s="20"/>
      <c r="E150" s="20"/>
      <c r="F150" s="21" t="str">
        <f t="shared" si="33"/>
        <v/>
      </c>
      <c r="G150" s="21" t="str">
        <f t="shared" si="34"/>
        <v/>
      </c>
      <c r="H150" s="19" t="str">
        <f t="shared" si="35"/>
        <v/>
      </c>
      <c r="I150" s="21" t="str">
        <f t="shared" si="36"/>
        <v/>
      </c>
      <c r="J150" s="19" t="str">
        <f t="shared" si="37"/>
        <v/>
      </c>
      <c r="K150" s="19" t="str">
        <f t="shared" si="38"/>
        <v/>
      </c>
      <c r="L150" s="19" t="str">
        <f t="shared" si="39"/>
        <v/>
      </c>
    </row>
    <row r="151" spans="1:12" x14ac:dyDescent="0.3">
      <c r="A151" s="17"/>
      <c r="B151" s="18"/>
      <c r="C151" s="19" t="str">
        <f t="shared" si="32"/>
        <v/>
      </c>
      <c r="D151" s="20"/>
      <c r="E151" s="20"/>
      <c r="F151" s="21" t="str">
        <f t="shared" si="33"/>
        <v/>
      </c>
      <c r="G151" s="21" t="str">
        <f t="shared" si="34"/>
        <v/>
      </c>
      <c r="H151" s="19" t="str">
        <f t="shared" si="35"/>
        <v/>
      </c>
      <c r="I151" s="21" t="str">
        <f t="shared" si="36"/>
        <v/>
      </c>
      <c r="J151" s="19" t="str">
        <f t="shared" si="37"/>
        <v/>
      </c>
      <c r="K151" s="19" t="str">
        <f t="shared" si="38"/>
        <v/>
      </c>
      <c r="L151" s="19" t="str">
        <f t="shared" si="39"/>
        <v/>
      </c>
    </row>
    <row r="152" spans="1:12" x14ac:dyDescent="0.3">
      <c r="A152" s="17"/>
      <c r="B152" s="18"/>
      <c r="C152" s="19" t="str">
        <f t="shared" si="32"/>
        <v/>
      </c>
      <c r="D152" s="20"/>
      <c r="E152" s="20"/>
      <c r="F152" s="21" t="str">
        <f t="shared" si="33"/>
        <v/>
      </c>
      <c r="G152" s="21" t="str">
        <f t="shared" si="34"/>
        <v/>
      </c>
      <c r="H152" s="19" t="str">
        <f t="shared" si="35"/>
        <v/>
      </c>
      <c r="I152" s="21" t="str">
        <f t="shared" si="36"/>
        <v/>
      </c>
      <c r="J152" s="19" t="str">
        <f t="shared" si="37"/>
        <v/>
      </c>
      <c r="K152" s="19" t="str">
        <f t="shared" si="38"/>
        <v/>
      </c>
      <c r="L152" s="19" t="str">
        <f t="shared" si="39"/>
        <v/>
      </c>
    </row>
    <row r="153" spans="1:12" x14ac:dyDescent="0.3">
      <c r="A153" s="17"/>
      <c r="B153" s="18"/>
      <c r="C153" s="19" t="str">
        <f t="shared" si="32"/>
        <v/>
      </c>
      <c r="D153" s="20"/>
      <c r="E153" s="20"/>
      <c r="F153" s="21" t="str">
        <f t="shared" si="33"/>
        <v/>
      </c>
      <c r="G153" s="21" t="str">
        <f t="shared" si="34"/>
        <v/>
      </c>
      <c r="H153" s="19" t="str">
        <f t="shared" si="35"/>
        <v/>
      </c>
      <c r="I153" s="21" t="str">
        <f t="shared" si="36"/>
        <v/>
      </c>
      <c r="J153" s="19" t="str">
        <f t="shared" si="37"/>
        <v/>
      </c>
      <c r="K153" s="19" t="str">
        <f t="shared" si="38"/>
        <v/>
      </c>
      <c r="L153" s="19" t="str">
        <f t="shared" si="39"/>
        <v/>
      </c>
    </row>
    <row r="154" spans="1:12" x14ac:dyDescent="0.3">
      <c r="A154" s="17"/>
      <c r="B154" s="18"/>
      <c r="C154" s="19" t="str">
        <f t="shared" si="32"/>
        <v/>
      </c>
      <c r="D154" s="20"/>
      <c r="E154" s="20"/>
      <c r="F154" s="21" t="str">
        <f t="shared" si="33"/>
        <v/>
      </c>
      <c r="G154" s="21" t="str">
        <f t="shared" si="34"/>
        <v/>
      </c>
      <c r="H154" s="19" t="str">
        <f t="shared" si="35"/>
        <v/>
      </c>
      <c r="I154" s="21" t="str">
        <f t="shared" si="36"/>
        <v/>
      </c>
      <c r="J154" s="19" t="str">
        <f t="shared" si="37"/>
        <v/>
      </c>
      <c r="K154" s="19" t="str">
        <f t="shared" si="38"/>
        <v/>
      </c>
      <c r="L154" s="19" t="str">
        <f t="shared" si="39"/>
        <v/>
      </c>
    </row>
  </sheetData>
  <conditionalFormatting sqref="H5:H154">
    <cfRule type="expression" dxfId="3" priority="2">
      <formula>$H5="NÃO"</formula>
    </cfRule>
    <cfRule type="expression" dxfId="2" priority="3">
      <formula>$H5="SIM"</formula>
    </cfRule>
  </conditionalFormatting>
  <dataValidations count="2">
    <dataValidation type="list" allowBlank="1" showErrorMessage="1" errorTitle="Valor inválido" error="Selecione um valor da lista (aba 09_Cadastros)." sqref="A5:A154" xr:uid="{00000000-0002-0000-0700-000000000000}">
      <formula1>Proj_Cham</formula1>
      <formula2>0</formula2>
    </dataValidation>
    <dataValidation type="list" allowBlank="1" showErrorMessage="1" errorTitle="Valor inválido" error="Selecione um valor da lista (aba 09_Cadastros)." sqref="B5:B154" xr:uid="{00000000-0002-0000-0700-000001000000}">
      <formula1>Lista_Etapas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7F7F7F"/>
  </sheetPr>
  <dimension ref="A1:AA112"/>
  <sheetViews>
    <sheetView showGridLines="0" topLeftCell="A3" zoomScale="85" zoomScaleNormal="85" workbookViewId="0">
      <selection activeCell="I21" sqref="I21"/>
    </sheetView>
  </sheetViews>
  <sheetFormatPr defaultColWidth="8.6640625" defaultRowHeight="14.4" x14ac:dyDescent="0.3"/>
  <cols>
    <col min="1" max="1" width="34" customWidth="1"/>
    <col min="3" max="3" width="34" customWidth="1"/>
    <col min="5" max="5" width="34" customWidth="1"/>
    <col min="7" max="7" width="34" customWidth="1"/>
    <col min="9" max="9" width="34" customWidth="1"/>
    <col min="11" max="11" width="34" customWidth="1"/>
    <col min="13" max="13" width="34" customWidth="1"/>
    <col min="15" max="15" width="40" customWidth="1"/>
    <col min="16" max="16" width="24" customWidth="1"/>
    <col min="17" max="17" width="12" customWidth="1"/>
    <col min="19" max="19" width="30" customWidth="1"/>
    <col min="20" max="20" width="16" customWidth="1"/>
    <col min="22" max="22" width="18" customWidth="1"/>
    <col min="23" max="23" width="42" customWidth="1"/>
    <col min="24" max="24" width="16" customWidth="1"/>
    <col min="26" max="26" width="20" customWidth="1"/>
    <col min="27" max="27" width="62" customWidth="1"/>
  </cols>
  <sheetData>
    <row r="1" spans="1:27" ht="18" x14ac:dyDescent="0.35">
      <c r="A1" s="12" t="s">
        <v>266</v>
      </c>
    </row>
    <row r="2" spans="1:27" x14ac:dyDescent="0.3">
      <c r="A2" s="15" t="s">
        <v>267</v>
      </c>
    </row>
    <row r="4" spans="1:27" x14ac:dyDescent="0.3">
      <c r="A4" s="6" t="s">
        <v>268</v>
      </c>
      <c r="C4" s="6" t="s">
        <v>269</v>
      </c>
      <c r="E4" s="6" t="s">
        <v>270</v>
      </c>
      <c r="G4" s="6" t="s">
        <v>271</v>
      </c>
      <c r="I4" s="6" t="s">
        <v>272</v>
      </c>
      <c r="K4" s="6" t="s">
        <v>244</v>
      </c>
      <c r="M4" s="6" t="s">
        <v>243</v>
      </c>
      <c r="O4" s="6" t="s">
        <v>273</v>
      </c>
      <c r="P4" s="6" t="s">
        <v>274</v>
      </c>
      <c r="Q4" s="6" t="s">
        <v>275</v>
      </c>
      <c r="S4" s="25" t="s">
        <v>276</v>
      </c>
      <c r="T4" s="25" t="s">
        <v>277</v>
      </c>
      <c r="V4" s="6" t="s">
        <v>181</v>
      </c>
      <c r="W4" s="6" t="s">
        <v>210</v>
      </c>
      <c r="X4" s="6" t="s">
        <v>183</v>
      </c>
      <c r="Z4" s="6" t="s">
        <v>278</v>
      </c>
      <c r="AA4" s="6" t="s">
        <v>279</v>
      </c>
    </row>
    <row r="5" spans="1:27" x14ac:dyDescent="0.3">
      <c r="A5" s="26" t="s">
        <v>280</v>
      </c>
      <c r="C5" s="26" t="s">
        <v>281</v>
      </c>
      <c r="E5" s="26" t="s">
        <v>70</v>
      </c>
      <c r="G5" s="26" t="s">
        <v>248</v>
      </c>
      <c r="I5" s="26" t="s">
        <v>282</v>
      </c>
      <c r="K5" s="26" t="s">
        <v>249</v>
      </c>
      <c r="M5" s="26" t="s">
        <v>248</v>
      </c>
      <c r="O5" s="48" t="s">
        <v>88</v>
      </c>
      <c r="P5" s="48" t="s">
        <v>248</v>
      </c>
      <c r="Q5" s="49">
        <v>7</v>
      </c>
      <c r="S5" s="28" t="s">
        <v>283</v>
      </c>
      <c r="T5" s="29">
        <v>55</v>
      </c>
      <c r="V5" s="27">
        <v>54836</v>
      </c>
      <c r="W5" s="26" t="s">
        <v>284</v>
      </c>
      <c r="X5" s="26" t="s">
        <v>285</v>
      </c>
      <c r="Z5" s="48">
        <v>4</v>
      </c>
      <c r="AA5" s="48" t="s">
        <v>286</v>
      </c>
    </row>
    <row r="6" spans="1:27" x14ac:dyDescent="0.3">
      <c r="A6" s="26" t="s">
        <v>10</v>
      </c>
      <c r="C6" s="26" t="s">
        <v>63</v>
      </c>
      <c r="E6" s="26" t="s">
        <v>101</v>
      </c>
      <c r="G6" s="26" t="s">
        <v>287</v>
      </c>
      <c r="I6" s="26" t="s">
        <v>288</v>
      </c>
      <c r="K6" s="26" t="s">
        <v>289</v>
      </c>
      <c r="M6" s="26" t="s">
        <v>258</v>
      </c>
      <c r="O6" s="48" t="s">
        <v>129</v>
      </c>
      <c r="P6" s="48" t="s">
        <v>248</v>
      </c>
      <c r="Q6" s="49">
        <v>3</v>
      </c>
      <c r="S6" s="28" t="s">
        <v>290</v>
      </c>
      <c r="T6" s="30">
        <v>0.7</v>
      </c>
      <c r="V6" s="27">
        <v>54823</v>
      </c>
      <c r="W6" s="26" t="s">
        <v>291</v>
      </c>
      <c r="X6" s="26" t="s">
        <v>285</v>
      </c>
      <c r="Z6" s="48">
        <v>5</v>
      </c>
      <c r="AA6" s="48" t="s">
        <v>292</v>
      </c>
    </row>
    <row r="7" spans="1:27" x14ac:dyDescent="0.3">
      <c r="A7" s="26" t="s">
        <v>293</v>
      </c>
      <c r="C7" s="26" t="s">
        <v>119</v>
      </c>
      <c r="E7" s="26" t="s">
        <v>294</v>
      </c>
      <c r="G7" s="26" t="s">
        <v>192</v>
      </c>
      <c r="I7" s="26" t="s">
        <v>295</v>
      </c>
      <c r="K7" s="26" t="s">
        <v>296</v>
      </c>
      <c r="M7" s="26" t="s">
        <v>251</v>
      </c>
      <c r="O7" s="48" t="s">
        <v>120</v>
      </c>
      <c r="P7" s="48" t="s">
        <v>287</v>
      </c>
      <c r="Q7" s="49">
        <v>10</v>
      </c>
      <c r="S7" s="28" t="s">
        <v>297</v>
      </c>
      <c r="T7" s="30">
        <v>0.9</v>
      </c>
      <c r="V7" s="27">
        <v>54824</v>
      </c>
      <c r="W7" s="26" t="s">
        <v>298</v>
      </c>
      <c r="X7" s="26" t="s">
        <v>285</v>
      </c>
      <c r="Z7" s="48">
        <v>9</v>
      </c>
      <c r="AA7" s="48" t="s">
        <v>299</v>
      </c>
    </row>
    <row r="8" spans="1:27" x14ac:dyDescent="0.3">
      <c r="A8" s="26" t="s">
        <v>103</v>
      </c>
      <c r="C8" s="26" t="s">
        <v>127</v>
      </c>
      <c r="E8" s="26" t="s">
        <v>126</v>
      </c>
      <c r="G8" s="26" t="s">
        <v>300</v>
      </c>
      <c r="I8" s="26" t="s">
        <v>301</v>
      </c>
      <c r="K8" s="26" t="s">
        <v>302</v>
      </c>
      <c r="M8" s="26" t="s">
        <v>303</v>
      </c>
      <c r="O8" s="48" t="s">
        <v>66</v>
      </c>
      <c r="P8" s="48" t="s">
        <v>192</v>
      </c>
      <c r="Q8" s="49">
        <v>35</v>
      </c>
      <c r="S8" s="28" t="s">
        <v>304</v>
      </c>
      <c r="T8" s="31">
        <f ca="1">TODAY()</f>
        <v>46260</v>
      </c>
      <c r="V8" s="27">
        <v>63489</v>
      </c>
      <c r="W8" s="26" t="s">
        <v>305</v>
      </c>
      <c r="X8" s="26" t="s">
        <v>285</v>
      </c>
      <c r="Z8" s="48">
        <v>10</v>
      </c>
      <c r="AA8" s="48" t="s">
        <v>306</v>
      </c>
    </row>
    <row r="9" spans="1:27" x14ac:dyDescent="0.3">
      <c r="A9" s="26" t="s">
        <v>307</v>
      </c>
      <c r="C9" s="26" t="s">
        <v>76</v>
      </c>
      <c r="E9" s="26" t="s">
        <v>303</v>
      </c>
      <c r="G9" s="26" t="s">
        <v>303</v>
      </c>
      <c r="I9" s="26" t="s">
        <v>308</v>
      </c>
      <c r="K9" s="26" t="s">
        <v>309</v>
      </c>
      <c r="M9" s="26" t="s">
        <v>36</v>
      </c>
      <c r="O9" s="48" t="s">
        <v>310</v>
      </c>
      <c r="P9" s="48" t="s">
        <v>248</v>
      </c>
      <c r="Q9" s="49">
        <v>3</v>
      </c>
      <c r="V9" s="27">
        <v>54792</v>
      </c>
      <c r="W9" s="26" t="s">
        <v>311</v>
      </c>
      <c r="X9" s="26" t="s">
        <v>285</v>
      </c>
      <c r="Z9" s="48">
        <v>11</v>
      </c>
      <c r="AA9" s="48" t="s">
        <v>312</v>
      </c>
    </row>
    <row r="10" spans="1:27" x14ac:dyDescent="0.3">
      <c r="C10" s="26" t="s">
        <v>168</v>
      </c>
      <c r="E10" s="26" t="s">
        <v>313</v>
      </c>
      <c r="G10" s="26" t="s">
        <v>314</v>
      </c>
      <c r="I10" s="26" t="s">
        <v>315</v>
      </c>
      <c r="M10" s="26" t="s">
        <v>192</v>
      </c>
      <c r="O10" s="48" t="s">
        <v>83</v>
      </c>
      <c r="P10" s="48" t="s">
        <v>303</v>
      </c>
      <c r="Q10" s="49">
        <v>10</v>
      </c>
      <c r="V10" s="27">
        <v>55467</v>
      </c>
      <c r="W10" s="26" t="s">
        <v>316</v>
      </c>
      <c r="X10" s="26" t="s">
        <v>285</v>
      </c>
      <c r="Z10" s="48">
        <v>13</v>
      </c>
      <c r="AA10" s="48" t="s">
        <v>317</v>
      </c>
    </row>
    <row r="11" spans="1:27" x14ac:dyDescent="0.3">
      <c r="C11" s="26" t="s">
        <v>139</v>
      </c>
      <c r="E11" s="26" t="s">
        <v>318</v>
      </c>
      <c r="G11" s="26" t="s">
        <v>36</v>
      </c>
      <c r="I11" s="26" t="s">
        <v>319</v>
      </c>
      <c r="O11" s="48" t="s">
        <v>320</v>
      </c>
      <c r="P11" s="48" t="s">
        <v>314</v>
      </c>
      <c r="Q11" s="49">
        <v>10</v>
      </c>
      <c r="S11" s="32" t="s">
        <v>321</v>
      </c>
      <c r="V11" s="27">
        <v>85173</v>
      </c>
      <c r="W11" s="26" t="s">
        <v>322</v>
      </c>
      <c r="X11" s="26" t="s">
        <v>285</v>
      </c>
      <c r="Z11" s="48">
        <v>15</v>
      </c>
      <c r="AA11" s="48" t="s">
        <v>323</v>
      </c>
    </row>
    <row r="12" spans="1:27" x14ac:dyDescent="0.3">
      <c r="C12" s="26" t="s">
        <v>324</v>
      </c>
      <c r="E12" s="26" t="s">
        <v>77</v>
      </c>
      <c r="I12" s="26" t="s">
        <v>325</v>
      </c>
      <c r="O12" s="48" t="s">
        <v>140</v>
      </c>
      <c r="P12" s="48" t="s">
        <v>248</v>
      </c>
      <c r="Q12" s="49">
        <v>10</v>
      </c>
      <c r="V12" s="27">
        <v>85198</v>
      </c>
      <c r="W12" s="26" t="s">
        <v>326</v>
      </c>
      <c r="X12" s="26" t="s">
        <v>285</v>
      </c>
      <c r="Z12" s="48">
        <v>20</v>
      </c>
      <c r="AA12" s="48" t="s">
        <v>327</v>
      </c>
    </row>
    <row r="13" spans="1:27" x14ac:dyDescent="0.3">
      <c r="E13" s="26" t="s">
        <v>64</v>
      </c>
      <c r="I13" s="26" t="s">
        <v>328</v>
      </c>
      <c r="O13" s="48" t="s">
        <v>329</v>
      </c>
      <c r="P13" s="48" t="s">
        <v>303</v>
      </c>
      <c r="Q13" s="49">
        <v>5</v>
      </c>
      <c r="V13" s="27">
        <v>85197</v>
      </c>
      <c r="W13" s="26" t="s">
        <v>330</v>
      </c>
      <c r="X13" s="26" t="s">
        <v>285</v>
      </c>
      <c r="Z13" s="48">
        <v>23</v>
      </c>
      <c r="AA13" s="48" t="s">
        <v>331</v>
      </c>
    </row>
    <row r="14" spans="1:27" x14ac:dyDescent="0.3">
      <c r="E14" s="26" t="s">
        <v>332</v>
      </c>
      <c r="I14" s="26" t="s">
        <v>333</v>
      </c>
      <c r="O14" s="48" t="s">
        <v>78</v>
      </c>
      <c r="P14" s="48" t="s">
        <v>248</v>
      </c>
      <c r="Q14" s="49">
        <v>3</v>
      </c>
      <c r="V14" s="27">
        <v>69139</v>
      </c>
      <c r="W14" s="26" t="s">
        <v>334</v>
      </c>
      <c r="X14" s="26" t="s">
        <v>285</v>
      </c>
      <c r="Z14" s="48">
        <v>26</v>
      </c>
      <c r="AA14" s="48" t="s">
        <v>335</v>
      </c>
    </row>
    <row r="15" spans="1:27" x14ac:dyDescent="0.3">
      <c r="E15" s="26" t="s">
        <v>81</v>
      </c>
      <c r="I15" s="26" t="s">
        <v>336</v>
      </c>
      <c r="O15" s="48" t="s">
        <v>72</v>
      </c>
      <c r="P15" s="48" t="s">
        <v>248</v>
      </c>
      <c r="Q15" s="49">
        <v>5</v>
      </c>
      <c r="V15" s="27">
        <v>69113</v>
      </c>
      <c r="W15" s="26" t="s">
        <v>337</v>
      </c>
      <c r="X15" s="26" t="s">
        <v>285</v>
      </c>
      <c r="Z15" s="48">
        <v>27</v>
      </c>
      <c r="AA15" s="48" t="s">
        <v>338</v>
      </c>
    </row>
    <row r="16" spans="1:27" x14ac:dyDescent="0.3">
      <c r="E16" s="26" t="s">
        <v>109</v>
      </c>
      <c r="I16" s="26" t="s">
        <v>93</v>
      </c>
      <c r="O16" s="48" t="s">
        <v>570</v>
      </c>
      <c r="P16" s="48" t="s">
        <v>313</v>
      </c>
      <c r="V16" s="27">
        <v>63490</v>
      </c>
      <c r="W16" s="26" t="s">
        <v>341</v>
      </c>
      <c r="X16" s="26" t="s">
        <v>285</v>
      </c>
      <c r="Z16" s="48">
        <v>28</v>
      </c>
      <c r="AA16" s="48" t="s">
        <v>342</v>
      </c>
    </row>
    <row r="17" spans="5:27" x14ac:dyDescent="0.3">
      <c r="E17" s="26" t="s">
        <v>106</v>
      </c>
      <c r="I17" s="26" t="s">
        <v>97</v>
      </c>
      <c r="V17" s="27">
        <v>94783</v>
      </c>
      <c r="W17" s="26" t="s">
        <v>343</v>
      </c>
      <c r="X17" s="26" t="s">
        <v>285</v>
      </c>
      <c r="Z17" s="48">
        <v>29</v>
      </c>
      <c r="AA17" s="48" t="s">
        <v>344</v>
      </c>
    </row>
    <row r="18" spans="5:27" x14ac:dyDescent="0.3">
      <c r="E18" s="26" t="s">
        <v>158</v>
      </c>
      <c r="I18" s="26" t="s">
        <v>339</v>
      </c>
      <c r="P18" s="33" t="s">
        <v>340</v>
      </c>
      <c r="Q18" s="34">
        <f>SUM(Q5:Q15)</f>
        <v>101</v>
      </c>
      <c r="V18" s="27">
        <v>69249</v>
      </c>
      <c r="W18" s="26" t="s">
        <v>345</v>
      </c>
      <c r="X18" s="26" t="s">
        <v>285</v>
      </c>
      <c r="Z18" s="48">
        <v>30</v>
      </c>
      <c r="AA18" s="48" t="s">
        <v>346</v>
      </c>
    </row>
    <row r="19" spans="5:27" x14ac:dyDescent="0.3">
      <c r="E19" s="26" t="s">
        <v>347</v>
      </c>
      <c r="V19" s="27">
        <v>69602</v>
      </c>
      <c r="W19" s="26" t="s">
        <v>348</v>
      </c>
      <c r="X19" s="26" t="s">
        <v>285</v>
      </c>
      <c r="Z19" s="48">
        <v>31</v>
      </c>
      <c r="AA19" s="48" t="s">
        <v>349</v>
      </c>
    </row>
    <row r="20" spans="5:27" x14ac:dyDescent="0.3">
      <c r="E20" s="26" t="s">
        <v>258</v>
      </c>
      <c r="V20" s="27">
        <v>105356</v>
      </c>
      <c r="W20" s="26" t="s">
        <v>350</v>
      </c>
      <c r="X20" s="26" t="s">
        <v>351</v>
      </c>
      <c r="Z20" s="48">
        <v>32</v>
      </c>
      <c r="AA20" s="48" t="s">
        <v>352</v>
      </c>
    </row>
    <row r="21" spans="5:27" x14ac:dyDescent="0.3">
      <c r="E21" s="26" t="s">
        <v>251</v>
      </c>
      <c r="V21" s="27">
        <v>67977</v>
      </c>
      <c r="W21" s="26" t="s">
        <v>353</v>
      </c>
      <c r="X21" s="26" t="s">
        <v>354</v>
      </c>
      <c r="Z21" s="48">
        <v>37</v>
      </c>
      <c r="AA21" s="48" t="s">
        <v>500</v>
      </c>
    </row>
    <row r="22" spans="5:27" x14ac:dyDescent="0.3">
      <c r="E22" s="26" t="s">
        <v>92</v>
      </c>
      <c r="V22" s="27">
        <v>86698</v>
      </c>
      <c r="W22" s="26" t="s">
        <v>356</v>
      </c>
      <c r="X22" s="26" t="s">
        <v>285</v>
      </c>
      <c r="Z22" s="48">
        <v>40</v>
      </c>
      <c r="AA22" s="48" t="s">
        <v>501</v>
      </c>
    </row>
    <row r="23" spans="5:27" x14ac:dyDescent="0.3">
      <c r="E23" s="26" t="s">
        <v>161</v>
      </c>
      <c r="V23" s="27">
        <v>55721</v>
      </c>
      <c r="W23" s="26" t="s">
        <v>358</v>
      </c>
      <c r="X23" s="26" t="s">
        <v>354</v>
      </c>
      <c r="Z23" s="48">
        <v>41</v>
      </c>
      <c r="AA23" s="48" t="s">
        <v>502</v>
      </c>
    </row>
    <row r="24" spans="5:27" x14ac:dyDescent="0.3">
      <c r="E24" s="26" t="s">
        <v>360</v>
      </c>
      <c r="V24" s="27">
        <v>65153</v>
      </c>
      <c r="W24" s="26" t="s">
        <v>361</v>
      </c>
      <c r="X24" s="26" t="s">
        <v>285</v>
      </c>
      <c r="Z24" s="48">
        <v>43</v>
      </c>
      <c r="AA24" s="48" t="s">
        <v>503</v>
      </c>
    </row>
    <row r="25" spans="5:27" x14ac:dyDescent="0.3">
      <c r="E25" s="26" t="s">
        <v>363</v>
      </c>
      <c r="V25" s="27">
        <v>62900</v>
      </c>
      <c r="W25" s="26" t="s">
        <v>364</v>
      </c>
      <c r="X25" s="26" t="s">
        <v>285</v>
      </c>
      <c r="Z25" s="48">
        <v>113</v>
      </c>
      <c r="AA25" s="48" t="s">
        <v>504</v>
      </c>
    </row>
    <row r="26" spans="5:27" x14ac:dyDescent="0.3">
      <c r="E26" s="26" t="s">
        <v>87</v>
      </c>
      <c r="V26" s="27">
        <v>67979</v>
      </c>
      <c r="W26" s="26" t="s">
        <v>365</v>
      </c>
      <c r="X26" s="26" t="s">
        <v>366</v>
      </c>
      <c r="Z26" s="48">
        <v>114</v>
      </c>
      <c r="AA26" s="48" t="s">
        <v>381</v>
      </c>
    </row>
    <row r="27" spans="5:27" x14ac:dyDescent="0.3">
      <c r="E27" s="26" t="s">
        <v>368</v>
      </c>
      <c r="V27" s="27">
        <v>68184</v>
      </c>
      <c r="W27" s="26" t="s">
        <v>627</v>
      </c>
      <c r="X27" s="26" t="s">
        <v>285</v>
      </c>
      <c r="Z27" s="48">
        <v>127</v>
      </c>
      <c r="AA27" s="48" t="s">
        <v>355</v>
      </c>
    </row>
    <row r="28" spans="5:27" x14ac:dyDescent="0.3">
      <c r="E28" s="26" t="s">
        <v>113</v>
      </c>
      <c r="V28" s="27">
        <v>52416</v>
      </c>
      <c r="W28" s="26" t="s">
        <v>630</v>
      </c>
      <c r="X28" s="26" t="s">
        <v>631</v>
      </c>
      <c r="Z28" s="48">
        <v>134</v>
      </c>
      <c r="AA28" s="48" t="s">
        <v>357</v>
      </c>
    </row>
    <row r="29" spans="5:27" x14ac:dyDescent="0.3">
      <c r="E29" s="26" t="s">
        <v>152</v>
      </c>
      <c r="V29" s="27">
        <v>92927</v>
      </c>
      <c r="W29" s="26" t="s">
        <v>634</v>
      </c>
      <c r="X29" s="26" t="s">
        <v>635</v>
      </c>
      <c r="Z29" s="48">
        <v>135</v>
      </c>
      <c r="AA29" s="48" t="s">
        <v>359</v>
      </c>
    </row>
    <row r="30" spans="5:27" x14ac:dyDescent="0.3">
      <c r="E30" s="56" t="s">
        <v>110</v>
      </c>
      <c r="V30" s="27">
        <v>86736</v>
      </c>
      <c r="W30" s="26" t="s">
        <v>638</v>
      </c>
      <c r="X30" s="26" t="s">
        <v>639</v>
      </c>
      <c r="Z30" s="48">
        <v>144</v>
      </c>
      <c r="AA30" s="48" t="s">
        <v>362</v>
      </c>
    </row>
    <row r="31" spans="5:27" x14ac:dyDescent="0.3">
      <c r="E31" s="26" t="s">
        <v>613</v>
      </c>
      <c r="V31" s="27"/>
      <c r="W31" s="26"/>
      <c r="X31" s="26"/>
      <c r="Z31" s="48">
        <v>167</v>
      </c>
      <c r="AA31" s="48" t="s">
        <v>155</v>
      </c>
    </row>
    <row r="32" spans="5:27" x14ac:dyDescent="0.3">
      <c r="E32" s="26" t="s">
        <v>251</v>
      </c>
      <c r="V32" s="27"/>
      <c r="W32" s="26"/>
      <c r="X32" s="26"/>
      <c r="Z32" s="48">
        <v>168</v>
      </c>
      <c r="AA32" s="48" t="s">
        <v>367</v>
      </c>
    </row>
    <row r="33" spans="5:27" x14ac:dyDescent="0.3">
      <c r="E33" s="48" t="s">
        <v>608</v>
      </c>
      <c r="V33" s="27"/>
      <c r="W33" s="26"/>
      <c r="X33" s="26"/>
      <c r="Z33" s="48">
        <v>172</v>
      </c>
      <c r="AA33" s="48" t="s">
        <v>369</v>
      </c>
    </row>
    <row r="34" spans="5:27" x14ac:dyDescent="0.3">
      <c r="E34" s="26"/>
      <c r="V34" s="27"/>
      <c r="W34" s="26"/>
      <c r="X34" s="26"/>
      <c r="Z34" s="48">
        <v>177</v>
      </c>
      <c r="AA34" s="48" t="s">
        <v>370</v>
      </c>
    </row>
    <row r="35" spans="5:27" x14ac:dyDescent="0.3">
      <c r="E35" s="26"/>
      <c r="V35" s="27"/>
      <c r="W35" s="26"/>
      <c r="X35" s="26"/>
      <c r="Z35" s="48">
        <v>179</v>
      </c>
      <c r="AA35" s="48" t="s">
        <v>371</v>
      </c>
    </row>
    <row r="36" spans="5:27" x14ac:dyDescent="0.3">
      <c r="V36" s="27"/>
      <c r="W36" s="26"/>
      <c r="X36" s="26"/>
      <c r="Z36" s="48">
        <v>200</v>
      </c>
      <c r="AA36" s="48" t="s">
        <v>372</v>
      </c>
    </row>
    <row r="37" spans="5:27" x14ac:dyDescent="0.3">
      <c r="V37" s="27"/>
      <c r="W37" s="26"/>
      <c r="X37" s="26"/>
      <c r="Z37" s="48">
        <v>201</v>
      </c>
      <c r="AA37" s="48" t="s">
        <v>505</v>
      </c>
    </row>
    <row r="38" spans="5:27" x14ac:dyDescent="0.3">
      <c r="V38" s="27"/>
      <c r="W38" s="26"/>
      <c r="X38" s="26"/>
      <c r="Z38" s="48">
        <v>202</v>
      </c>
      <c r="AA38" s="48" t="s">
        <v>373</v>
      </c>
    </row>
    <row r="39" spans="5:27" x14ac:dyDescent="0.3">
      <c r="V39" s="27"/>
      <c r="W39" s="26"/>
      <c r="X39" s="26"/>
      <c r="Z39" s="48">
        <v>219</v>
      </c>
      <c r="AA39" s="48" t="s">
        <v>374</v>
      </c>
    </row>
    <row r="40" spans="5:27" x14ac:dyDescent="0.3">
      <c r="V40" s="27"/>
      <c r="W40" s="26"/>
      <c r="X40" s="26"/>
      <c r="Z40" s="48">
        <v>222</v>
      </c>
      <c r="AA40" s="48" t="s">
        <v>506</v>
      </c>
    </row>
    <row r="41" spans="5:27" x14ac:dyDescent="0.3">
      <c r="V41" s="27"/>
      <c r="W41" s="26"/>
      <c r="X41" s="26"/>
      <c r="Z41" s="48">
        <v>225</v>
      </c>
      <c r="AA41" s="48" t="s">
        <v>507</v>
      </c>
    </row>
    <row r="42" spans="5:27" x14ac:dyDescent="0.3">
      <c r="V42" s="27"/>
      <c r="W42" s="26"/>
      <c r="X42" s="26"/>
      <c r="Z42" s="48">
        <v>231</v>
      </c>
      <c r="AA42" s="48" t="s">
        <v>508</v>
      </c>
    </row>
    <row r="43" spans="5:27" x14ac:dyDescent="0.3">
      <c r="V43" s="27"/>
      <c r="W43" s="26"/>
      <c r="X43" s="26"/>
      <c r="Z43" s="48">
        <v>235</v>
      </c>
      <c r="AA43" s="48" t="s">
        <v>509</v>
      </c>
    </row>
    <row r="44" spans="5:27" x14ac:dyDescent="0.3">
      <c r="V44" s="27"/>
      <c r="W44" s="26"/>
      <c r="X44" s="26"/>
      <c r="Z44" s="48">
        <v>247</v>
      </c>
      <c r="AA44" s="48" t="s">
        <v>510</v>
      </c>
    </row>
    <row r="45" spans="5:27" x14ac:dyDescent="0.3">
      <c r="V45" s="27"/>
      <c r="W45" s="26"/>
      <c r="X45" s="26"/>
      <c r="Z45" s="48">
        <v>248</v>
      </c>
      <c r="AA45" s="48" t="s">
        <v>511</v>
      </c>
    </row>
    <row r="46" spans="5:27" x14ac:dyDescent="0.3">
      <c r="V46" s="27"/>
      <c r="W46" s="26"/>
      <c r="X46" s="26"/>
      <c r="Z46" s="48">
        <v>260</v>
      </c>
      <c r="AA46" s="48" t="s">
        <v>512</v>
      </c>
    </row>
    <row r="47" spans="5:27" x14ac:dyDescent="0.3">
      <c r="V47" s="27"/>
      <c r="W47" s="26"/>
      <c r="X47" s="26"/>
      <c r="Z47" s="48">
        <v>265</v>
      </c>
      <c r="AA47" s="48" t="s">
        <v>513</v>
      </c>
    </row>
    <row r="48" spans="5:27" x14ac:dyDescent="0.3">
      <c r="V48" s="27"/>
      <c r="W48" s="26"/>
      <c r="X48" s="26"/>
      <c r="Z48" s="48">
        <v>270</v>
      </c>
      <c r="AA48" s="48" t="s">
        <v>514</v>
      </c>
    </row>
    <row r="49" spans="22:27" x14ac:dyDescent="0.3">
      <c r="V49" s="27"/>
      <c r="W49" s="26"/>
      <c r="X49" s="26"/>
      <c r="Z49" s="48">
        <v>275</v>
      </c>
      <c r="AA49" s="48" t="s">
        <v>515</v>
      </c>
    </row>
    <row r="50" spans="22:27" x14ac:dyDescent="0.3">
      <c r="V50" s="27"/>
      <c r="W50" s="26"/>
      <c r="X50" s="26"/>
      <c r="Z50" s="48">
        <v>289</v>
      </c>
      <c r="AA50" s="48" t="s">
        <v>516</v>
      </c>
    </row>
    <row r="51" spans="22:27" x14ac:dyDescent="0.3">
      <c r="V51" s="27"/>
      <c r="W51" s="26"/>
      <c r="X51" s="26"/>
      <c r="Z51" s="48">
        <v>290</v>
      </c>
      <c r="AA51" s="48" t="s">
        <v>517</v>
      </c>
    </row>
    <row r="52" spans="22:27" x14ac:dyDescent="0.3">
      <c r="V52" s="27"/>
      <c r="W52" s="26"/>
      <c r="X52" s="26"/>
      <c r="Z52" s="48">
        <v>295</v>
      </c>
      <c r="AA52" s="48" t="s">
        <v>518</v>
      </c>
    </row>
    <row r="53" spans="22:27" x14ac:dyDescent="0.3">
      <c r="V53" s="27"/>
      <c r="W53" s="26"/>
      <c r="X53" s="26"/>
      <c r="Z53" s="48">
        <v>493</v>
      </c>
      <c r="AA53" s="48" t="s">
        <v>519</v>
      </c>
    </row>
    <row r="54" spans="22:27" x14ac:dyDescent="0.3">
      <c r="V54" s="27"/>
      <c r="W54" s="26"/>
      <c r="X54" s="26"/>
      <c r="Z54" s="48">
        <v>495</v>
      </c>
      <c r="AA54" s="48" t="s">
        <v>520</v>
      </c>
    </row>
    <row r="55" spans="22:27" x14ac:dyDescent="0.3">
      <c r="V55" s="27"/>
      <c r="W55" s="26"/>
      <c r="X55" s="26"/>
      <c r="Z55" s="48">
        <v>564</v>
      </c>
      <c r="AA55" s="48" t="s">
        <v>521</v>
      </c>
    </row>
    <row r="56" spans="22:27" x14ac:dyDescent="0.3">
      <c r="V56" s="27"/>
      <c r="W56" s="26"/>
      <c r="X56" s="26"/>
      <c r="Z56" s="48">
        <v>573</v>
      </c>
      <c r="AA56" s="48" t="s">
        <v>522</v>
      </c>
    </row>
    <row r="57" spans="22:27" x14ac:dyDescent="0.3">
      <c r="V57" s="27"/>
      <c r="W57" s="26"/>
      <c r="X57" s="26"/>
      <c r="Z57" s="48">
        <v>1234</v>
      </c>
      <c r="AA57" s="48" t="s">
        <v>523</v>
      </c>
    </row>
    <row r="58" spans="22:27" x14ac:dyDescent="0.3">
      <c r="V58" s="27"/>
      <c r="W58" s="26"/>
      <c r="X58" s="26"/>
      <c r="Z58" s="48">
        <v>1502</v>
      </c>
      <c r="AA58" s="48" t="s">
        <v>524</v>
      </c>
    </row>
    <row r="59" spans="22:27" x14ac:dyDescent="0.3">
      <c r="V59" s="27"/>
      <c r="W59" s="26"/>
      <c r="X59" s="26"/>
      <c r="Z59" s="48">
        <v>1534</v>
      </c>
      <c r="AA59" s="48" t="s">
        <v>525</v>
      </c>
    </row>
    <row r="60" spans="22:27" x14ac:dyDescent="0.3">
      <c r="V60" s="27"/>
      <c r="W60" s="26"/>
      <c r="X60" s="26"/>
      <c r="Z60" s="48">
        <v>1790</v>
      </c>
      <c r="AA60" s="48" t="s">
        <v>526</v>
      </c>
    </row>
    <row r="61" spans="22:27" x14ac:dyDescent="0.3">
      <c r="V61" s="27"/>
      <c r="W61" s="26"/>
      <c r="X61" s="26"/>
      <c r="Z61" s="48">
        <v>1791</v>
      </c>
      <c r="AA61" s="48" t="s">
        <v>527</v>
      </c>
    </row>
    <row r="62" spans="22:27" x14ac:dyDescent="0.3">
      <c r="V62" s="27"/>
      <c r="W62" s="26"/>
      <c r="X62" s="26"/>
      <c r="Z62" s="48">
        <v>1792</v>
      </c>
      <c r="AA62" s="48" t="s">
        <v>528</v>
      </c>
    </row>
    <row r="63" spans="22:27" x14ac:dyDescent="0.3">
      <c r="V63" s="27"/>
      <c r="W63" s="26"/>
      <c r="X63" s="26"/>
      <c r="Z63" s="48">
        <v>1820</v>
      </c>
      <c r="AA63" s="48" t="s">
        <v>529</v>
      </c>
    </row>
    <row r="64" spans="22:27" x14ac:dyDescent="0.3">
      <c r="V64" s="27"/>
      <c r="W64" s="26"/>
      <c r="X64" s="26"/>
      <c r="Z64" s="48">
        <v>1824</v>
      </c>
      <c r="AA64" s="48" t="s">
        <v>530</v>
      </c>
    </row>
    <row r="65" spans="22:27" x14ac:dyDescent="0.3">
      <c r="V65" s="27"/>
      <c r="W65" s="26"/>
      <c r="X65" s="26"/>
      <c r="Z65" s="48">
        <v>1913</v>
      </c>
      <c r="AA65" s="48" t="s">
        <v>531</v>
      </c>
    </row>
    <row r="66" spans="22:27" x14ac:dyDescent="0.3">
      <c r="V66" s="27"/>
      <c r="W66" s="26"/>
      <c r="X66" s="26"/>
      <c r="Z66" s="48">
        <v>2343</v>
      </c>
      <c r="AA66" s="48" t="s">
        <v>532</v>
      </c>
    </row>
    <row r="67" spans="22:27" x14ac:dyDescent="0.3">
      <c r="V67" s="27"/>
      <c r="W67" s="26"/>
      <c r="X67" s="26"/>
      <c r="Z67" s="48">
        <v>2541</v>
      </c>
      <c r="AA67" s="48" t="s">
        <v>375</v>
      </c>
    </row>
    <row r="68" spans="22:27" x14ac:dyDescent="0.3">
      <c r="V68" s="27"/>
      <c r="W68" s="26"/>
      <c r="X68" s="26"/>
      <c r="Z68" s="48">
        <v>2577</v>
      </c>
      <c r="AA68" s="48" t="s">
        <v>376</v>
      </c>
    </row>
    <row r="69" spans="22:27" x14ac:dyDescent="0.3">
      <c r="V69" s="27"/>
      <c r="W69" s="26"/>
      <c r="X69" s="26"/>
      <c r="Z69" s="48">
        <v>2578</v>
      </c>
      <c r="AA69" s="48" t="s">
        <v>377</v>
      </c>
    </row>
    <row r="70" spans="22:27" x14ac:dyDescent="0.3">
      <c r="V70" s="27"/>
      <c r="W70" s="26"/>
      <c r="X70" s="26"/>
      <c r="Z70" s="48">
        <v>2609</v>
      </c>
      <c r="AA70" s="48" t="s">
        <v>378</v>
      </c>
    </row>
    <row r="71" spans="22:27" x14ac:dyDescent="0.3">
      <c r="V71" s="27"/>
      <c r="W71" s="26"/>
      <c r="X71" s="26"/>
      <c r="Z71" s="48">
        <v>2633</v>
      </c>
      <c r="AA71" s="48" t="s">
        <v>533</v>
      </c>
    </row>
    <row r="72" spans="22:27" x14ac:dyDescent="0.3">
      <c r="V72" s="27"/>
      <c r="W72" s="26"/>
      <c r="X72" s="26"/>
      <c r="Z72" s="48">
        <v>2634</v>
      </c>
      <c r="AA72" s="48" t="s">
        <v>534</v>
      </c>
    </row>
    <row r="73" spans="22:27" x14ac:dyDescent="0.3">
      <c r="V73" s="27"/>
      <c r="W73" s="26"/>
      <c r="X73" s="26"/>
      <c r="Z73" s="48">
        <v>2641</v>
      </c>
      <c r="AA73" s="48" t="s">
        <v>535</v>
      </c>
    </row>
    <row r="74" spans="22:27" x14ac:dyDescent="0.3">
      <c r="V74" s="27"/>
      <c r="W74" s="26"/>
      <c r="X74" s="26"/>
      <c r="Z74" s="48">
        <v>2670</v>
      </c>
      <c r="AA74" s="48" t="s">
        <v>536</v>
      </c>
    </row>
    <row r="75" spans="22:27" x14ac:dyDescent="0.3">
      <c r="V75" s="27"/>
      <c r="W75" s="26"/>
      <c r="X75" s="26"/>
      <c r="Z75" s="48">
        <v>2981</v>
      </c>
      <c r="AA75" s="48" t="s">
        <v>537</v>
      </c>
    </row>
    <row r="76" spans="22:27" x14ac:dyDescent="0.3">
      <c r="V76" s="27"/>
      <c r="W76" s="26"/>
      <c r="X76" s="26"/>
      <c r="Z76" s="48">
        <v>2990</v>
      </c>
      <c r="AA76" s="48" t="s">
        <v>538</v>
      </c>
    </row>
    <row r="77" spans="22:27" x14ac:dyDescent="0.3">
      <c r="V77" s="27"/>
      <c r="W77" s="26"/>
      <c r="X77" s="26"/>
      <c r="Z77" s="48">
        <v>2992</v>
      </c>
      <c r="AA77" s="48" t="s">
        <v>539</v>
      </c>
    </row>
    <row r="78" spans="22:27" x14ac:dyDescent="0.3">
      <c r="V78" s="27"/>
      <c r="W78" s="26"/>
      <c r="X78" s="26"/>
      <c r="Z78" s="48">
        <v>2994</v>
      </c>
      <c r="AA78" s="48" t="s">
        <v>540</v>
      </c>
    </row>
    <row r="79" spans="22:27" x14ac:dyDescent="0.3">
      <c r="V79" s="27"/>
      <c r="W79" s="26"/>
      <c r="X79" s="26"/>
      <c r="Z79" s="48">
        <v>2996</v>
      </c>
      <c r="AA79" s="48" t="s">
        <v>541</v>
      </c>
    </row>
    <row r="80" spans="22:27" x14ac:dyDescent="0.3">
      <c r="V80" s="27"/>
      <c r="W80" s="26"/>
      <c r="X80" s="26"/>
      <c r="Z80" s="48">
        <v>2997</v>
      </c>
      <c r="AA80" s="48" t="s">
        <v>542</v>
      </c>
    </row>
    <row r="81" spans="22:27" x14ac:dyDescent="0.3">
      <c r="V81" s="27"/>
      <c r="W81" s="26"/>
      <c r="X81" s="26"/>
      <c r="Z81" s="48">
        <v>2998</v>
      </c>
      <c r="AA81" s="48" t="s">
        <v>543</v>
      </c>
    </row>
    <row r="82" spans="22:27" x14ac:dyDescent="0.3">
      <c r="V82" s="27"/>
      <c r="W82" s="26"/>
      <c r="X82" s="26"/>
      <c r="Z82" s="48">
        <v>3007</v>
      </c>
      <c r="AA82" s="48" t="s">
        <v>544</v>
      </c>
    </row>
    <row r="83" spans="22:27" x14ac:dyDescent="0.3">
      <c r="V83" s="27"/>
      <c r="W83" s="26"/>
      <c r="X83" s="26"/>
      <c r="Z83" s="48">
        <v>3122</v>
      </c>
      <c r="AA83" s="48" t="s">
        <v>545</v>
      </c>
    </row>
    <row r="84" spans="22:27" x14ac:dyDescent="0.3">
      <c r="V84" s="27"/>
      <c r="W84" s="26"/>
      <c r="X84" s="26"/>
      <c r="Z84" s="48">
        <v>3367</v>
      </c>
      <c r="AA84" s="48" t="s">
        <v>546</v>
      </c>
    </row>
    <row r="85" spans="22:27" x14ac:dyDescent="0.3">
      <c r="V85" s="27"/>
      <c r="W85" s="26"/>
      <c r="X85" s="26"/>
      <c r="Z85" s="48">
        <v>3374</v>
      </c>
      <c r="AA85" s="48" t="s">
        <v>547</v>
      </c>
    </row>
    <row r="86" spans="22:27" x14ac:dyDescent="0.3">
      <c r="V86" s="27"/>
      <c r="W86" s="26"/>
      <c r="X86" s="26"/>
      <c r="Z86" s="48">
        <v>3442</v>
      </c>
      <c r="AA86" s="48" t="s">
        <v>548</v>
      </c>
    </row>
    <row r="87" spans="22:27" x14ac:dyDescent="0.3">
      <c r="V87" s="27"/>
      <c r="W87" s="26"/>
      <c r="X87" s="26"/>
      <c r="Z87" s="48">
        <v>3673</v>
      </c>
      <c r="AA87" s="48" t="s">
        <v>549</v>
      </c>
    </row>
    <row r="88" spans="22:27" x14ac:dyDescent="0.3">
      <c r="V88" s="27"/>
      <c r="W88" s="26"/>
      <c r="X88" s="26"/>
      <c r="Z88" s="48">
        <v>3840</v>
      </c>
      <c r="AA88" s="48" t="s">
        <v>380</v>
      </c>
    </row>
    <row r="89" spans="22:27" x14ac:dyDescent="0.3">
      <c r="V89" s="27"/>
      <c r="W89" s="26"/>
      <c r="X89" s="26"/>
      <c r="Z89" s="48">
        <v>4113</v>
      </c>
      <c r="AA89" s="48" t="s">
        <v>550</v>
      </c>
    </row>
    <row r="90" spans="22:27" x14ac:dyDescent="0.3">
      <c r="V90" s="27"/>
      <c r="W90" s="26"/>
      <c r="X90" s="26"/>
      <c r="Z90" s="48">
        <v>4118</v>
      </c>
      <c r="AA90" s="48" t="s">
        <v>551</v>
      </c>
    </row>
    <row r="91" spans="22:27" x14ac:dyDescent="0.3">
      <c r="V91" s="27"/>
      <c r="W91" s="26"/>
      <c r="X91" s="26"/>
      <c r="Z91" s="48">
        <v>4124</v>
      </c>
      <c r="AA91" s="48" t="s">
        <v>552</v>
      </c>
    </row>
    <row r="92" spans="22:27" x14ac:dyDescent="0.3">
      <c r="V92" s="27"/>
      <c r="W92" s="26"/>
      <c r="X92" s="26"/>
      <c r="Z92" s="48">
        <v>4125</v>
      </c>
      <c r="AA92" s="48" t="s">
        <v>553</v>
      </c>
    </row>
    <row r="93" spans="22:27" x14ac:dyDescent="0.3">
      <c r="V93" s="27"/>
      <c r="W93" s="26"/>
      <c r="X93" s="26"/>
      <c r="Z93" s="48">
        <v>4583</v>
      </c>
      <c r="AA93" s="48" t="s">
        <v>554</v>
      </c>
    </row>
    <row r="94" spans="22:27" x14ac:dyDescent="0.3">
      <c r="V94" s="27"/>
      <c r="W94" s="26"/>
      <c r="X94" s="26"/>
      <c r="Z94" s="48">
        <v>5165</v>
      </c>
      <c r="AA94" s="48" t="s">
        <v>83</v>
      </c>
    </row>
    <row r="95" spans="22:27" x14ac:dyDescent="0.3">
      <c r="V95" s="27"/>
      <c r="W95" s="26"/>
      <c r="X95" s="26"/>
      <c r="Z95" s="48">
        <v>5170</v>
      </c>
      <c r="AA95" s="48" t="s">
        <v>555</v>
      </c>
    </row>
    <row r="96" spans="22:27" x14ac:dyDescent="0.3">
      <c r="V96" s="27"/>
      <c r="W96" s="26"/>
      <c r="X96" s="26"/>
      <c r="Z96" s="48">
        <v>5179</v>
      </c>
      <c r="AA96" s="48" t="s">
        <v>379</v>
      </c>
    </row>
    <row r="97" spans="22:27" x14ac:dyDescent="0.3">
      <c r="V97" s="27"/>
      <c r="W97" s="26"/>
      <c r="X97" s="26"/>
      <c r="Z97" s="48">
        <v>5197</v>
      </c>
      <c r="AA97" s="48" t="s">
        <v>556</v>
      </c>
    </row>
    <row r="98" spans="22:27" x14ac:dyDescent="0.3">
      <c r="V98" s="27"/>
      <c r="W98" s="26"/>
      <c r="X98" s="26"/>
      <c r="Z98" s="48">
        <v>5204</v>
      </c>
      <c r="AA98" s="48" t="s">
        <v>557</v>
      </c>
    </row>
    <row r="99" spans="22:27" x14ac:dyDescent="0.3">
      <c r="V99" s="27"/>
      <c r="W99" s="26"/>
      <c r="X99" s="26"/>
      <c r="Z99" s="48">
        <v>5205</v>
      </c>
      <c r="AA99" s="48" t="s">
        <v>558</v>
      </c>
    </row>
    <row r="100" spans="22:27" x14ac:dyDescent="0.3">
      <c r="V100" s="27"/>
      <c r="W100" s="26"/>
      <c r="X100" s="26"/>
      <c r="Z100" s="48">
        <v>5217</v>
      </c>
      <c r="AA100" s="48" t="s">
        <v>559</v>
      </c>
    </row>
    <row r="101" spans="22:27" x14ac:dyDescent="0.3">
      <c r="V101" s="27"/>
      <c r="W101" s="26"/>
      <c r="X101" s="26"/>
      <c r="Z101" s="48">
        <v>5223</v>
      </c>
      <c r="AA101" s="48" t="s">
        <v>560</v>
      </c>
    </row>
    <row r="102" spans="22:27" x14ac:dyDescent="0.3">
      <c r="V102" s="27"/>
      <c r="W102" s="26"/>
      <c r="X102" s="26"/>
      <c r="Z102" s="48">
        <v>5230</v>
      </c>
      <c r="AA102" s="48" t="s">
        <v>561</v>
      </c>
    </row>
    <row r="103" spans="22:27" x14ac:dyDescent="0.3">
      <c r="V103" s="27"/>
      <c r="W103" s="26"/>
      <c r="X103" s="26"/>
      <c r="Z103" s="48">
        <v>5481</v>
      </c>
      <c r="AA103" s="48" t="s">
        <v>562</v>
      </c>
    </row>
    <row r="104" spans="22:27" x14ac:dyDescent="0.3">
      <c r="V104" s="27"/>
      <c r="W104" s="26"/>
      <c r="X104" s="26"/>
      <c r="Z104" s="48">
        <v>5497</v>
      </c>
      <c r="AA104" s="48" t="s">
        <v>563</v>
      </c>
    </row>
    <row r="105" spans="22:27" x14ac:dyDescent="0.3">
      <c r="V105" s="27"/>
      <c r="W105" s="26"/>
      <c r="X105" s="26"/>
      <c r="Z105" s="48">
        <v>5498</v>
      </c>
      <c r="AA105" s="48" t="s">
        <v>564</v>
      </c>
    </row>
    <row r="106" spans="22:27" x14ac:dyDescent="0.3">
      <c r="V106" s="27"/>
      <c r="W106" s="26"/>
      <c r="X106" s="26"/>
      <c r="Z106" s="48">
        <v>5499</v>
      </c>
      <c r="AA106" s="48" t="s">
        <v>565</v>
      </c>
    </row>
    <row r="107" spans="22:27" x14ac:dyDescent="0.3">
      <c r="V107" s="27"/>
      <c r="W107" s="26"/>
      <c r="X107" s="26"/>
      <c r="Z107" s="48">
        <v>5505</v>
      </c>
      <c r="AA107" s="48" t="s">
        <v>566</v>
      </c>
    </row>
    <row r="108" spans="22:27" x14ac:dyDescent="0.3">
      <c r="V108" s="27"/>
      <c r="W108" s="26"/>
      <c r="X108" s="26"/>
      <c r="Z108" s="48">
        <v>5799</v>
      </c>
      <c r="AA108" s="48" t="s">
        <v>567</v>
      </c>
    </row>
    <row r="109" spans="22:27" x14ac:dyDescent="0.3">
      <c r="V109" s="27"/>
      <c r="W109" s="26"/>
      <c r="X109" s="26"/>
      <c r="Z109" s="48">
        <v>5901</v>
      </c>
      <c r="AA109" s="48" t="s">
        <v>568</v>
      </c>
    </row>
    <row r="110" spans="22:27" x14ac:dyDescent="0.3">
      <c r="V110" s="27"/>
      <c r="W110" s="26"/>
      <c r="X110" s="26"/>
      <c r="Z110" s="48">
        <v>6770</v>
      </c>
      <c r="AA110" s="48" t="s">
        <v>569</v>
      </c>
    </row>
    <row r="111" spans="22:27" x14ac:dyDescent="0.3">
      <c r="V111" s="27"/>
      <c r="W111" s="26"/>
      <c r="X111" s="26"/>
      <c r="Z111" s="56">
        <v>6395</v>
      </c>
      <c r="AA111" s="56" t="s">
        <v>626</v>
      </c>
    </row>
    <row r="112" spans="22:27" x14ac:dyDescent="0.3">
      <c r="Z112" s="56">
        <v>34</v>
      </c>
      <c r="AA112" s="56" t="s">
        <v>332</v>
      </c>
    </row>
  </sheetData>
  <pageMargins left="0.75" right="0.75" top="1" bottom="1" header="0.511811023622047" footer="0.511811023622047"/>
  <pageSetup paperSize="9" orientation="portrait" horizontalDpi="300" verticalDpi="300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C00000"/>
  </sheetPr>
  <dimension ref="A1:C22"/>
  <sheetViews>
    <sheetView showGridLines="0" topLeftCell="A12" zoomScaleNormal="100" workbookViewId="0">
      <selection activeCell="G20" sqref="G20"/>
    </sheetView>
  </sheetViews>
  <sheetFormatPr defaultColWidth="8.6640625" defaultRowHeight="14.4" x14ac:dyDescent="0.3"/>
  <cols>
    <col min="1" max="1" width="62" customWidth="1"/>
    <col min="2" max="2" width="13" customWidth="1"/>
    <col min="3" max="3" width="72" customWidth="1"/>
  </cols>
  <sheetData>
    <row r="1" spans="1:3" ht="18" x14ac:dyDescent="0.35">
      <c r="A1" s="12" t="s">
        <v>382</v>
      </c>
    </row>
    <row r="2" spans="1:3" x14ac:dyDescent="0.3">
      <c r="A2" s="15" t="s">
        <v>383</v>
      </c>
    </row>
    <row r="4" spans="1:3" x14ac:dyDescent="0.3">
      <c r="A4" s="35" t="s">
        <v>384</v>
      </c>
      <c r="B4" s="35" t="s">
        <v>385</v>
      </c>
      <c r="C4" s="35" t="s">
        <v>386</v>
      </c>
    </row>
    <row r="5" spans="1:3" ht="27.75" customHeight="1" x14ac:dyDescent="0.3">
      <c r="A5" s="36" t="s">
        <v>387</v>
      </c>
      <c r="B5" s="37" cm="1">
        <f t="array" ref="B5">SUMPRODUCT((Proj_Cham&lt;&gt;"")*(COUNTIF(Proj_Cham,Proj_Cham&amp;"")&gt;1))</f>
        <v>0</v>
      </c>
      <c r="C5" s="36" t="s">
        <v>388</v>
      </c>
    </row>
    <row r="6" spans="1:3" ht="27.75" customHeight="1" x14ac:dyDescent="0.3">
      <c r="A6" s="36" t="s">
        <v>389</v>
      </c>
      <c r="B6" s="37">
        <f ca="1">SUMPRODUCT((Proj_Cham&lt;&gt;"")*(Proj_Status&lt;&gt;"CONCLUÍDO")*(Proj_Status&lt;&gt;"CANCELADO")*(Proj_Situacao="SEM DATA DE ETAPA"))</f>
        <v>0</v>
      </c>
      <c r="C6" s="36" t="s">
        <v>390</v>
      </c>
    </row>
    <row r="7" spans="1:3" ht="27.75" customHeight="1" x14ac:dyDescent="0.3">
      <c r="A7" s="36" t="s">
        <v>391</v>
      </c>
      <c r="B7" s="37">
        <f>'01_Projetos'!$AG$1</f>
        <v>0</v>
      </c>
      <c r="C7" s="36" t="s">
        <v>392</v>
      </c>
    </row>
    <row r="8" spans="1:3" ht="27.75" customHeight="1" x14ac:dyDescent="0.3">
      <c r="A8" s="36" t="s">
        <v>393</v>
      </c>
      <c r="B8" s="37">
        <f>SUMPRODUCT((Proj_Bloq="SIM")*(Proj_Motivo=""))</f>
        <v>0</v>
      </c>
      <c r="C8" s="36" t="s">
        <v>394</v>
      </c>
    </row>
    <row r="9" spans="1:3" ht="27.75" customHeight="1" x14ac:dyDescent="0.3">
      <c r="A9" s="36" t="s">
        <v>395</v>
      </c>
      <c r="B9" s="37">
        <f>SUMPRODUCT((Cad_ID&lt;&gt;"")*(COUNTIF(Cad_ID,Cad_ID&amp;"")&gt;1))</f>
        <v>0</v>
      </c>
      <c r="C9" s="36" t="s">
        <v>396</v>
      </c>
    </row>
    <row r="10" spans="1:3" ht="27.75" customHeight="1" x14ac:dyDescent="0.3">
      <c r="A10" s="36" t="s">
        <v>397</v>
      </c>
      <c r="B10" s="37">
        <f>SUMPRODUCT((Cad_Cham&lt;&gt;"")*(COUNTIF(Proj_Cham,Cad_Cham&amp;"")=0))</f>
        <v>0</v>
      </c>
      <c r="C10" s="36" t="s">
        <v>398</v>
      </c>
    </row>
    <row r="11" spans="1:3" ht="27.75" customHeight="1" x14ac:dyDescent="0.3">
      <c r="A11" s="36" t="s">
        <v>399</v>
      </c>
      <c r="B11" s="37">
        <f>SUMPRODUCT((Cad_Prod&lt;&gt;"")*(COUNTIF(Prod_Cod,Cad_Prod&amp;"")=0))</f>
        <v>0</v>
      </c>
      <c r="C11" s="36" t="s">
        <v>400</v>
      </c>
    </row>
    <row r="12" spans="1:3" ht="27.75" customHeight="1" x14ac:dyDescent="0.3">
      <c r="A12" s="36" t="s">
        <v>401</v>
      </c>
      <c r="B12" s="37">
        <f>SUMPRODUCT((Cad_OC&lt;&gt;"")*(Cad_SC=""))</f>
        <v>0</v>
      </c>
      <c r="C12" s="36" t="s">
        <v>402</v>
      </c>
    </row>
    <row r="13" spans="1:3" ht="27.75" customHeight="1" x14ac:dyDescent="0.3">
      <c r="A13" s="36" t="s">
        <v>403</v>
      </c>
      <c r="B13" s="37">
        <f>'02_Escopo_Itens'!$AD$1</f>
        <v>0</v>
      </c>
      <c r="C13" s="36" t="s">
        <v>404</v>
      </c>
    </row>
    <row r="14" spans="1:3" ht="27.75" customHeight="1" x14ac:dyDescent="0.3">
      <c r="A14" s="36" t="s">
        <v>405</v>
      </c>
      <c r="B14" s="37">
        <f>'02_Escopo_Itens'!$AC$1</f>
        <v>0</v>
      </c>
      <c r="C14" s="36" t="s">
        <v>406</v>
      </c>
    </row>
    <row r="15" spans="1:3" ht="27.75" customHeight="1" x14ac:dyDescent="0.3">
      <c r="A15" s="36" t="s">
        <v>407</v>
      </c>
      <c r="B15" s="37">
        <f ca="1">SUMPRODUCT((SC_Num&lt;&gt;"")*(SC_Situacao="COMPRA ACIMA DA SC"))</f>
        <v>0</v>
      </c>
      <c r="C15" s="36" t="s">
        <v>408</v>
      </c>
    </row>
    <row r="16" spans="1:3" ht="27.75" customHeight="1" x14ac:dyDescent="0.3">
      <c r="A16" s="36" t="s">
        <v>409</v>
      </c>
      <c r="B16" s="37">
        <f>COUNTIF(Ent_Conf,"ITEM NÃO ENCONTRADO")</f>
        <v>0</v>
      </c>
      <c r="C16" s="36" t="s">
        <v>410</v>
      </c>
    </row>
    <row r="17" spans="1:3" ht="27.75" customHeight="1" x14ac:dyDescent="0.3">
      <c r="A17" s="36" t="s">
        <v>411</v>
      </c>
      <c r="B17" s="37">
        <f>COUNTIF(Ent_Conf,"RECEBIDO ACIMA DA OC")</f>
        <v>0</v>
      </c>
      <c r="C17" s="36" t="s">
        <v>412</v>
      </c>
    </row>
    <row r="18" spans="1:3" ht="27.75" customHeight="1" x14ac:dyDescent="0.3">
      <c r="A18" s="36" t="s">
        <v>413</v>
      </c>
      <c r="B18" s="37">
        <f>'08_Historico_Etapas'!$N$1</f>
        <v>0</v>
      </c>
      <c r="C18" s="36" t="s">
        <v>414</v>
      </c>
    </row>
    <row r="19" spans="1:3" ht="27.75" customHeight="1" x14ac:dyDescent="0.3">
      <c r="A19" s="36" t="s">
        <v>415</v>
      </c>
      <c r="B19" s="37">
        <f>'01_Projetos'!$AH$1</f>
        <v>0</v>
      </c>
      <c r="C19" s="36" t="s">
        <v>416</v>
      </c>
    </row>
    <row r="20" spans="1:3" ht="27.75" customHeight="1" x14ac:dyDescent="0.3">
      <c r="A20" s="36" t="s">
        <v>417</v>
      </c>
      <c r="B20" s="37">
        <f>COUNTIF(His_Resp,"ETAPA NÃO CADASTRADA")</f>
        <v>0</v>
      </c>
      <c r="C20" s="36" t="s">
        <v>418</v>
      </c>
    </row>
    <row r="22" spans="1:3" ht="15.6" x14ac:dyDescent="0.3">
      <c r="A22" s="38" t="s">
        <v>419</v>
      </c>
      <c r="B22" s="39">
        <f ca="1">SUM(B5:B20)</f>
        <v>0</v>
      </c>
    </row>
  </sheetData>
  <conditionalFormatting sqref="B5:B20">
    <cfRule type="cellIs" dxfId="1" priority="2" operator="greaterThan">
      <formula>0</formula>
    </cfRule>
    <cfRule type="cellIs" dxfId="0" priority="3" operator="equal">
      <formula>0</formula>
    </cfRule>
  </conditionalFormatting>
  <pageMargins left="0.75" right="0.75" top="1" bottom="1" header="0.511811023622047" footer="0.511811023622047"/>
  <pageSetup paperSize="9" orientation="portrait" horizontalDpi="300" verticalDpi="30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>
    <tabColor rgb="FF8A94A0"/>
  </sheetPr>
  <dimension ref="A1:V154"/>
  <sheetViews>
    <sheetView showGridLines="0" zoomScaleNormal="100" workbookViewId="0">
      <selection activeCell="B5" sqref="B5"/>
    </sheetView>
  </sheetViews>
  <sheetFormatPr defaultColWidth="8.6640625" defaultRowHeight="14.4" x14ac:dyDescent="0.3"/>
  <cols>
    <col min="1" max="1" width="14" customWidth="1"/>
    <col min="2" max="8" width="12" customWidth="1"/>
    <col min="10" max="10" width="40" customWidth="1"/>
    <col min="11" max="12" width="12" customWidth="1"/>
    <col min="14" max="14" width="40" customWidth="1"/>
    <col min="15" max="15" width="12" customWidth="1"/>
    <col min="16" max="16" width="14" customWidth="1"/>
    <col min="18" max="18" width="24" customWidth="1"/>
    <col min="19" max="19" width="13" customWidth="1"/>
    <col min="21" max="21" width="24" customWidth="1"/>
    <col min="22" max="22" width="50" customWidth="1"/>
  </cols>
  <sheetData>
    <row r="1" spans="1:22" ht="18" x14ac:dyDescent="0.35">
      <c r="A1" s="12" t="s">
        <v>420</v>
      </c>
    </row>
    <row r="2" spans="1:22" x14ac:dyDescent="0.3">
      <c r="A2" s="15" t="s">
        <v>421</v>
      </c>
    </row>
    <row r="4" spans="1:22" ht="24" x14ac:dyDescent="0.3">
      <c r="A4" s="6" t="s">
        <v>22</v>
      </c>
      <c r="B4" s="6" t="s">
        <v>12</v>
      </c>
      <c r="C4" s="6" t="s">
        <v>422</v>
      </c>
      <c r="D4" s="6" t="s">
        <v>423</v>
      </c>
      <c r="E4" s="6" t="s">
        <v>424</v>
      </c>
      <c r="F4" s="6" t="s">
        <v>293</v>
      </c>
      <c r="G4" s="6" t="s">
        <v>425</v>
      </c>
      <c r="H4" s="6" t="s">
        <v>103</v>
      </c>
      <c r="J4" s="6" t="s">
        <v>23</v>
      </c>
      <c r="K4" s="6" t="s">
        <v>426</v>
      </c>
      <c r="L4" s="6" t="s">
        <v>11</v>
      </c>
      <c r="N4" s="6" t="s">
        <v>261</v>
      </c>
      <c r="O4" s="6" t="s">
        <v>275</v>
      </c>
      <c r="P4" s="6" t="s">
        <v>427</v>
      </c>
      <c r="R4" s="6" t="s">
        <v>428</v>
      </c>
      <c r="S4" s="6" t="s">
        <v>429</v>
      </c>
      <c r="U4" s="40" t="s">
        <v>5</v>
      </c>
      <c r="V4" s="40" t="s">
        <v>7</v>
      </c>
    </row>
    <row r="5" spans="1:22" x14ac:dyDescent="0.3">
      <c r="A5" s="41" t="s">
        <v>281</v>
      </c>
      <c r="B5" s="42">
        <f t="shared" ref="B5:H12" ca="1" si="0">SUMPRODUCT((Proj_Unid=$A5)*(Proj_Situacao=B$4)*((Proj_Unid=Filtro_Unid)+(Filtro_Unid="(TODAS AS UNIDADES)")&gt;0)*((Proj_Rotulo=Filtro_Proj)+(Filtro_Proj="(TODOS OS PROJETOS)")&gt;0))</f>
        <v>10</v>
      </c>
      <c r="C5" s="42">
        <f t="shared" ca="1" si="0"/>
        <v>0</v>
      </c>
      <c r="D5" s="42">
        <f t="shared" ca="1" si="0"/>
        <v>0</v>
      </c>
      <c r="E5" s="42">
        <f t="shared" ca="1" si="0"/>
        <v>2</v>
      </c>
      <c r="F5" s="42">
        <f t="shared" ca="1" si="0"/>
        <v>0</v>
      </c>
      <c r="G5" s="42">
        <f t="shared" ca="1" si="0"/>
        <v>0</v>
      </c>
      <c r="H5" s="42">
        <f t="shared" ca="1" si="0"/>
        <v>1</v>
      </c>
      <c r="J5" s="41" t="s">
        <v>88</v>
      </c>
      <c r="K5" s="42">
        <f t="shared" ref="K5:K15" si="1">SUMPRODUCT((Proj_Etapa=$J5)*(Proj_Ordem&lt;&gt;"")*((Proj_Unid=Filtro_Unid)+(Filtro_Unid="(TODAS AS UNIDADES)")&gt;0)*((Proj_Rotulo=Filtro_Proj)+(Filtro_Proj="(TODOS OS PROJETOS)")&gt;0))</f>
        <v>5</v>
      </c>
      <c r="L5" s="42">
        <f t="shared" ref="L5:L15" si="2">SUMPRODUCT((Proj_Etapa=$J5)*(Proj_Status="CONCLUÍDO")*((Proj_Unid=Filtro_Unid)+(Filtro_Unid="(TODAS AS UNIDADES)")&gt;0)*((Proj_Rotulo=Filtro_Proj)+(Filtro_Proj="(TODOS OS PROJETOS)")&gt;0))</f>
        <v>0</v>
      </c>
      <c r="N5" s="41" t="s">
        <v>88</v>
      </c>
      <c r="O5" s="42">
        <f t="shared" ref="O5:O15" si="3">IFERROR(INDEX(Etapa_SLA,MATCH($N5,Lista_Etapas,0)),0)</f>
        <v>7</v>
      </c>
      <c r="P5" s="43">
        <f t="shared" ref="P5:P15" si="4">IFERROR(AVERAGEIFS(His_Dias,His_Etapa,$N5,His_Situacao,"CONCLUÍDA"),0)</f>
        <v>0</v>
      </c>
      <c r="R5" s="41" t="s">
        <v>430</v>
      </c>
      <c r="S5" s="44">
        <f>SUMPRODUCT(N(Esc_Prev)*((Esc_Unid=Filtro_Unid)+(Filtro_Unid="(TODAS AS UNIDADES)")&gt;0)*((Esc_Rotulo=Filtro_Proj)+(Filtro_Proj="(TODOS OS PROJETOS)")&gt;0))</f>
        <v>2980</v>
      </c>
      <c r="U5" s="41" t="s">
        <v>281</v>
      </c>
      <c r="V5" s="41" t="str">
        <f>IF('01_Projetos'!$AE5="","",'01_Projetos'!$AE5)</f>
        <v/>
      </c>
    </row>
    <row r="6" spans="1:22" x14ac:dyDescent="0.3">
      <c r="A6" s="41" t="s">
        <v>63</v>
      </c>
      <c r="B6" s="42">
        <f t="shared" ca="1" si="0"/>
        <v>3</v>
      </c>
      <c r="C6" s="42">
        <f t="shared" ca="1" si="0"/>
        <v>0</v>
      </c>
      <c r="D6" s="42">
        <f t="shared" ca="1" si="0"/>
        <v>0</v>
      </c>
      <c r="E6" s="42">
        <f t="shared" ca="1" si="0"/>
        <v>4</v>
      </c>
      <c r="F6" s="42">
        <f t="shared" ca="1" si="0"/>
        <v>0</v>
      </c>
      <c r="G6" s="42">
        <f t="shared" ca="1" si="0"/>
        <v>0</v>
      </c>
      <c r="H6" s="42">
        <f t="shared" ca="1" si="0"/>
        <v>5</v>
      </c>
      <c r="J6" s="41" t="s">
        <v>129</v>
      </c>
      <c r="K6" s="42">
        <f t="shared" si="1"/>
        <v>3</v>
      </c>
      <c r="L6" s="42">
        <f t="shared" si="2"/>
        <v>0</v>
      </c>
      <c r="N6" s="41" t="s">
        <v>129</v>
      </c>
      <c r="O6" s="42">
        <f t="shared" si="3"/>
        <v>3</v>
      </c>
      <c r="P6" s="43">
        <f t="shared" si="4"/>
        <v>0</v>
      </c>
      <c r="R6" s="41" t="s">
        <v>431</v>
      </c>
      <c r="S6" s="44">
        <f>SUMPRODUCT(N(Esc_Solic)*((Esc_Unid=Filtro_Unid)+(Filtro_Unid="(TODAS AS UNIDADES)")&gt;0)*((Esc_Rotulo=Filtro_Proj)+(Filtro_Proj="(TODOS OS PROJETOS)")&gt;0))</f>
        <v>2980</v>
      </c>
      <c r="U6" s="41" t="s">
        <v>63</v>
      </c>
      <c r="V6" s="41" t="str">
        <f>IF('01_Projetos'!$AE6="","",'01_Projetos'!$AE6)</f>
        <v>123  ·  CONTROLE DE ACESSO - VICE PRESIDÊNCIA  ·  SNP</v>
      </c>
    </row>
    <row r="7" spans="1:22" x14ac:dyDescent="0.3">
      <c r="A7" s="41" t="s">
        <v>119</v>
      </c>
      <c r="B7" s="42">
        <f t="shared" ca="1" si="0"/>
        <v>2</v>
      </c>
      <c r="C7" s="42">
        <f t="shared" ca="1" si="0"/>
        <v>0</v>
      </c>
      <c r="D7" s="42">
        <f t="shared" ca="1" si="0"/>
        <v>0</v>
      </c>
      <c r="E7" s="42">
        <f t="shared" ca="1" si="0"/>
        <v>3</v>
      </c>
      <c r="F7" s="42">
        <f t="shared" ca="1" si="0"/>
        <v>0</v>
      </c>
      <c r="G7" s="42">
        <f t="shared" ca="1" si="0"/>
        <v>0</v>
      </c>
      <c r="H7" s="42">
        <f t="shared" ca="1" si="0"/>
        <v>0</v>
      </c>
      <c r="J7" s="41" t="s">
        <v>120</v>
      </c>
      <c r="K7" s="42">
        <f t="shared" si="1"/>
        <v>31</v>
      </c>
      <c r="L7" s="42">
        <f t="shared" si="2"/>
        <v>0</v>
      </c>
      <c r="N7" s="41" t="s">
        <v>120</v>
      </c>
      <c r="O7" s="42">
        <f t="shared" si="3"/>
        <v>10</v>
      </c>
      <c r="P7" s="43">
        <f t="shared" si="4"/>
        <v>0</v>
      </c>
      <c r="R7" s="41" t="s">
        <v>432</v>
      </c>
      <c r="S7" s="44">
        <f>SUMPRODUCT(N(Esc_Comp)*((Esc_Unid=Filtro_Unid)+(Filtro_Unid="(TODAS AS UNIDADES)")&gt;0)*((Esc_Rotulo=Filtro_Proj)+(Filtro_Proj="(TODOS OS PROJETOS)")&gt;0))</f>
        <v>2384</v>
      </c>
      <c r="U7" s="41" t="s">
        <v>119</v>
      </c>
      <c r="V7" s="41" t="str">
        <f>IF('01_Projetos'!$AE7="","",'01_Projetos'!$AE7)</f>
        <v>N/A01  ·  ETANOL  ·  BLS</v>
      </c>
    </row>
    <row r="8" spans="1:22" x14ac:dyDescent="0.3">
      <c r="A8" s="41" t="s">
        <v>127</v>
      </c>
      <c r="B8" s="42">
        <f t="shared" ca="1" si="0"/>
        <v>1</v>
      </c>
      <c r="C8" s="42">
        <f t="shared" ca="1" si="0"/>
        <v>0</v>
      </c>
      <c r="D8" s="42">
        <f t="shared" ca="1" si="0"/>
        <v>0</v>
      </c>
      <c r="E8" s="42">
        <f t="shared" ca="1" si="0"/>
        <v>2</v>
      </c>
      <c r="F8" s="42">
        <f t="shared" ca="1" si="0"/>
        <v>0</v>
      </c>
      <c r="G8" s="42">
        <f t="shared" ca="1" si="0"/>
        <v>0</v>
      </c>
      <c r="H8" s="42">
        <f t="shared" ca="1" si="0"/>
        <v>2</v>
      </c>
      <c r="J8" s="41" t="s">
        <v>66</v>
      </c>
      <c r="K8" s="42">
        <f t="shared" si="1"/>
        <v>1</v>
      </c>
      <c r="L8" s="42">
        <f t="shared" si="2"/>
        <v>0</v>
      </c>
      <c r="N8" s="41" t="s">
        <v>66</v>
      </c>
      <c r="O8" s="42">
        <f t="shared" si="3"/>
        <v>35</v>
      </c>
      <c r="P8" s="43">
        <f t="shared" si="4"/>
        <v>91</v>
      </c>
      <c r="R8" s="41" t="s">
        <v>433</v>
      </c>
      <c r="S8" s="44">
        <f>SUMPRODUCT(N(Esc_Receb)*((Esc_Unid=Filtro_Unid)+(Filtro_Unid="(TODAS AS UNIDADES)")&gt;0)*((Esc_Rotulo=Filtro_Proj)+(Filtro_Proj="(TODOS OS PROJETOS)")&gt;0))</f>
        <v>0</v>
      </c>
      <c r="U8" s="41" t="s">
        <v>127</v>
      </c>
      <c r="V8" s="41" t="str">
        <f>IF('01_Projetos'!$AE8="","",'01_Projetos'!$AE8)</f>
        <v>N/A02  ·  STACKER RECLAIMER  ·  SNP</v>
      </c>
    </row>
    <row r="9" spans="1:22" x14ac:dyDescent="0.3">
      <c r="A9" s="41" t="s">
        <v>76</v>
      </c>
      <c r="B9" s="42">
        <f t="shared" ca="1" si="0"/>
        <v>2</v>
      </c>
      <c r="C9" s="42">
        <f t="shared" ca="1" si="0"/>
        <v>0</v>
      </c>
      <c r="D9" s="42">
        <f t="shared" ca="1" si="0"/>
        <v>0</v>
      </c>
      <c r="E9" s="42">
        <f t="shared" ca="1" si="0"/>
        <v>0</v>
      </c>
      <c r="F9" s="42">
        <f t="shared" ca="1" si="0"/>
        <v>0</v>
      </c>
      <c r="G9" s="42">
        <f t="shared" ca="1" si="0"/>
        <v>0</v>
      </c>
      <c r="H9" s="42">
        <f t="shared" ca="1" si="0"/>
        <v>7</v>
      </c>
      <c r="J9" s="41" t="s">
        <v>310</v>
      </c>
      <c r="K9" s="42">
        <f t="shared" si="1"/>
        <v>2</v>
      </c>
      <c r="L9" s="42">
        <f t="shared" si="2"/>
        <v>0</v>
      </c>
      <c r="N9" s="41" t="s">
        <v>310</v>
      </c>
      <c r="O9" s="42">
        <f t="shared" si="3"/>
        <v>3</v>
      </c>
      <c r="P9" s="43">
        <f t="shared" si="4"/>
        <v>0</v>
      </c>
      <c r="R9" s="41" t="s">
        <v>434</v>
      </c>
      <c r="S9" s="44">
        <f>SUMPRODUCT(N(Esc_Lib)*((Esc_Unid=Filtro_Unid)+(Filtro_Unid="(TODAS AS UNIDADES)")&gt;0)*((Esc_Rotulo=Filtro_Proj)+(Filtro_Proj="(TODOS OS PROJETOS)")&gt;0))</f>
        <v>0</v>
      </c>
      <c r="U9" s="41" t="s">
        <v>76</v>
      </c>
      <c r="V9" s="41" t="str">
        <f>IF('01_Projetos'!$AE9="","",'01_Projetos'!$AE9)</f>
        <v>N/A03  ·  CENTRAL DE RESIDUOS  ·  SNP</v>
      </c>
    </row>
    <row r="10" spans="1:22" x14ac:dyDescent="0.3">
      <c r="A10" s="41" t="s">
        <v>168</v>
      </c>
      <c r="B10" s="42">
        <f t="shared" ca="1" si="0"/>
        <v>1</v>
      </c>
      <c r="C10" s="42">
        <f t="shared" ca="1" si="0"/>
        <v>0</v>
      </c>
      <c r="D10" s="42">
        <f t="shared" ca="1" si="0"/>
        <v>0</v>
      </c>
      <c r="E10" s="42">
        <f t="shared" ca="1" si="0"/>
        <v>0</v>
      </c>
      <c r="F10" s="42">
        <f t="shared" ca="1" si="0"/>
        <v>0</v>
      </c>
      <c r="G10" s="42">
        <f t="shared" ca="1" si="0"/>
        <v>0</v>
      </c>
      <c r="H10" s="42">
        <f t="shared" ca="1" si="0"/>
        <v>3</v>
      </c>
      <c r="J10" s="41" t="s">
        <v>83</v>
      </c>
      <c r="K10" s="42">
        <f t="shared" si="1"/>
        <v>2</v>
      </c>
      <c r="L10" s="42">
        <f t="shared" si="2"/>
        <v>0</v>
      </c>
      <c r="N10" s="41" t="s">
        <v>83</v>
      </c>
      <c r="O10" s="42">
        <f t="shared" si="3"/>
        <v>10</v>
      </c>
      <c r="P10" s="43">
        <f t="shared" si="4"/>
        <v>0</v>
      </c>
      <c r="R10" s="41" t="s">
        <v>435</v>
      </c>
      <c r="S10" s="44">
        <f>SUMPRODUCT(N(Esc_Inst)*((Esc_Unid=Filtro_Unid)+(Filtro_Unid="(TODAS AS UNIDADES)")&gt;0)*((Esc_Rotulo=Filtro_Proj)+(Filtro_Proj="(TODOS OS PROJETOS)")&gt;0))</f>
        <v>0</v>
      </c>
      <c r="U10" s="41" t="s">
        <v>168</v>
      </c>
      <c r="V10" s="41" t="str">
        <f>IF('01_Projetos'!$AE10="","",'01_Projetos'!$AE10)</f>
        <v>N/A04  ·  ARMAZÉM DE MILHO  ·  SNP</v>
      </c>
    </row>
    <row r="11" spans="1:22" x14ac:dyDescent="0.3">
      <c r="A11" s="41" t="s">
        <v>139</v>
      </c>
      <c r="B11" s="42">
        <f t="shared" ca="1" si="0"/>
        <v>2</v>
      </c>
      <c r="C11" s="42">
        <f t="shared" ca="1" si="0"/>
        <v>0</v>
      </c>
      <c r="D11" s="42">
        <f t="shared" ca="1" si="0"/>
        <v>0</v>
      </c>
      <c r="E11" s="42">
        <f t="shared" ca="1" si="0"/>
        <v>2</v>
      </c>
      <c r="F11" s="42">
        <f t="shared" ca="1" si="0"/>
        <v>0</v>
      </c>
      <c r="G11" s="42">
        <f t="shared" ca="1" si="0"/>
        <v>0</v>
      </c>
      <c r="H11" s="42">
        <f t="shared" ca="1" si="0"/>
        <v>6</v>
      </c>
      <c r="J11" s="41" t="s">
        <v>320</v>
      </c>
      <c r="K11" s="42">
        <f t="shared" si="1"/>
        <v>1</v>
      </c>
      <c r="L11" s="42">
        <f t="shared" si="2"/>
        <v>0</v>
      </c>
      <c r="N11" s="41" t="s">
        <v>320</v>
      </c>
      <c r="O11" s="42">
        <f t="shared" si="3"/>
        <v>10</v>
      </c>
      <c r="P11" s="43">
        <f t="shared" si="4"/>
        <v>0</v>
      </c>
      <c r="R11" s="41" t="s">
        <v>436</v>
      </c>
      <c r="S11" s="44">
        <f>SUMPRODUCT(N(Esc_IP)*((Esc_Unid=Filtro_Unid)+(Filtro_Unid="(TODAS AS UNIDADES)")&gt;0)*((Esc_Rotulo=Filtro_Proj)+(Filtro_Proj="(TODOS OS PROJETOS)")&gt;0))</f>
        <v>0</v>
      </c>
      <c r="U11" s="41" t="s">
        <v>139</v>
      </c>
      <c r="V11" s="41" t="str">
        <f>IF('01_Projetos'!$AE11="","",'01_Projetos'!$AE11)</f>
        <v>N/A05  ·  CLASSIFICAÇÃO + CONTROLE DE ACESSO  ·  SNP</v>
      </c>
    </row>
    <row r="12" spans="1:22" x14ac:dyDescent="0.3">
      <c r="A12" s="41" t="s">
        <v>324</v>
      </c>
      <c r="B12" s="42">
        <f t="shared" ca="1" si="0"/>
        <v>10</v>
      </c>
      <c r="C12" s="42">
        <f t="shared" ca="1" si="0"/>
        <v>0</v>
      </c>
      <c r="D12" s="42">
        <f t="shared" ca="1" si="0"/>
        <v>0</v>
      </c>
      <c r="E12" s="42">
        <f t="shared" ca="1" si="0"/>
        <v>10</v>
      </c>
      <c r="F12" s="42">
        <f t="shared" ca="1" si="0"/>
        <v>0</v>
      </c>
      <c r="G12" s="42">
        <f t="shared" ca="1" si="0"/>
        <v>0</v>
      </c>
      <c r="H12" s="42">
        <f t="shared" ca="1" si="0"/>
        <v>0</v>
      </c>
      <c r="J12" s="41" t="s">
        <v>140</v>
      </c>
      <c r="K12" s="42">
        <f t="shared" si="1"/>
        <v>1</v>
      </c>
      <c r="L12" s="42">
        <f t="shared" si="2"/>
        <v>0</v>
      </c>
      <c r="N12" s="41" t="s">
        <v>140</v>
      </c>
      <c r="O12" s="42">
        <f t="shared" si="3"/>
        <v>10</v>
      </c>
      <c r="P12" s="43">
        <f t="shared" si="4"/>
        <v>0</v>
      </c>
      <c r="R12" s="41" t="s">
        <v>437</v>
      </c>
      <c r="S12" s="44">
        <f>SUMPRODUCT(N(Esc_VMS)*((Esc_Unid=Filtro_Unid)+(Filtro_Unid="(TODAS AS UNIDADES)")&gt;0)*((Esc_Rotulo=Filtro_Proj)+(Filtro_Proj="(TODOS OS PROJETOS)")&gt;0))</f>
        <v>0</v>
      </c>
      <c r="U12" s="41" t="s">
        <v>324</v>
      </c>
      <c r="V12" s="41" t="str">
        <f>IF('01_Projetos'!$AE12="","",'01_Projetos'!$AE12)</f>
        <v>N/A06  ·  MCA BALANÇAS  ·  SNP</v>
      </c>
    </row>
    <row r="13" spans="1:22" x14ac:dyDescent="0.3">
      <c r="J13" s="41" t="s">
        <v>329</v>
      </c>
      <c r="K13" s="42">
        <f t="shared" si="1"/>
        <v>1</v>
      </c>
      <c r="L13" s="42">
        <f t="shared" si="2"/>
        <v>0</v>
      </c>
      <c r="N13" s="41" t="s">
        <v>329</v>
      </c>
      <c r="O13" s="42">
        <f t="shared" si="3"/>
        <v>5</v>
      </c>
      <c r="P13" s="43">
        <f t="shared" si="4"/>
        <v>0</v>
      </c>
      <c r="V13" s="41" t="str">
        <f>IF('01_Projetos'!$AE13="","",'01_Projetos'!$AE13)</f>
        <v>N/A07  ·  REFORMA CALDEIRA I E II  ·  SNP</v>
      </c>
    </row>
    <row r="14" spans="1:22" x14ac:dyDescent="0.3">
      <c r="J14" s="41" t="s">
        <v>78</v>
      </c>
      <c r="K14" s="42">
        <f t="shared" si="1"/>
        <v>1</v>
      </c>
      <c r="L14" s="42">
        <f t="shared" si="2"/>
        <v>0</v>
      </c>
      <c r="N14" s="41" t="s">
        <v>78</v>
      </c>
      <c r="O14" s="42">
        <f t="shared" si="3"/>
        <v>3</v>
      </c>
      <c r="P14" s="43">
        <f t="shared" si="4"/>
        <v>0</v>
      </c>
      <c r="V14" s="41" t="str">
        <f>IF('01_Projetos'!$AE14="","",'01_Projetos'!$AE14)</f>
        <v>N/A08  ·  CASA DE BOMBAS  ·  SNP</v>
      </c>
    </row>
    <row r="15" spans="1:22" x14ac:dyDescent="0.3">
      <c r="J15" s="41" t="s">
        <v>72</v>
      </c>
      <c r="K15" s="42">
        <f t="shared" si="1"/>
        <v>6</v>
      </c>
      <c r="L15" s="42">
        <f t="shared" si="2"/>
        <v>24</v>
      </c>
      <c r="N15" s="41" t="s">
        <v>72</v>
      </c>
      <c r="O15" s="42">
        <f t="shared" si="3"/>
        <v>5</v>
      </c>
      <c r="P15" s="43">
        <f t="shared" si="4"/>
        <v>0</v>
      </c>
      <c r="V15" s="41" t="str">
        <f>IF('01_Projetos'!$AE15="","",'01_Projetos'!$AE15)</f>
        <v>N/A09  ·  MANIPULAÇÃO DE QUÍMICOS  ·  SNP</v>
      </c>
    </row>
    <row r="16" spans="1:22" x14ac:dyDescent="0.3">
      <c r="V16" s="41" t="str">
        <f>IF('01_Projetos'!$AE16="","",'01_Projetos'!$AE16)</f>
        <v>N/A10  ·  CAIXA D'AGUA  ·  SNP</v>
      </c>
    </row>
    <row r="17" spans="22:22" x14ac:dyDescent="0.3">
      <c r="V17" s="41" t="str">
        <f>IF('01_Projetos'!$AE17="","",'01_Projetos'!$AE17)</f>
        <v>N/A11  ·  BULKMETER  ·  MTU</v>
      </c>
    </row>
    <row r="18" spans="22:22" x14ac:dyDescent="0.3">
      <c r="V18" s="41" t="str">
        <f>IF('01_Projetos'!$AE18="","",'01_Projetos'!$AE18)</f>
        <v>N/A12  ·  CLASSIFICAÇÃO + CONTROLE DE ACESSO  ·  MTU</v>
      </c>
    </row>
    <row r="19" spans="22:22" x14ac:dyDescent="0.3">
      <c r="V19" s="41" t="str">
        <f>IF('01_Projetos'!$AE19="","",'01_Projetos'!$AE19)</f>
        <v>N/A13  ·  CASA DE FORÇA - 02  ·  MTU</v>
      </c>
    </row>
    <row r="20" spans="22:22" x14ac:dyDescent="0.3">
      <c r="V20" s="41" t="str">
        <f>IF('01_Projetos'!$AE20="","",'01_Projetos'!$AE20)</f>
        <v>N/A14  ·  ARMAZÉM DDGS  ·  DRD</v>
      </c>
    </row>
    <row r="21" spans="22:22" x14ac:dyDescent="0.3">
      <c r="V21" s="41" t="str">
        <f>IF('01_Projetos'!$AE21="","",'01_Projetos'!$AE21)</f>
        <v>N/A15  ·  CALDEIRA III  ·  DRD</v>
      </c>
    </row>
    <row r="22" spans="22:22" x14ac:dyDescent="0.3">
      <c r="V22" s="41" t="str">
        <f>IF('01_Projetos'!$AE22="","",'01_Projetos'!$AE22)</f>
        <v>N/A16  ·  CLASSIFICAÇÃO + CONTROLE DE ACESSO  ·  DRD</v>
      </c>
    </row>
    <row r="23" spans="22:22" x14ac:dyDescent="0.3">
      <c r="V23" s="41" t="str">
        <f>IF('01_Projetos'!$AE23="","",'01_Projetos'!$AE23)</f>
        <v>N/A17  ·  MANIPULAÇÃO DE QUÍMICOS  ·  DRD</v>
      </c>
    </row>
    <row r="24" spans="22:22" x14ac:dyDescent="0.3">
      <c r="V24" s="41" t="str">
        <f>IF('01_Projetos'!$AE24="","",'01_Projetos'!$AE24)</f>
        <v>N/A18  ·  BALANÇAS  ·  DRD</v>
      </c>
    </row>
    <row r="25" spans="22:22" x14ac:dyDescent="0.3">
      <c r="V25" s="41" t="str">
        <f>IF('01_Projetos'!$AE25="","",'01_Projetos'!$AE25)</f>
        <v>N/A19  ·  ARMAZÉM DE MILHO  ·  SDL</v>
      </c>
    </row>
    <row r="26" spans="22:22" x14ac:dyDescent="0.3">
      <c r="V26" s="41" t="str">
        <f>IF('01_Projetos'!$AE26="","",'01_Projetos'!$AE26)</f>
        <v>N/A20  ·  ARMAZÉM DDGS  ·  SDL</v>
      </c>
    </row>
    <row r="27" spans="22:22" x14ac:dyDescent="0.3">
      <c r="V27" s="41" t="str">
        <f>IF('01_Projetos'!$AE27="","",'01_Projetos'!$AE27)</f>
        <v>N/A21  ·  TOMBADOR  ·  SDL</v>
      </c>
    </row>
    <row r="28" spans="22:22" x14ac:dyDescent="0.3">
      <c r="V28" s="41" t="str">
        <f>IF('01_Projetos'!$AE28="","",'01_Projetos'!$AE28)</f>
        <v>N/A22  ·  CASA DE FORÇA  ·  SDL</v>
      </c>
    </row>
    <row r="29" spans="22:22" x14ac:dyDescent="0.3">
      <c r="V29" s="41" t="str">
        <f>IF('01_Projetos'!$AE29="","",'01_Projetos'!$AE29)</f>
        <v>N/A23  ·  MANIPULAÇÃO DE QUÍMICOS  ·  SDL</v>
      </c>
    </row>
    <row r="30" spans="22:22" x14ac:dyDescent="0.3">
      <c r="V30" s="41" t="str">
        <f>IF('01_Projetos'!$AE30="","",'01_Projetos'!$AE30)</f>
        <v>N/A24  ·  CLASSIFICAÇÃO + CONTROLE DE ACESSO  ·  SDL</v>
      </c>
    </row>
    <row r="31" spans="22:22" x14ac:dyDescent="0.3">
      <c r="V31" s="41" t="str">
        <f>IF('01_Projetos'!$AE31="","",'01_Projetos'!$AE31)</f>
        <v>N/A25  ·  CASA DE BOMBAS  ·  SDL</v>
      </c>
    </row>
    <row r="32" spans="22:22" x14ac:dyDescent="0.3">
      <c r="V32" s="41" t="str">
        <f>IF('01_Projetos'!$AE32="","",'01_Projetos'!$AE32)</f>
        <v>N/A26  ·  MANUTENÇÃO INDUSTRIAL - ADMINISTRAÇÃO  ·  SDL</v>
      </c>
    </row>
    <row r="33" spans="22:22" x14ac:dyDescent="0.3">
      <c r="V33" s="41" t="str">
        <f>IF('01_Projetos'!$AE33="","",'01_Projetos'!$AE33)</f>
        <v>N/A27  ·  BIOMASSA  ·  SDL</v>
      </c>
    </row>
    <row r="34" spans="22:22" x14ac:dyDescent="0.3">
      <c r="V34" s="41" t="str">
        <f>IF('01_Projetos'!$AE34="","",'01_Projetos'!$AE34)</f>
        <v>N/A28  ·  EXPEDIÇÃO DE ETANOL  ·  BLS</v>
      </c>
    </row>
    <row r="35" spans="22:22" x14ac:dyDescent="0.3">
      <c r="V35" s="41" t="str">
        <f>IF('01_Projetos'!$AE35="","",'01_Projetos'!$AE35)</f>
        <v>N/A29  ·  PÁTIO DE OPERAÇÕES  ·  BLS</v>
      </c>
    </row>
    <row r="36" spans="22:22" x14ac:dyDescent="0.3">
      <c r="V36" s="41" t="str">
        <f>IF('01_Projetos'!$AE36="","",'01_Projetos'!$AE36)</f>
        <v>N/A30  ·  CASA DE BOMBAS E OSMOSE  ·  BLS</v>
      </c>
    </row>
    <row r="37" spans="22:22" x14ac:dyDescent="0.3">
      <c r="V37" s="41" t="str">
        <f>IF('01_Projetos'!$AE37="","",'01_Projetos'!$AE37)</f>
        <v>N/A31  ·  CASA DE FORÇA  ·  BLS</v>
      </c>
    </row>
    <row r="38" spans="22:22" x14ac:dyDescent="0.3">
      <c r="V38" s="41" t="str">
        <f>IF('01_Projetos'!$AE38="","",'01_Projetos'!$AE38)</f>
        <v>N/A32  ·  PROPAGAÇÃO  ·  BLS</v>
      </c>
    </row>
    <row r="39" spans="22:22" x14ac:dyDescent="0.3">
      <c r="V39" s="41" t="str">
        <f>IF('01_Projetos'!$AE39="","",'01_Projetos'!$AE39)</f>
        <v>N/A33  ·  CLASSIFICAÇÃO + CONTROLE DE ACESSO  ·  BLS</v>
      </c>
    </row>
    <row r="40" spans="22:22" x14ac:dyDescent="0.3">
      <c r="V40" s="41" t="str">
        <f>IF('01_Projetos'!$AE40="","",'01_Projetos'!$AE40)</f>
        <v>N/A34  ·  CENTRAL DE RESIDUOS  ·  BLS</v>
      </c>
    </row>
    <row r="41" spans="22:22" x14ac:dyDescent="0.3">
      <c r="V41" s="41" t="str">
        <f>IF('01_Projetos'!$AE41="","",'01_Projetos'!$AE41)</f>
        <v>N/A35  ·  TOMBADOR  ·  LEM</v>
      </c>
    </row>
    <row r="42" spans="22:22" x14ac:dyDescent="0.3">
      <c r="V42" s="41" t="str">
        <f>IF('01_Projetos'!$AE42="","",'01_Projetos'!$AE42)</f>
        <v>N/A36  ·  BIOMASSA  ·  LEM</v>
      </c>
    </row>
    <row r="43" spans="22:22" x14ac:dyDescent="0.3">
      <c r="V43" s="41" t="str">
        <f>IF('01_Projetos'!$AE43="","",'01_Projetos'!$AE43)</f>
        <v>N/A37  ·  ARMAZÉM DDGS  ·  LEM</v>
      </c>
    </row>
    <row r="44" spans="22:22" x14ac:dyDescent="0.3">
      <c r="V44" s="41" t="str">
        <f>IF('01_Projetos'!$AE44="","",'01_Projetos'!$AE44)</f>
        <v>N/A38  ·  DEPÓSITO DE AGROTÓXICO  ·  LEM</v>
      </c>
    </row>
    <row r="45" spans="22:22" x14ac:dyDescent="0.3">
      <c r="V45" s="41" t="str">
        <f>IF('01_Projetos'!$AE45="","",'01_Projetos'!$AE45)</f>
        <v>N/A39  ·  BIOMASSA  ·  RVD</v>
      </c>
    </row>
    <row r="46" spans="22:22" x14ac:dyDescent="0.3">
      <c r="V46" s="41" t="str">
        <f>IF('01_Projetos'!$AE46="","",'01_Projetos'!$AE46)</f>
        <v>N/A40  ·  MANUTENÇÃO INDUSTRIAL - ADMINISTRAÇÃO  ·  RVD</v>
      </c>
    </row>
    <row r="47" spans="22:22" x14ac:dyDescent="0.3">
      <c r="V47" s="41" t="str">
        <f>IF('01_Projetos'!$AE47="","",'01_Projetos'!$AE47)</f>
        <v>N/A41  ·  REFEITÓRIO  ·  RVD</v>
      </c>
    </row>
    <row r="48" spans="22:22" x14ac:dyDescent="0.3">
      <c r="V48" s="41" t="str">
        <f>IF('01_Projetos'!$AE48="","",'01_Projetos'!$AE48)</f>
        <v>N/A42  ·  PIPE RACK  ·  RVD</v>
      </c>
    </row>
    <row r="49" spans="22:22" x14ac:dyDescent="0.3">
      <c r="V49" s="41" t="str">
        <f>IF('01_Projetos'!$AE49="","",'01_Projetos'!$AE49)</f>
        <v>N/A43  ·  ARMAZÉM DDGS  ·  RVD</v>
      </c>
    </row>
    <row r="50" spans="22:22" x14ac:dyDescent="0.3">
      <c r="V50" s="41" t="str">
        <f>IF('01_Projetos'!$AE50="","",'01_Projetos'!$AE50)</f>
        <v>N/A44  ·  OSMOSE  ·  RVD</v>
      </c>
    </row>
    <row r="51" spans="22:22" x14ac:dyDescent="0.3">
      <c r="V51" s="41" t="str">
        <f>IF('01_Projetos'!$AE51="","",'01_Projetos'!$AE51)</f>
        <v>N/A45  ·  CASA DE FORÇA  ·  RVD</v>
      </c>
    </row>
    <row r="52" spans="22:22" x14ac:dyDescent="0.3">
      <c r="V52" s="41" t="str">
        <f>IF('01_Projetos'!$AE52="","",'01_Projetos'!$AE52)</f>
        <v>N/A46  ·  TANQUES DE ETANOL  ·  RVD</v>
      </c>
    </row>
    <row r="53" spans="22:22" x14ac:dyDescent="0.3">
      <c r="V53" s="41" t="str">
        <f>IF('01_Projetos'!$AE53="","",'01_Projetos'!$AE53)</f>
        <v>N/A47  ·  EXPEDIÇÃO DE ETANOL  ·  RVD</v>
      </c>
    </row>
    <row r="54" spans="22:22" x14ac:dyDescent="0.3">
      <c r="V54" s="41" t="str">
        <f>IF('01_Projetos'!$AE54="","",'01_Projetos'!$AE54)</f>
        <v>N/A48  ·  COZINHA INDUSTRIAL  ·  RVD</v>
      </c>
    </row>
    <row r="55" spans="22:22" x14ac:dyDescent="0.3">
      <c r="V55" s="41" t="str">
        <f>IF('01_Projetos'!$AE55="","",'01_Projetos'!$AE55)</f>
        <v>N/A49  ·  TANQUES DE ÓLEO  ·  RVD</v>
      </c>
    </row>
    <row r="56" spans="22:22" x14ac:dyDescent="0.3">
      <c r="V56" s="41" t="str">
        <f>IF('01_Projetos'!$AE56="","",'01_Projetos'!$AE56)</f>
        <v>N/A50  ·  TOMBADOR  ·  RVD</v>
      </c>
    </row>
    <row r="57" spans="22:22" x14ac:dyDescent="0.3">
      <c r="V57" s="41" t="str">
        <f>IF('01_Projetos'!$AE57="","",'01_Projetos'!$AE57)</f>
        <v>N/A51  ·  ALMOX OPEX  ·  RVD</v>
      </c>
    </row>
    <row r="58" spans="22:22" x14ac:dyDescent="0.3">
      <c r="V58" s="41" t="str">
        <f>IF('01_Projetos'!$AE58="","",'01_Projetos'!$AE58)</f>
        <v>N/A52  ·  CALDEIRA  ·  RVD</v>
      </c>
    </row>
    <row r="59" spans="22:22" x14ac:dyDescent="0.3">
      <c r="V59" s="41" t="str">
        <f>IF('01_Projetos'!$AE59="","",'01_Projetos'!$AE59)</f>
        <v>N/A53  ·  PRÉDIO ADM  ·  RVD</v>
      </c>
    </row>
    <row r="60" spans="22:22" x14ac:dyDescent="0.3">
      <c r="V60" s="41" t="str">
        <f>IF('01_Projetos'!$AE60="","",'01_Projetos'!$AE60)</f>
        <v>N/A54  ·  COI  ·  RVD</v>
      </c>
    </row>
    <row r="61" spans="22:22" x14ac:dyDescent="0.3">
      <c r="V61" s="41" t="str">
        <f>IF('01_Projetos'!$AE61="","",'01_Projetos'!$AE61)</f>
        <v>N/A55  ·  FATURAMENTO  ·  RVD</v>
      </c>
    </row>
    <row r="62" spans="22:22" x14ac:dyDescent="0.3">
      <c r="V62" s="41" t="str">
        <f>IF('01_Projetos'!$AE62="","",'01_Projetos'!$AE62)</f>
        <v>N/A56  ·  CLASSIFICAÇÃO  ·  RVD</v>
      </c>
    </row>
    <row r="63" spans="22:22" x14ac:dyDescent="0.3">
      <c r="V63" s="41" t="str">
        <f>IF('01_Projetos'!$AE63="","",'01_Projetos'!$AE63)</f>
        <v>N/A57  ·  PORTARIA - ÁREA COMUM  ·  RVD</v>
      </c>
    </row>
    <row r="64" spans="22:22" x14ac:dyDescent="0.3">
      <c r="V64" s="41" t="str">
        <f>IF('01_Projetos'!$AE64="","",'01_Projetos'!$AE64)</f>
        <v>N/A58  ·  ALMOX CAPEX  ·  RVD</v>
      </c>
    </row>
    <row r="65" spans="22:22" x14ac:dyDescent="0.3">
      <c r="V65" s="41" t="str">
        <f>IF('01_Projetos'!$AE65="","",'01_Projetos'!$AE65)</f>
        <v>N/A59  ·  PRÉDIO ADM  ·  RND</v>
      </c>
    </row>
    <row r="66" spans="22:22" x14ac:dyDescent="0.3">
      <c r="V66" s="41" t="str">
        <f>IF('01_Projetos'!$AE66="","",'01_Projetos'!$AE66)</f>
        <v>N/A60  ·  EXPEDIÇÃO DE ETANOL  ·  RND</v>
      </c>
    </row>
    <row r="67" spans="22:22" x14ac:dyDescent="0.3">
      <c r="V67" s="41" t="str">
        <f>IF('01_Projetos'!$AE67="","",'01_Projetos'!$AE67)</f>
        <v>N/A61  ·  PORTARIA - ÁREA COMUM  ·  RND</v>
      </c>
    </row>
    <row r="68" spans="22:22" x14ac:dyDescent="0.3">
      <c r="V68" s="41" t="str">
        <f>IF('01_Projetos'!$AE68="","",'01_Projetos'!$AE68)</f>
        <v>N/A62  ·  ARMAZÉM DDGS  ·  RND</v>
      </c>
    </row>
    <row r="69" spans="22:22" x14ac:dyDescent="0.3">
      <c r="V69" s="41" t="str">
        <f>IF('01_Projetos'!$AE69="","",'01_Projetos'!$AE69)</f>
        <v>N/A63  ·  COI  ·  RND</v>
      </c>
    </row>
    <row r="70" spans="22:22" x14ac:dyDescent="0.3">
      <c r="V70" s="41" t="str">
        <f>IF('01_Projetos'!$AE70="","",'01_Projetos'!$AE70)</f>
        <v>N/A64  ·  FATURAMENTO  ·  RND</v>
      </c>
    </row>
    <row r="71" spans="22:22" x14ac:dyDescent="0.3">
      <c r="V71" s="41" t="str">
        <f>IF('01_Projetos'!$AE71="","",'01_Projetos'!$AE71)</f>
        <v>N/A65  ·  ALMOX OPEX  ·  RND</v>
      </c>
    </row>
    <row r="72" spans="22:22" x14ac:dyDescent="0.3">
      <c r="V72" s="41" t="str">
        <f>IF('01_Projetos'!$AE72="","",'01_Projetos'!$AE72)</f>
        <v>N/A66  ·  REFEITÓRIO  ·  RND</v>
      </c>
    </row>
    <row r="73" spans="22:22" x14ac:dyDescent="0.3">
      <c r="V73" s="41" t="str">
        <f>IF('01_Projetos'!$AE73="","",'01_Projetos'!$AE73)</f>
        <v>N/A67  ·  MANUTENÇÃO INDUSTRIAL - ADMINISTRAÇÃO  ·  RND</v>
      </c>
    </row>
    <row r="74" spans="22:22" x14ac:dyDescent="0.3">
      <c r="V74" s="41" t="str">
        <f>IF('01_Projetos'!$AE74="","",'01_Projetos'!$AE74)</f>
        <v>N/A68  ·  CLASSIFICAÇÃO DE GRÃOS  ·  RND</v>
      </c>
    </row>
    <row r="75" spans="22:22" x14ac:dyDescent="0.3">
      <c r="V75" s="41" t="str">
        <f>IF('01_Projetos'!$AE75="","",'01_Projetos'!$AE75)</f>
        <v>N/A69  ·  BALANÇAS  ·  RND</v>
      </c>
    </row>
    <row r="76" spans="22:22" x14ac:dyDescent="0.3">
      <c r="V76" s="41" t="e">
        <f>IF('01_Projetos'!#REF!="","",'01_Projetos'!#REF!)</f>
        <v>#REF!</v>
      </c>
    </row>
    <row r="77" spans="22:22" x14ac:dyDescent="0.3">
      <c r="V77" s="41" t="e">
        <f>IF('01_Projetos'!#REF!="","",'01_Projetos'!#REF!)</f>
        <v>#REF!</v>
      </c>
    </row>
    <row r="78" spans="22:22" x14ac:dyDescent="0.3">
      <c r="V78" s="41" t="str">
        <f>IF('01_Projetos'!$AE76="","",'01_Projetos'!$AE76)</f>
        <v>N/A70  ·  PERÍMETRO  ·  RND</v>
      </c>
    </row>
    <row r="79" spans="22:22" x14ac:dyDescent="0.3">
      <c r="V79" s="41" t="str">
        <f>IF('01_Projetos'!$AE77="","",'01_Projetos'!$AE77)</f>
        <v>N/A71  ·  CONTAINERS DE OBRA  ·  RND</v>
      </c>
    </row>
    <row r="80" spans="22:22" x14ac:dyDescent="0.3">
      <c r="V80" s="41" t="str">
        <f>IF('01_Projetos'!$AE78="","",'01_Projetos'!$AE78)</f>
        <v>466726  ·  ALMOX OPEX  ·  BLS</v>
      </c>
    </row>
    <row r="81" spans="22:22" x14ac:dyDescent="0.3">
      <c r="V81" s="41" t="str">
        <f>IF('01_Projetos'!$AE79="","",'01_Projetos'!$AE79)</f>
        <v>456060  ·  SSO SALA DE OPERAÇÕES  ·  MTU</v>
      </c>
    </row>
    <row r="82" spans="22:22" x14ac:dyDescent="0.3">
      <c r="V82" s="41" t="str">
        <f>IF('01_Projetos'!$AE80="","",'01_Projetos'!$AE80)</f>
        <v>457511  ·  REFEITÓRIO  ·  MTU</v>
      </c>
    </row>
    <row r="83" spans="22:22" x14ac:dyDescent="0.3">
      <c r="V83" s="41" t="str">
        <f>IF('01_Projetos'!$AE81="","",'01_Projetos'!$AE81)</f>
        <v>459049  ·  ARMAZÉM DE MILHO  ·  SDL</v>
      </c>
    </row>
    <row r="84" spans="22:22" x14ac:dyDescent="0.3">
      <c r="V84" s="41" t="str">
        <f>IF('01_Projetos'!$AE82="","",'01_Projetos'!$AE82)</f>
        <v>461634  ·  PÁTIO DE CADASTRO - FATURAMENTO  ·  SNP</v>
      </c>
    </row>
    <row r="85" spans="22:22" x14ac:dyDescent="0.3">
      <c r="V85" s="41" t="str">
        <f>IF('01_Projetos'!$AE83="","",'01_Projetos'!$AE83)</f>
        <v/>
      </c>
    </row>
    <row r="86" spans="22:22" x14ac:dyDescent="0.3">
      <c r="V86" s="41" t="str">
        <f>IF('01_Projetos'!$AE84="","",'01_Projetos'!$AE84)</f>
        <v/>
      </c>
    </row>
    <row r="87" spans="22:22" x14ac:dyDescent="0.3">
      <c r="V87" s="41" t="str">
        <f>IF('01_Projetos'!$AE85="","",'01_Projetos'!$AE85)</f>
        <v/>
      </c>
    </row>
    <row r="88" spans="22:22" x14ac:dyDescent="0.3">
      <c r="V88" s="41" t="str">
        <f>IF('01_Projetos'!$AE86="","",'01_Projetos'!$AE86)</f>
        <v/>
      </c>
    </row>
    <row r="89" spans="22:22" x14ac:dyDescent="0.3">
      <c r="V89" s="41" t="str">
        <f>IF('01_Projetos'!$AE87="","",'01_Projetos'!$AE87)</f>
        <v/>
      </c>
    </row>
    <row r="90" spans="22:22" x14ac:dyDescent="0.3">
      <c r="V90" s="41" t="str">
        <f>IF('01_Projetos'!$AE88="","",'01_Projetos'!$AE88)</f>
        <v/>
      </c>
    </row>
    <row r="91" spans="22:22" x14ac:dyDescent="0.3">
      <c r="V91" s="41" t="str">
        <f>IF('01_Projetos'!$AE89="","",'01_Projetos'!$AE89)</f>
        <v/>
      </c>
    </row>
    <row r="92" spans="22:22" x14ac:dyDescent="0.3">
      <c r="V92" s="41" t="str">
        <f>IF('01_Projetos'!$AE90="","",'01_Projetos'!$AE90)</f>
        <v/>
      </c>
    </row>
    <row r="93" spans="22:22" x14ac:dyDescent="0.3">
      <c r="V93" s="41" t="str">
        <f>IF('01_Projetos'!$AE91="","",'01_Projetos'!$AE91)</f>
        <v/>
      </c>
    </row>
    <row r="94" spans="22:22" x14ac:dyDescent="0.3">
      <c r="V94" s="41" t="str">
        <f>IF('01_Projetos'!$AE92="","",'01_Projetos'!$AE92)</f>
        <v/>
      </c>
    </row>
    <row r="95" spans="22:22" x14ac:dyDescent="0.3">
      <c r="V95" s="41" t="str">
        <f>IF('01_Projetos'!$AE93="","",'01_Projetos'!$AE93)</f>
        <v/>
      </c>
    </row>
    <row r="96" spans="22:22" x14ac:dyDescent="0.3">
      <c r="V96" s="41" t="str">
        <f>IF('01_Projetos'!$AE94="","",'01_Projetos'!$AE94)</f>
        <v/>
      </c>
    </row>
    <row r="97" spans="22:22" x14ac:dyDescent="0.3">
      <c r="V97" s="41" t="str">
        <f>IF('01_Projetos'!$AE95="","",'01_Projetos'!$AE95)</f>
        <v/>
      </c>
    </row>
    <row r="98" spans="22:22" x14ac:dyDescent="0.3">
      <c r="V98" s="41" t="str">
        <f>IF('01_Projetos'!$AE96="","",'01_Projetos'!$AE96)</f>
        <v/>
      </c>
    </row>
    <row r="99" spans="22:22" x14ac:dyDescent="0.3">
      <c r="V99" s="41" t="str">
        <f>IF('01_Projetos'!$AE97="","",'01_Projetos'!$AE97)</f>
        <v/>
      </c>
    </row>
    <row r="100" spans="22:22" x14ac:dyDescent="0.3">
      <c r="V100" s="41" t="str">
        <f>IF('01_Projetos'!$AE98="","",'01_Projetos'!$AE98)</f>
        <v/>
      </c>
    </row>
    <row r="101" spans="22:22" x14ac:dyDescent="0.3">
      <c r="V101" s="41" t="str">
        <f>IF('01_Projetos'!$AE99="","",'01_Projetos'!$AE99)</f>
        <v/>
      </c>
    </row>
    <row r="102" spans="22:22" x14ac:dyDescent="0.3">
      <c r="V102" s="41" t="str">
        <f>IF('01_Projetos'!$AE100="","",'01_Projetos'!$AE100)</f>
        <v/>
      </c>
    </row>
    <row r="103" spans="22:22" x14ac:dyDescent="0.3">
      <c r="V103" s="41" t="str">
        <f>IF('01_Projetos'!$AE101="","",'01_Projetos'!$AE101)</f>
        <v/>
      </c>
    </row>
    <row r="104" spans="22:22" x14ac:dyDescent="0.3">
      <c r="V104" s="41" t="str">
        <f>IF('01_Projetos'!$AE102="","",'01_Projetos'!$AE102)</f>
        <v/>
      </c>
    </row>
    <row r="105" spans="22:22" x14ac:dyDescent="0.3">
      <c r="V105" s="41" t="str">
        <f>IF('01_Projetos'!$AE103="","",'01_Projetos'!$AE103)</f>
        <v/>
      </c>
    </row>
    <row r="106" spans="22:22" x14ac:dyDescent="0.3">
      <c r="V106" s="41" t="str">
        <f>IF('01_Projetos'!$AE104="","",'01_Projetos'!$AE104)</f>
        <v/>
      </c>
    </row>
    <row r="107" spans="22:22" x14ac:dyDescent="0.3">
      <c r="V107" s="41" t="str">
        <f>IF('01_Projetos'!$AE105="","",'01_Projetos'!$AE105)</f>
        <v/>
      </c>
    </row>
    <row r="108" spans="22:22" x14ac:dyDescent="0.3">
      <c r="V108" s="41" t="str">
        <f>IF('01_Projetos'!$AE106="","",'01_Projetos'!$AE106)</f>
        <v/>
      </c>
    </row>
    <row r="109" spans="22:22" x14ac:dyDescent="0.3">
      <c r="V109" s="41" t="str">
        <f>IF('01_Projetos'!$AE107="","",'01_Projetos'!$AE107)</f>
        <v/>
      </c>
    </row>
    <row r="110" spans="22:22" x14ac:dyDescent="0.3">
      <c r="V110" s="41" t="str">
        <f>IF('01_Projetos'!$AE108="","",'01_Projetos'!$AE108)</f>
        <v/>
      </c>
    </row>
    <row r="111" spans="22:22" x14ac:dyDescent="0.3">
      <c r="V111" s="41" t="str">
        <f>IF('01_Projetos'!$AE109="","",'01_Projetos'!$AE109)</f>
        <v/>
      </c>
    </row>
    <row r="112" spans="22:22" x14ac:dyDescent="0.3">
      <c r="V112" s="41" t="str">
        <f>IF('01_Projetos'!$AE110="","",'01_Projetos'!$AE110)</f>
        <v/>
      </c>
    </row>
    <row r="113" spans="22:22" x14ac:dyDescent="0.3">
      <c r="V113" s="41" t="str">
        <f>IF('01_Projetos'!$AE111="","",'01_Projetos'!$AE111)</f>
        <v/>
      </c>
    </row>
    <row r="114" spans="22:22" x14ac:dyDescent="0.3">
      <c r="V114" s="41" t="str">
        <f>IF('01_Projetos'!$AE112="","",'01_Projetos'!$AE112)</f>
        <v/>
      </c>
    </row>
    <row r="115" spans="22:22" x14ac:dyDescent="0.3">
      <c r="V115" s="41" t="str">
        <f>IF('01_Projetos'!$AE113="","",'01_Projetos'!$AE113)</f>
        <v/>
      </c>
    </row>
    <row r="116" spans="22:22" x14ac:dyDescent="0.3">
      <c r="V116" s="41" t="str">
        <f>IF('01_Projetos'!$AE114="","",'01_Projetos'!$AE114)</f>
        <v/>
      </c>
    </row>
    <row r="117" spans="22:22" x14ac:dyDescent="0.3">
      <c r="V117" s="41" t="str">
        <f>IF('01_Projetos'!$AE115="","",'01_Projetos'!$AE115)</f>
        <v/>
      </c>
    </row>
    <row r="118" spans="22:22" x14ac:dyDescent="0.3">
      <c r="V118" s="41" t="str">
        <f>IF('01_Projetos'!$AE116="","",'01_Projetos'!$AE116)</f>
        <v/>
      </c>
    </row>
    <row r="119" spans="22:22" x14ac:dyDescent="0.3">
      <c r="V119" s="41" t="str">
        <f>IF('01_Projetos'!$AE117="","",'01_Projetos'!$AE117)</f>
        <v/>
      </c>
    </row>
    <row r="120" spans="22:22" x14ac:dyDescent="0.3">
      <c r="V120" s="41" t="str">
        <f>IF('01_Projetos'!$AE118="","",'01_Projetos'!$AE118)</f>
        <v/>
      </c>
    </row>
    <row r="121" spans="22:22" x14ac:dyDescent="0.3">
      <c r="V121" s="41" t="str">
        <f>IF('01_Projetos'!$AE119="","",'01_Projetos'!$AE119)</f>
        <v/>
      </c>
    </row>
    <row r="122" spans="22:22" x14ac:dyDescent="0.3">
      <c r="V122" s="41" t="str">
        <f>IF('01_Projetos'!$AE120="","",'01_Projetos'!$AE120)</f>
        <v/>
      </c>
    </row>
    <row r="123" spans="22:22" x14ac:dyDescent="0.3">
      <c r="V123" s="41" t="str">
        <f>IF('01_Projetos'!$AE121="","",'01_Projetos'!$AE121)</f>
        <v/>
      </c>
    </row>
    <row r="124" spans="22:22" x14ac:dyDescent="0.3">
      <c r="V124" s="41" t="str">
        <f>IF('01_Projetos'!$AE122="","",'01_Projetos'!$AE122)</f>
        <v/>
      </c>
    </row>
    <row r="125" spans="22:22" x14ac:dyDescent="0.3">
      <c r="V125" s="41" t="str">
        <f>IF('01_Projetos'!$AE123="","",'01_Projetos'!$AE123)</f>
        <v/>
      </c>
    </row>
    <row r="126" spans="22:22" x14ac:dyDescent="0.3">
      <c r="V126" s="41" t="str">
        <f>IF('01_Projetos'!$AE124="","",'01_Projetos'!$AE124)</f>
        <v/>
      </c>
    </row>
    <row r="127" spans="22:22" x14ac:dyDescent="0.3">
      <c r="V127" s="41" t="str">
        <f>IF('01_Projetos'!$AE125="","",'01_Projetos'!$AE125)</f>
        <v/>
      </c>
    </row>
    <row r="128" spans="22:22" x14ac:dyDescent="0.3">
      <c r="V128" s="41" t="str">
        <f>IF('01_Projetos'!$AE126="","",'01_Projetos'!$AE126)</f>
        <v/>
      </c>
    </row>
    <row r="129" spans="22:22" x14ac:dyDescent="0.3">
      <c r="V129" s="41" t="str">
        <f>IF('01_Projetos'!$AE127="","",'01_Projetos'!$AE127)</f>
        <v/>
      </c>
    </row>
    <row r="130" spans="22:22" x14ac:dyDescent="0.3">
      <c r="V130" s="41" t="str">
        <f>IF('01_Projetos'!$AE128="","",'01_Projetos'!$AE128)</f>
        <v/>
      </c>
    </row>
    <row r="131" spans="22:22" x14ac:dyDescent="0.3">
      <c r="V131" s="41" t="str">
        <f>IF('01_Projetos'!$AE129="","",'01_Projetos'!$AE129)</f>
        <v/>
      </c>
    </row>
    <row r="132" spans="22:22" x14ac:dyDescent="0.3">
      <c r="V132" s="41" t="str">
        <f>IF('01_Projetos'!$AE130="","",'01_Projetos'!$AE130)</f>
        <v/>
      </c>
    </row>
    <row r="133" spans="22:22" x14ac:dyDescent="0.3">
      <c r="V133" s="41" t="str">
        <f>IF('01_Projetos'!$AE131="","",'01_Projetos'!$AE131)</f>
        <v/>
      </c>
    </row>
    <row r="134" spans="22:22" x14ac:dyDescent="0.3">
      <c r="V134" s="41" t="str">
        <f>IF('01_Projetos'!$AE132="","",'01_Projetos'!$AE132)</f>
        <v/>
      </c>
    </row>
    <row r="135" spans="22:22" x14ac:dyDescent="0.3">
      <c r="V135" s="41" t="str">
        <f>IF('01_Projetos'!$AE133="","",'01_Projetos'!$AE133)</f>
        <v/>
      </c>
    </row>
    <row r="136" spans="22:22" x14ac:dyDescent="0.3">
      <c r="V136" s="41" t="str">
        <f>IF('01_Projetos'!$AE134="","",'01_Projetos'!$AE134)</f>
        <v/>
      </c>
    </row>
    <row r="137" spans="22:22" x14ac:dyDescent="0.3">
      <c r="V137" s="41" t="str">
        <f>IF('01_Projetos'!$AE135="","",'01_Projetos'!$AE135)</f>
        <v/>
      </c>
    </row>
    <row r="138" spans="22:22" x14ac:dyDescent="0.3">
      <c r="V138" s="41" t="str">
        <f>IF('01_Projetos'!$AE136="","",'01_Projetos'!$AE136)</f>
        <v/>
      </c>
    </row>
    <row r="139" spans="22:22" x14ac:dyDescent="0.3">
      <c r="V139" s="41" t="str">
        <f>IF('01_Projetos'!$AE137="","",'01_Projetos'!$AE137)</f>
        <v/>
      </c>
    </row>
    <row r="140" spans="22:22" x14ac:dyDescent="0.3">
      <c r="V140" s="41" t="str">
        <f>IF('01_Projetos'!$AE138="","",'01_Projetos'!$AE138)</f>
        <v/>
      </c>
    </row>
    <row r="141" spans="22:22" x14ac:dyDescent="0.3">
      <c r="V141" s="41" t="str">
        <f>IF('01_Projetos'!$AE139="","",'01_Projetos'!$AE139)</f>
        <v/>
      </c>
    </row>
    <row r="142" spans="22:22" x14ac:dyDescent="0.3">
      <c r="V142" s="41" t="str">
        <f>IF('01_Projetos'!$AE140="","",'01_Projetos'!$AE140)</f>
        <v/>
      </c>
    </row>
    <row r="143" spans="22:22" x14ac:dyDescent="0.3">
      <c r="V143" s="41" t="str">
        <f>IF('01_Projetos'!$AE141="","",'01_Projetos'!$AE141)</f>
        <v/>
      </c>
    </row>
    <row r="144" spans="22:22" x14ac:dyDescent="0.3">
      <c r="V144" s="41" t="str">
        <f>IF('01_Projetos'!$AE142="","",'01_Projetos'!$AE142)</f>
        <v/>
      </c>
    </row>
    <row r="145" spans="22:22" x14ac:dyDescent="0.3">
      <c r="V145" s="41" t="str">
        <f>IF('01_Projetos'!$AE143="","",'01_Projetos'!$AE143)</f>
        <v/>
      </c>
    </row>
    <row r="146" spans="22:22" x14ac:dyDescent="0.3">
      <c r="V146" s="41" t="str">
        <f>IF('01_Projetos'!$AE144="","",'01_Projetos'!$AE144)</f>
        <v/>
      </c>
    </row>
    <row r="147" spans="22:22" x14ac:dyDescent="0.3">
      <c r="V147" s="41" t="str">
        <f>IF('01_Projetos'!$AE145="","",'01_Projetos'!$AE145)</f>
        <v/>
      </c>
    </row>
    <row r="148" spans="22:22" x14ac:dyDescent="0.3">
      <c r="V148" s="41" t="str">
        <f>IF('01_Projetos'!$AE146="","",'01_Projetos'!$AE146)</f>
        <v/>
      </c>
    </row>
    <row r="149" spans="22:22" x14ac:dyDescent="0.3">
      <c r="V149" s="41" t="str">
        <f>IF('01_Projetos'!$AE147="","",'01_Projetos'!$AE147)</f>
        <v/>
      </c>
    </row>
    <row r="150" spans="22:22" x14ac:dyDescent="0.3">
      <c r="V150" s="41" t="str">
        <f>IF('01_Projetos'!$AE148="","",'01_Projetos'!$AE148)</f>
        <v/>
      </c>
    </row>
    <row r="151" spans="22:22" x14ac:dyDescent="0.3">
      <c r="V151" s="41" t="str">
        <f>IF('01_Projetos'!$AE149="","",'01_Projetos'!$AE149)</f>
        <v/>
      </c>
    </row>
    <row r="152" spans="22:22" x14ac:dyDescent="0.3">
      <c r="V152" s="41" t="str">
        <f>IF('01_Projetos'!$AE150="","",'01_Projetos'!$AE150)</f>
        <v/>
      </c>
    </row>
    <row r="153" spans="22:22" x14ac:dyDescent="0.3">
      <c r="V153" s="41" t="str">
        <f>IF('01_Projetos'!$AE151="","",'01_Projetos'!$AE151)</f>
        <v/>
      </c>
    </row>
    <row r="154" spans="22:22" x14ac:dyDescent="0.3">
      <c r="V154" s="41" t="str">
        <f>IF('01_Projetos'!$AE152="","",'01_Projetos'!$AE152)</f>
        <v/>
      </c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>
    <tabColor rgb="FF7F7F7F"/>
  </sheetPr>
  <dimension ref="A1:C39"/>
  <sheetViews>
    <sheetView showGridLines="0" zoomScaleNormal="100" workbookViewId="0"/>
  </sheetViews>
  <sheetFormatPr defaultColWidth="8.6640625" defaultRowHeight="14.4" x14ac:dyDescent="0.3"/>
  <cols>
    <col min="1" max="1" width="3" customWidth="1"/>
    <col min="2" max="2" width="30" customWidth="1"/>
    <col min="3" max="3" width="105" customWidth="1"/>
  </cols>
  <sheetData>
    <row r="1" spans="1:3" ht="18" x14ac:dyDescent="0.35">
      <c r="A1" s="12" t="s">
        <v>438</v>
      </c>
    </row>
    <row r="2" spans="1:3" x14ac:dyDescent="0.3">
      <c r="A2" s="15" t="s">
        <v>439</v>
      </c>
    </row>
    <row r="4" spans="1:3" ht="19.5" customHeight="1" x14ac:dyDescent="0.3">
      <c r="B4" s="45" t="s">
        <v>440</v>
      </c>
      <c r="C4" s="1"/>
    </row>
    <row r="5" spans="1:3" ht="30" customHeight="1" x14ac:dyDescent="0.3">
      <c r="B5" s="46" t="s">
        <v>441</v>
      </c>
      <c r="C5" s="47" t="s">
        <v>442</v>
      </c>
    </row>
    <row r="6" spans="1:3" ht="42" customHeight="1" x14ac:dyDescent="0.3">
      <c r="B6" s="46" t="s">
        <v>443</v>
      </c>
      <c r="C6" s="47" t="s">
        <v>444</v>
      </c>
    </row>
    <row r="7" spans="1:3" ht="42" customHeight="1" x14ac:dyDescent="0.3">
      <c r="B7" s="46" t="s">
        <v>445</v>
      </c>
      <c r="C7" s="47" t="s">
        <v>446</v>
      </c>
    </row>
    <row r="8" spans="1:3" ht="30" customHeight="1" x14ac:dyDescent="0.3">
      <c r="B8" s="46" t="s">
        <v>447</v>
      </c>
      <c r="C8" s="47" t="s">
        <v>448</v>
      </c>
    </row>
    <row r="9" spans="1:3" ht="19.5" customHeight="1" x14ac:dyDescent="0.3">
      <c r="B9" s="45" t="s">
        <v>449</v>
      </c>
      <c r="C9" s="1"/>
    </row>
    <row r="10" spans="1:3" ht="30" customHeight="1" x14ac:dyDescent="0.3">
      <c r="B10" s="46" t="s">
        <v>450</v>
      </c>
      <c r="C10" s="47" t="s">
        <v>451</v>
      </c>
    </row>
    <row r="11" spans="1:3" ht="42" customHeight="1" x14ac:dyDescent="0.3">
      <c r="B11" s="46" t="s">
        <v>452</v>
      </c>
      <c r="C11" s="47" t="s">
        <v>453</v>
      </c>
    </row>
    <row r="12" spans="1:3" ht="30" customHeight="1" x14ac:dyDescent="0.3">
      <c r="B12" s="46" t="s">
        <v>454</v>
      </c>
      <c r="C12" s="47" t="s">
        <v>455</v>
      </c>
    </row>
    <row r="13" spans="1:3" ht="30" customHeight="1" x14ac:dyDescent="0.3">
      <c r="B13" s="46" t="s">
        <v>456</v>
      </c>
      <c r="C13" s="47" t="s">
        <v>457</v>
      </c>
    </row>
    <row r="14" spans="1:3" ht="19.5" customHeight="1" x14ac:dyDescent="0.3">
      <c r="B14" s="45" t="s">
        <v>458</v>
      </c>
      <c r="C14" s="1"/>
    </row>
    <row r="15" spans="1:3" ht="42" customHeight="1" x14ac:dyDescent="0.3">
      <c r="B15" s="46" t="s">
        <v>459</v>
      </c>
      <c r="C15" s="47" t="s">
        <v>460</v>
      </c>
    </row>
    <row r="16" spans="1:3" ht="30" customHeight="1" x14ac:dyDescent="0.3">
      <c r="B16" s="46" t="s">
        <v>180</v>
      </c>
      <c r="C16" s="47" t="s">
        <v>461</v>
      </c>
    </row>
    <row r="17" spans="2:3" ht="42" customHeight="1" x14ac:dyDescent="0.3">
      <c r="B17" s="46" t="s">
        <v>462</v>
      </c>
      <c r="C17" s="47" t="s">
        <v>463</v>
      </c>
    </row>
    <row r="18" spans="2:3" ht="30" customHeight="1" x14ac:dyDescent="0.3">
      <c r="B18" s="46" t="s">
        <v>464</v>
      </c>
      <c r="C18" s="47" t="s">
        <v>465</v>
      </c>
    </row>
    <row r="19" spans="2:3" ht="42" customHeight="1" x14ac:dyDescent="0.3">
      <c r="B19" s="46" t="s">
        <v>466</v>
      </c>
      <c r="C19" s="47" t="s">
        <v>467</v>
      </c>
    </row>
    <row r="20" spans="2:3" ht="19.5" customHeight="1" x14ac:dyDescent="0.3">
      <c r="B20" s="45" t="s">
        <v>468</v>
      </c>
      <c r="C20" s="1"/>
    </row>
    <row r="21" spans="2:3" ht="42" customHeight="1" x14ac:dyDescent="0.3">
      <c r="B21" s="46" t="s">
        <v>469</v>
      </c>
      <c r="C21" s="47" t="s">
        <v>470</v>
      </c>
    </row>
    <row r="22" spans="2:3" ht="42" customHeight="1" x14ac:dyDescent="0.3">
      <c r="B22" s="46" t="s">
        <v>471</v>
      </c>
      <c r="C22" s="47" t="s">
        <v>472</v>
      </c>
    </row>
    <row r="23" spans="2:3" ht="42" customHeight="1" x14ac:dyDescent="0.3">
      <c r="B23" s="46" t="s">
        <v>473</v>
      </c>
      <c r="C23" s="47" t="s">
        <v>474</v>
      </c>
    </row>
    <row r="24" spans="2:3" ht="30" customHeight="1" x14ac:dyDescent="0.3">
      <c r="B24" s="46" t="s">
        <v>475</v>
      </c>
      <c r="C24" s="47" t="s">
        <v>476</v>
      </c>
    </row>
    <row r="25" spans="2:3" ht="30" customHeight="1" x14ac:dyDescent="0.3">
      <c r="B25" s="46" t="s">
        <v>477</v>
      </c>
      <c r="C25" s="47" t="s">
        <v>478</v>
      </c>
    </row>
    <row r="26" spans="2:3" ht="19.5" customHeight="1" x14ac:dyDescent="0.3">
      <c r="B26" s="45" t="s">
        <v>479</v>
      </c>
      <c r="C26" s="1"/>
    </row>
    <row r="27" spans="2:3" ht="42" customHeight="1" x14ac:dyDescent="0.3">
      <c r="B27" s="46" t="s">
        <v>480</v>
      </c>
      <c r="C27" s="47" t="s">
        <v>481</v>
      </c>
    </row>
    <row r="28" spans="2:3" ht="42" customHeight="1" x14ac:dyDescent="0.3">
      <c r="B28" s="46" t="s">
        <v>482</v>
      </c>
      <c r="C28" s="47" t="s">
        <v>483</v>
      </c>
    </row>
    <row r="29" spans="2:3" ht="30" customHeight="1" x14ac:dyDescent="0.3">
      <c r="B29" s="46" t="s">
        <v>484</v>
      </c>
      <c r="C29" s="47" t="s">
        <v>485</v>
      </c>
    </row>
    <row r="30" spans="2:3" ht="19.5" customHeight="1" x14ac:dyDescent="0.3">
      <c r="B30" s="45" t="s">
        <v>486</v>
      </c>
      <c r="C30" s="1"/>
    </row>
    <row r="31" spans="2:3" ht="30" customHeight="1" x14ac:dyDescent="0.3">
      <c r="B31" s="46" t="s">
        <v>47</v>
      </c>
      <c r="C31" s="47" t="s">
        <v>487</v>
      </c>
    </row>
    <row r="32" spans="2:3" ht="30" customHeight="1" x14ac:dyDescent="0.3">
      <c r="B32" s="46" t="s">
        <v>48</v>
      </c>
      <c r="C32" s="47" t="s">
        <v>488</v>
      </c>
    </row>
    <row r="33" spans="2:3" ht="42" customHeight="1" x14ac:dyDescent="0.3">
      <c r="B33" s="46" t="s">
        <v>29</v>
      </c>
      <c r="C33" s="47" t="s">
        <v>489</v>
      </c>
    </row>
    <row r="34" spans="2:3" ht="42" customHeight="1" x14ac:dyDescent="0.3">
      <c r="B34" s="46" t="s">
        <v>304</v>
      </c>
      <c r="C34" s="47" t="s">
        <v>490</v>
      </c>
    </row>
    <row r="35" spans="2:3" ht="19.5" customHeight="1" x14ac:dyDescent="0.3">
      <c r="B35" s="45" t="s">
        <v>491</v>
      </c>
      <c r="C35" s="1"/>
    </row>
    <row r="36" spans="2:3" ht="42" customHeight="1" x14ac:dyDescent="0.3">
      <c r="B36" s="46" t="s">
        <v>492</v>
      </c>
      <c r="C36" s="47" t="s">
        <v>493</v>
      </c>
    </row>
    <row r="37" spans="2:3" ht="30" customHeight="1" x14ac:dyDescent="0.3">
      <c r="B37" s="46" t="s">
        <v>494</v>
      </c>
      <c r="C37" s="47" t="s">
        <v>495</v>
      </c>
    </row>
    <row r="38" spans="2:3" ht="30" customHeight="1" x14ac:dyDescent="0.3">
      <c r="B38" s="46" t="s">
        <v>496</v>
      </c>
      <c r="C38" s="47" t="s">
        <v>497</v>
      </c>
    </row>
    <row r="39" spans="2:3" ht="30" customHeight="1" x14ac:dyDescent="0.3">
      <c r="B39" s="46" t="s">
        <v>498</v>
      </c>
      <c r="C39" s="47" t="s">
        <v>499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FA33C03D87F28D4EB97B0E0BDBAA7CA2" ma:contentTypeVersion="5" ma:contentTypeDescription="Crie um novo documento." ma:contentTypeScope="" ma:versionID="84df6c849dadd8458c7c08e44d098439">
  <xsd:schema xmlns:xsd="http://www.w3.org/2001/XMLSchema" xmlns:xs="http://www.w3.org/2001/XMLSchema" xmlns:p="http://schemas.microsoft.com/office/2006/metadata/properties" xmlns:ns3="f72ba0a2-f748-4b7d-b146-554bbc571c13" targetNamespace="http://schemas.microsoft.com/office/2006/metadata/properties" ma:root="true" ma:fieldsID="0a73638476edaab77c6105960c451e3f" ns3:_="">
    <xsd:import namespace="f72ba0a2-f748-4b7d-b146-554bbc571c13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_activity" minOccurs="0"/>
                <xsd:element ref="ns3:MediaServiceMetadata" minOccurs="0"/>
                <xsd:element ref="ns3:MediaServiceFastMetadata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2ba0a2-f748-4b7d-b146-554bbc571c13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_activity" ma:index="9" nillable="true" ma:displayName="_activity" ma:hidden="true" ma:internalName="_activity">
      <xsd:simpleType>
        <xsd:restriction base="dms:Note"/>
      </xsd:simpleType>
    </xsd:element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f72ba0a2-f748-4b7d-b146-554bbc571c13" xsi:nil="true"/>
  </documentManagement>
</p:properties>
</file>

<file path=customXml/itemProps1.xml><?xml version="1.0" encoding="utf-8"?>
<ds:datastoreItem xmlns:ds="http://schemas.openxmlformats.org/officeDocument/2006/customXml" ds:itemID="{B5B984E7-3378-4DED-904E-342C58DE27D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72ba0a2-f748-4b7d-b146-554bbc571c1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451E65E-7027-4F2E-B010-DDB5495D114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CDDE2B5-A7D1-4C7E-A7D2-D551473A7EF6}">
  <ds:schemaRefs>
    <ds:schemaRef ds:uri="http://schemas.openxmlformats.org/package/2006/metadata/core-properties"/>
    <ds:schemaRef ds:uri="http://www.w3.org/XML/1998/namespace"/>
    <ds:schemaRef ds:uri="http://purl.org/dc/terms/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schemas.microsoft.com/office/2006/documentManagement/types"/>
    <ds:schemaRef ds:uri="http://purl.org/dc/dcmitype/"/>
    <ds:schemaRef ds:uri="f72ba0a2-f748-4b7d-b146-554bbc571c13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90</vt:i4>
      </vt:variant>
    </vt:vector>
  </HeadingPairs>
  <TitlesOfParts>
    <vt:vector size="102" baseType="lpstr">
      <vt:lpstr>00_Painel</vt:lpstr>
      <vt:lpstr>01_Projetos</vt:lpstr>
      <vt:lpstr>Cadastro</vt:lpstr>
      <vt:lpstr>02_Escopo_Itens</vt:lpstr>
      <vt:lpstr>03_Compras_SC</vt:lpstr>
      <vt:lpstr>05_OC_Fornecedor</vt:lpstr>
      <vt:lpstr>07_Entregas</vt:lpstr>
      <vt:lpstr>08_Historico_Etapas</vt:lpstr>
      <vt:lpstr>09_Cadastros</vt:lpstr>
      <vt:lpstr>10_Verificacoes</vt:lpstr>
      <vt:lpstr>11_Base_Graficos</vt:lpstr>
      <vt:lpstr>12_Leia_me</vt:lpstr>
      <vt:lpstr>Cad_Cham</vt:lpstr>
      <vt:lpstr>Cad_Forn</vt:lpstr>
      <vt:lpstr>Cad_ID</vt:lpstr>
      <vt:lpstr>Cad_OC</vt:lpstr>
      <vt:lpstr>Cad_Prod</vt:lpstr>
      <vt:lpstr>Cad_QtdComp</vt:lpstr>
      <vt:lpstr>Cad_Rotulo</vt:lpstr>
      <vt:lpstr>Cad_SC</vt:lpstr>
      <vt:lpstr>DataRef</vt:lpstr>
      <vt:lpstr>Ent_Cham</vt:lpstr>
      <vt:lpstr>Ent_Conf</vt:lpstr>
      <vt:lpstr>Ent_Data</vt:lpstr>
      <vt:lpstr>Ent_Item</vt:lpstr>
      <vt:lpstr>Ent_OC</vt:lpstr>
      <vt:lpstr>Ent_Prod</vt:lpstr>
      <vt:lpstr>Ent_Qtd</vt:lpstr>
      <vt:lpstr>Esc_Cham</vt:lpstr>
      <vt:lpstr>Esc_Comp</vt:lpstr>
      <vt:lpstr>Esc_Desvio</vt:lpstr>
      <vt:lpstr>Esc_Inst</vt:lpstr>
      <vt:lpstr>Esc_IP</vt:lpstr>
      <vt:lpstr>Esc_Lib</vt:lpstr>
      <vt:lpstr>Esc_Prev</vt:lpstr>
      <vt:lpstr>Esc_Prod</vt:lpstr>
      <vt:lpstr>Esc_Receb</vt:lpstr>
      <vt:lpstr>Esc_Rotulo</vt:lpstr>
      <vt:lpstr>Esc_Solic</vt:lpstr>
      <vt:lpstr>Esc_Status</vt:lpstr>
      <vt:lpstr>Esc_Tipo</vt:lpstr>
      <vt:lpstr>Esc_Unid</vt:lpstr>
      <vt:lpstr>Esc_VMS</vt:lpstr>
      <vt:lpstr>Etapa_Resp</vt:lpstr>
      <vt:lpstr>Etapa_SLA</vt:lpstr>
      <vt:lpstr>Filtro_Proj</vt:lpstr>
      <vt:lpstr>Filtro_Unid</vt:lpstr>
      <vt:lpstr>His_Atend</vt:lpstr>
      <vt:lpstr>His_Atraso</vt:lpstr>
      <vt:lpstr>His_Cham</vt:lpstr>
      <vt:lpstr>His_Dias</vt:lpstr>
      <vt:lpstr>His_Etapa</vt:lpstr>
      <vt:lpstr>His_Fim</vt:lpstr>
      <vt:lpstr>His_Resp</vt:lpstr>
      <vt:lpstr>His_Situacao</vt:lpstr>
      <vt:lpstr>Lim_Atencao</vt:lpstr>
      <vt:lpstr>Lim_Risco</vt:lpstr>
      <vt:lpstr>Lista_Areas</vt:lpstr>
      <vt:lpstr>Lista_Custodia</vt:lpstr>
      <vt:lpstr>Lista_Etapas</vt:lpstr>
      <vt:lpstr>Lista_Motivos</vt:lpstr>
      <vt:lpstr>Lista_Responsaveis</vt:lpstr>
      <vt:lpstr>Lista_SitFisica</vt:lpstr>
      <vt:lpstr>Lista_Status</vt:lpstr>
      <vt:lpstr>Lista_Unidades</vt:lpstr>
      <vt:lpstr>Obj_Cod</vt:lpstr>
      <vt:lpstr>Obj_Desc</vt:lpstr>
      <vt:lpstr>OC_Cham</vt:lpstr>
      <vt:lpstr>OC_Data</vt:lpstr>
      <vt:lpstr>OC_Forn</vt:lpstr>
      <vt:lpstr>OC_Num</vt:lpstr>
      <vt:lpstr>OC_Prod</vt:lpstr>
      <vt:lpstr>OC_Qtd</vt:lpstr>
      <vt:lpstr>OC_Saldo</vt:lpstr>
      <vt:lpstr>OC_SC</vt:lpstr>
      <vt:lpstr>OC_Situacao</vt:lpstr>
      <vt:lpstr>Prod_Cod</vt:lpstr>
      <vt:lpstr>Prod_Desc</vt:lpstr>
      <vt:lpstr>Prod_Tipo</vt:lpstr>
      <vt:lpstr>Proj_Area</vt:lpstr>
      <vt:lpstr>Proj_Atraso</vt:lpstr>
      <vt:lpstr>Proj_Bloq</vt:lpstr>
      <vt:lpstr>Proj_Cham</vt:lpstr>
      <vt:lpstr>Proj_Consumo</vt:lpstr>
      <vt:lpstr>Proj_Desvio</vt:lpstr>
      <vt:lpstr>Proj_Etapa</vt:lpstr>
      <vt:lpstr>Proj_Motivo</vt:lpstr>
      <vt:lpstr>Proj_Nome</vt:lpstr>
      <vt:lpstr>Proj_Ordem</vt:lpstr>
      <vt:lpstr>Proj_OrdEtapa</vt:lpstr>
      <vt:lpstr>Proj_Resp</vt:lpstr>
      <vt:lpstr>Proj_Rotulo</vt:lpstr>
      <vt:lpstr>Proj_Situacao</vt:lpstr>
      <vt:lpstr>Proj_Status</vt:lpstr>
      <vt:lpstr>Proj_Unid</vt:lpstr>
      <vt:lpstr>SC_Cham</vt:lpstr>
      <vt:lpstr>SC_Envio</vt:lpstr>
      <vt:lpstr>SC_Num</vt:lpstr>
      <vt:lpstr>SC_Prod</vt:lpstr>
      <vt:lpstr>SC_Qtd</vt:lpstr>
      <vt:lpstr>SC_Situacao</vt:lpstr>
      <vt:lpstr>SLA_Total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Alexandre Piazza De Lima Fagundes</cp:lastModifiedBy>
  <cp:revision>1</cp:revision>
  <dcterms:created xsi:type="dcterms:W3CDTF">2026-08-26T12:31:44Z</dcterms:created>
  <dcterms:modified xsi:type="dcterms:W3CDTF">2026-08-26T19:58:44Z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0x010100FA33C03D87F28D4EB97B0E0BDBAA7CA2</vt:lpwstr>
  </property>
</Properties>
</file>